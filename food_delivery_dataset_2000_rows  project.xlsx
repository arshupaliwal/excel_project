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i5 ACER\Downloads\"/>
    </mc:Choice>
  </mc:AlternateContent>
  <xr:revisionPtr revIDLastSave="0" documentId="13_ncr:1_{CF8EE1E7-462C-4127-858F-33AC28F294D2}" xr6:coauthVersionLast="47" xr6:coauthVersionMax="47" xr10:uidLastSave="{00000000-0000-0000-0000-000000000000}"/>
  <bookViews>
    <workbookView xWindow="-110" yWindow="-110" windowWidth="19420" windowHeight="10300" activeTab="3" xr2:uid="{00000000-000D-0000-FFFF-FFFF00000000}"/>
  </bookViews>
  <sheets>
    <sheet name="Raw_Data" sheetId="1" r:id="rId1"/>
    <sheet name="clean_data" sheetId="2" r:id="rId2"/>
    <sheet name="analysis" sheetId="3" r:id="rId3"/>
    <sheet name="dashboard" sheetId="4" r:id="rId4"/>
  </sheets>
  <definedNames>
    <definedName name="Slicer_City">#N/A</definedName>
    <definedName name="Slicer_Cuisine_Type">#N/A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B10" i="3"/>
  <c r="B9" i="3"/>
  <c r="B8" i="3"/>
  <c r="B7" i="3"/>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alcChain>
</file>

<file path=xl/sharedStrings.xml><?xml version="1.0" encoding="utf-8"?>
<sst xmlns="http://schemas.openxmlformats.org/spreadsheetml/2006/main" count="36070" uniqueCount="2822">
  <si>
    <t>Order_ID</t>
  </si>
  <si>
    <t>Order_Date</t>
  </si>
  <si>
    <t>Customer_ID</t>
  </si>
  <si>
    <t>City</t>
  </si>
  <si>
    <t>Restaurant</t>
  </si>
  <si>
    <t>Cuisine_Type</t>
  </si>
  <si>
    <t>Delivery_Partner</t>
  </si>
  <si>
    <t>Order_Value</t>
  </si>
  <si>
    <t>Delivery_Fee</t>
  </si>
  <si>
    <t>Discount</t>
  </si>
  <si>
    <t>Payment_Method</t>
  </si>
  <si>
    <t>Delivery_Time_Min</t>
  </si>
  <si>
    <t>Order_Status</t>
  </si>
  <si>
    <t>ORD1001</t>
  </si>
  <si>
    <t>20-03-2021</t>
  </si>
  <si>
    <t>CUST832</t>
  </si>
  <si>
    <t>Pune</t>
  </si>
  <si>
    <t>Burger Barn</t>
  </si>
  <si>
    <t>Fast Food</t>
  </si>
  <si>
    <t>Rohit</t>
  </si>
  <si>
    <t>Card</t>
  </si>
  <si>
    <t>Delivered</t>
  </si>
  <si>
    <t>ORD1002</t>
  </si>
  <si>
    <t>16-03-2021</t>
  </si>
  <si>
    <t>CUST863</t>
  </si>
  <si>
    <t>Hyderabad</t>
  </si>
  <si>
    <t>Paradise Biryani</t>
  </si>
  <si>
    <t>Biryani</t>
  </si>
  <si>
    <t>Arjun</t>
  </si>
  <si>
    <t>Cash</t>
  </si>
  <si>
    <t>Cancelled</t>
  </si>
  <si>
    <t>ORD1003</t>
  </si>
  <si>
    <t>17-01-2021</t>
  </si>
  <si>
    <t>CUST646</t>
  </si>
  <si>
    <t>Shah Ghouse</t>
  </si>
  <si>
    <t>Rahul</t>
  </si>
  <si>
    <t>UPI</t>
  </si>
  <si>
    <t>ORD1004</t>
  </si>
  <si>
    <t>08-01-2021</t>
  </si>
  <si>
    <t>CUST1134</t>
  </si>
  <si>
    <t>Bangalore</t>
  </si>
  <si>
    <t>Meghana Foods</t>
  </si>
  <si>
    <t>Imran</t>
  </si>
  <si>
    <t>ORD1005</t>
  </si>
  <si>
    <t>29-01-2021</t>
  </si>
  <si>
    <t>CUST868</t>
  </si>
  <si>
    <t>Delhi</t>
  </si>
  <si>
    <t>Haldirams</t>
  </si>
  <si>
    <t>North Indian</t>
  </si>
  <si>
    <t>Amit</t>
  </si>
  <si>
    <t>ORD1006</t>
  </si>
  <si>
    <t>26-02-2021</t>
  </si>
  <si>
    <t>CUST799</t>
  </si>
  <si>
    <t>Mumbai</t>
  </si>
  <si>
    <t>Cafe Madras</t>
  </si>
  <si>
    <t>South Indian</t>
  </si>
  <si>
    <t>ORD1007</t>
  </si>
  <si>
    <t>18-01-2021</t>
  </si>
  <si>
    <t>CUST1129</t>
  </si>
  <si>
    <t>Vikas</t>
  </si>
  <si>
    <t>ORD1008</t>
  </si>
  <si>
    <t>04-01-2021</t>
  </si>
  <si>
    <t>CUST935</t>
  </si>
  <si>
    <t>Deepak</t>
  </si>
  <si>
    <t>ORD1009</t>
  </si>
  <si>
    <t>13-03-2021</t>
  </si>
  <si>
    <t>CUST958</t>
  </si>
  <si>
    <t>Empire Restaurant</t>
  </si>
  <si>
    <t>ORD1010</t>
  </si>
  <si>
    <t>13-02-2021</t>
  </si>
  <si>
    <t>Burger Singh</t>
  </si>
  <si>
    <t>ORD1011</t>
  </si>
  <si>
    <t>12-01-2021</t>
  </si>
  <si>
    <t>CUST667</t>
  </si>
  <si>
    <t>Karan</t>
  </si>
  <si>
    <t>ORD1012</t>
  </si>
  <si>
    <t>05-02-2021</t>
  </si>
  <si>
    <t>CUST598</t>
  </si>
  <si>
    <t>Cafe Bahar</t>
  </si>
  <si>
    <t>ORD1013</t>
  </si>
  <si>
    <t>11-02-2021</t>
  </si>
  <si>
    <t>CUST952</t>
  </si>
  <si>
    <t>ORD1014</t>
  </si>
  <si>
    <t>CUST636</t>
  </si>
  <si>
    <t>Pizza By The Bay</t>
  </si>
  <si>
    <t>Pizza</t>
  </si>
  <si>
    <t>ORD1015</t>
  </si>
  <si>
    <t>16-01-2021</t>
  </si>
  <si>
    <t>CUST900</t>
  </si>
  <si>
    <t>Goodluck Cafe</t>
  </si>
  <si>
    <t>ORD1016</t>
  </si>
  <si>
    <t>21-03-2021</t>
  </si>
  <si>
    <t>CUST537</t>
  </si>
  <si>
    <t>ORD1017</t>
  </si>
  <si>
    <t>CUST1175</t>
  </si>
  <si>
    <t>ORD1018</t>
  </si>
  <si>
    <t>22-03-2021</t>
  </si>
  <si>
    <t>CUST1015</t>
  </si>
  <si>
    <t>ORD1019</t>
  </si>
  <si>
    <t>12-03-2021</t>
  </si>
  <si>
    <t>CUST1016</t>
  </si>
  <si>
    <t>ORD1020</t>
  </si>
  <si>
    <t>15-03-2021</t>
  </si>
  <si>
    <t>CUST944</t>
  </si>
  <si>
    <t>ORD1021</t>
  </si>
  <si>
    <t>08-03-2021</t>
  </si>
  <si>
    <t>CUST647</t>
  </si>
  <si>
    <t>Manoj</t>
  </si>
  <si>
    <t>ORD1022</t>
  </si>
  <si>
    <t>24-01-2021</t>
  </si>
  <si>
    <t>CUST622</t>
  </si>
  <si>
    <t>Truffles</t>
  </si>
  <si>
    <t>ORD1023</t>
  </si>
  <si>
    <t>07-03-2021</t>
  </si>
  <si>
    <t>CUST570</t>
  </si>
  <si>
    <t>ORD1024</t>
  </si>
  <si>
    <t>CUST890</t>
  </si>
  <si>
    <t>ORD1025</t>
  </si>
  <si>
    <t>26-03-2021</t>
  </si>
  <si>
    <t>CUST508</t>
  </si>
  <si>
    <t>ORD1026</t>
  </si>
  <si>
    <t>28-02-2021</t>
  </si>
  <si>
    <t>CUST621</t>
  </si>
  <si>
    <t>ORD1027</t>
  </si>
  <si>
    <t>CUST639</t>
  </si>
  <si>
    <t>ORD1028</t>
  </si>
  <si>
    <t>27-03-2021</t>
  </si>
  <si>
    <t>CUST507</t>
  </si>
  <si>
    <t>ORD1029</t>
  </si>
  <si>
    <t>10-02-2021</t>
  </si>
  <si>
    <t>CUST1138</t>
  </si>
  <si>
    <t>Vaishali</t>
  </si>
  <si>
    <t>ORD1030</t>
  </si>
  <si>
    <t>11-03-2021</t>
  </si>
  <si>
    <t>CUST931</t>
  </si>
  <si>
    <t>ORD1031</t>
  </si>
  <si>
    <t>02-02-2021</t>
  </si>
  <si>
    <t>CUST983</t>
  </si>
  <si>
    <t>ORD1032</t>
  </si>
  <si>
    <t>CUST768</t>
  </si>
  <si>
    <t>ORD1033</t>
  </si>
  <si>
    <t>CUST925</t>
  </si>
  <si>
    <t>ORD1034</t>
  </si>
  <si>
    <t>04-02-2021</t>
  </si>
  <si>
    <t>CUST593</t>
  </si>
  <si>
    <t>ORD1035</t>
  </si>
  <si>
    <t>25-02-2021</t>
  </si>
  <si>
    <t>CUST612</t>
  </si>
  <si>
    <t>Biryani Blues</t>
  </si>
  <si>
    <t>ORD1036</t>
  </si>
  <si>
    <t>24-02-2021</t>
  </si>
  <si>
    <t>CUST1158</t>
  </si>
  <si>
    <t>Leopold Cafe</t>
  </si>
  <si>
    <t>ORD1037</t>
  </si>
  <si>
    <t>01-01-2021</t>
  </si>
  <si>
    <t>CUST997</t>
  </si>
  <si>
    <t>ORD1038</t>
  </si>
  <si>
    <t>CUST879</t>
  </si>
  <si>
    <t>ORD1039</t>
  </si>
  <si>
    <t>CUST655</t>
  </si>
  <si>
    <t>ORD1040</t>
  </si>
  <si>
    <t>CUST1059</t>
  </si>
  <si>
    <t>ORD1041</t>
  </si>
  <si>
    <t>CUST798</t>
  </si>
  <si>
    <t>ORD1042</t>
  </si>
  <si>
    <t>CUST760</t>
  </si>
  <si>
    <t>ORD1043</t>
  </si>
  <si>
    <t>03-02-2021</t>
  </si>
  <si>
    <t>CUST976</t>
  </si>
  <si>
    <t>ORD1044</t>
  </si>
  <si>
    <t>CUST733</t>
  </si>
  <si>
    <t>ORD1045</t>
  </si>
  <si>
    <t>CUST887</t>
  </si>
  <si>
    <t>ORD1046</t>
  </si>
  <si>
    <t>14-02-2021</t>
  </si>
  <si>
    <t>CUST512</t>
  </si>
  <si>
    <t>Suresh</t>
  </si>
  <si>
    <t>ORD1047</t>
  </si>
  <si>
    <t>07-02-2021</t>
  </si>
  <si>
    <t>CUST1017</t>
  </si>
  <si>
    <t>ORD1048</t>
  </si>
  <si>
    <t>22-02-2021</t>
  </si>
  <si>
    <t>CUST963</t>
  </si>
  <si>
    <t>ORD1049</t>
  </si>
  <si>
    <t>CUST659</t>
  </si>
  <si>
    <t>ORD1050</t>
  </si>
  <si>
    <t>09-03-2021</t>
  </si>
  <si>
    <t>CUST1033</t>
  </si>
  <si>
    <t>ORD1051</t>
  </si>
  <si>
    <t>23-02-2021</t>
  </si>
  <si>
    <t>CUST525</t>
  </si>
  <si>
    <t>ORD1052</t>
  </si>
  <si>
    <t>24-03-2021</t>
  </si>
  <si>
    <t>CUST810</t>
  </si>
  <si>
    <t>ORD1053</t>
  </si>
  <si>
    <t>CUST711</t>
  </si>
  <si>
    <t>ORD1054</t>
  </si>
  <si>
    <t>CUST677</t>
  </si>
  <si>
    <t>ORD1055</t>
  </si>
  <si>
    <t>20-01-2021</t>
  </si>
  <si>
    <t>CUST817</t>
  </si>
  <si>
    <t>ORD1056</t>
  </si>
  <si>
    <t>ORD1057</t>
  </si>
  <si>
    <t>CUST730</t>
  </si>
  <si>
    <t>ORD1058</t>
  </si>
  <si>
    <t>05-01-2021</t>
  </si>
  <si>
    <t>ORD1059</t>
  </si>
  <si>
    <t>14-01-2021</t>
  </si>
  <si>
    <t>CUST1160</t>
  </si>
  <si>
    <t>ORD1060</t>
  </si>
  <si>
    <t>ORD1061</t>
  </si>
  <si>
    <t>CUST896</t>
  </si>
  <si>
    <t>ORD1062</t>
  </si>
  <si>
    <t>28-01-2021</t>
  </si>
  <si>
    <t>CUST591</t>
  </si>
  <si>
    <t>ORD1063</t>
  </si>
  <si>
    <t>CUST656</t>
  </si>
  <si>
    <t>ORD1064</t>
  </si>
  <si>
    <t>12-02-2021</t>
  </si>
  <si>
    <t>CUST1025</t>
  </si>
  <si>
    <t>ORD1065</t>
  </si>
  <si>
    <t>CUST500</t>
  </si>
  <si>
    <t>ORD1066</t>
  </si>
  <si>
    <t>17-03-2021</t>
  </si>
  <si>
    <t>CUST1084</t>
  </si>
  <si>
    <t>ORD1067</t>
  </si>
  <si>
    <t>10-01-2021</t>
  </si>
  <si>
    <t>CUST1041</t>
  </si>
  <si>
    <t>ORD1068</t>
  </si>
  <si>
    <t>CUST727</t>
  </si>
  <si>
    <t>ORD1069</t>
  </si>
  <si>
    <t>CUST765</t>
  </si>
  <si>
    <t>ORD1070</t>
  </si>
  <si>
    <t>CUST596</t>
  </si>
  <si>
    <t>ORD1071</t>
  </si>
  <si>
    <t>CUST566</t>
  </si>
  <si>
    <t>ORD1072</t>
  </si>
  <si>
    <t>CUST805</t>
  </si>
  <si>
    <t>ORD1073</t>
  </si>
  <si>
    <t>CUST988</t>
  </si>
  <si>
    <t>ORD1074</t>
  </si>
  <si>
    <t>01-03-2021</t>
  </si>
  <si>
    <t>CUST871</t>
  </si>
  <si>
    <t>ORD1075</t>
  </si>
  <si>
    <t>06-02-2021</t>
  </si>
  <si>
    <t>CUST627</t>
  </si>
  <si>
    <t>ORD1076</t>
  </si>
  <si>
    <t>31-03-2021</t>
  </si>
  <si>
    <t>CUST701</t>
  </si>
  <si>
    <t>ORD1077</t>
  </si>
  <si>
    <t>CUST1072</t>
  </si>
  <si>
    <t>ORD1078</t>
  </si>
  <si>
    <t>31-01-2021</t>
  </si>
  <si>
    <t>CUST1008</t>
  </si>
  <si>
    <t>ORD1079</t>
  </si>
  <si>
    <t>CUST1182</t>
  </si>
  <si>
    <t>ORD1080</t>
  </si>
  <si>
    <t>CUST902</t>
  </si>
  <si>
    <t>ORD1081</t>
  </si>
  <si>
    <t>CUST676</t>
  </si>
  <si>
    <t>ORD1082</t>
  </si>
  <si>
    <t>CUST769</t>
  </si>
  <si>
    <t>ORD1083</t>
  </si>
  <si>
    <t>CUST1096</t>
  </si>
  <si>
    <t>ORD1084</t>
  </si>
  <si>
    <t>CUST1189</t>
  </si>
  <si>
    <t>ORD1085</t>
  </si>
  <si>
    <t>11-01-2021</t>
  </si>
  <si>
    <t>ORD1086</t>
  </si>
  <si>
    <t>CUST1063</t>
  </si>
  <si>
    <t>ORD1087</t>
  </si>
  <si>
    <t>06-01-2021</t>
  </si>
  <si>
    <t>ORD1088</t>
  </si>
  <si>
    <t>14-03-2021</t>
  </si>
  <si>
    <t>CUST796</t>
  </si>
  <si>
    <t>ORD1089</t>
  </si>
  <si>
    <t>CUST700</t>
  </si>
  <si>
    <t>ORD1090</t>
  </si>
  <si>
    <t>CUST993</t>
  </si>
  <si>
    <t>ORD1091</t>
  </si>
  <si>
    <t>21-01-2021</t>
  </si>
  <si>
    <t>ORD1092</t>
  </si>
  <si>
    <t>ORD1093</t>
  </si>
  <si>
    <t>CUST721</t>
  </si>
  <si>
    <t>ORD1094</t>
  </si>
  <si>
    <t>ORD1095</t>
  </si>
  <si>
    <t>19-03-2021</t>
  </si>
  <si>
    <t>CUST583</t>
  </si>
  <si>
    <t>ORD1096</t>
  </si>
  <si>
    <t>CUST908</t>
  </si>
  <si>
    <t>ORD1097</t>
  </si>
  <si>
    <t>08-02-2021</t>
  </si>
  <si>
    <t>CUST645</t>
  </si>
  <si>
    <t>ORD1098</t>
  </si>
  <si>
    <t>ORD1099</t>
  </si>
  <si>
    <t>26-01-2021</t>
  </si>
  <si>
    <t>ORD1100</t>
  </si>
  <si>
    <t>16-02-2021</t>
  </si>
  <si>
    <t>CUST533</t>
  </si>
  <si>
    <t>ORD1101</t>
  </si>
  <si>
    <t>28-03-2021</t>
  </si>
  <si>
    <t>CUST845</t>
  </si>
  <si>
    <t>ORD1102</t>
  </si>
  <si>
    <t>CUST1113</t>
  </si>
  <si>
    <t>ORD1103</t>
  </si>
  <si>
    <t>27-01-2021</t>
  </si>
  <si>
    <t>ORD1104</t>
  </si>
  <si>
    <t>CUST745</t>
  </si>
  <si>
    <t>ORD1105</t>
  </si>
  <si>
    <t>ORD1106</t>
  </si>
  <si>
    <t>15-02-2021</t>
  </si>
  <si>
    <t>CUST803</t>
  </si>
  <si>
    <t>ORD1107</t>
  </si>
  <si>
    <t>CUST543</t>
  </si>
  <si>
    <t>ORD1108</t>
  </si>
  <si>
    <t>CUST631</t>
  </si>
  <si>
    <t>ORD1109</t>
  </si>
  <si>
    <t>CUST1130</t>
  </si>
  <si>
    <t>ORD1110</t>
  </si>
  <si>
    <t>ORD1111</t>
  </si>
  <si>
    <t>CUST1068</t>
  </si>
  <si>
    <t>ORD1112</t>
  </si>
  <si>
    <t>03-01-2021</t>
  </si>
  <si>
    <t>CUST648</t>
  </si>
  <si>
    <t>ORD1113</t>
  </si>
  <si>
    <t>ORD1114</t>
  </si>
  <si>
    <t>03-03-2021</t>
  </si>
  <si>
    <t>CUST1081</t>
  </si>
  <si>
    <t>ORD1115</t>
  </si>
  <si>
    <t>18-03-2021</t>
  </si>
  <si>
    <t>CUST918</t>
  </si>
  <si>
    <t>ORD1116</t>
  </si>
  <si>
    <t>CUST961</t>
  </si>
  <si>
    <t>ORD1117</t>
  </si>
  <si>
    <t>CUST1115</t>
  </si>
  <si>
    <t>ORD1118</t>
  </si>
  <si>
    <t>27-02-2021</t>
  </si>
  <si>
    <t>CUST800</t>
  </si>
  <si>
    <t>ORD1119</t>
  </si>
  <si>
    <t>22-01-2021</t>
  </si>
  <si>
    <t>CUST981</t>
  </si>
  <si>
    <t>ORD1120</t>
  </si>
  <si>
    <t>25-01-2021</t>
  </si>
  <si>
    <t>CUST814</t>
  </si>
  <si>
    <t>ORD1121</t>
  </si>
  <si>
    <t>CUST1040</t>
  </si>
  <si>
    <t>ORD1122</t>
  </si>
  <si>
    <t>CUST969</t>
  </si>
  <si>
    <t>ORD1123</t>
  </si>
  <si>
    <t>CUST756</t>
  </si>
  <si>
    <t>ORD1124</t>
  </si>
  <si>
    <t>CUST774</t>
  </si>
  <si>
    <t>ORD1125</t>
  </si>
  <si>
    <t>CUST920</t>
  </si>
  <si>
    <t>ORD1126</t>
  </si>
  <si>
    <t>CUST600</t>
  </si>
  <si>
    <t>ORD1127</t>
  </si>
  <si>
    <t>CUST629</t>
  </si>
  <si>
    <t>ORD1128</t>
  </si>
  <si>
    <t>CUST1002</t>
  </si>
  <si>
    <t>ORD1129</t>
  </si>
  <si>
    <t>CUST893</t>
  </si>
  <si>
    <t>ORD1130</t>
  </si>
  <si>
    <t>CUST680</t>
  </si>
  <si>
    <t>ORD1131</t>
  </si>
  <si>
    <t>19-01-2021</t>
  </si>
  <si>
    <t>CUST1094</t>
  </si>
  <si>
    <t>ORD1132</t>
  </si>
  <si>
    <t>19-02-2021</t>
  </si>
  <si>
    <t>CUST1043</t>
  </si>
  <si>
    <t>ORD1133</t>
  </si>
  <si>
    <t>CUST521</t>
  </si>
  <si>
    <t>ORD1134</t>
  </si>
  <si>
    <t>CUST848</t>
  </si>
  <si>
    <t>ORD1135</t>
  </si>
  <si>
    <t>CUST844</t>
  </si>
  <si>
    <t>ORD1136</t>
  </si>
  <si>
    <t>CUST1173</t>
  </si>
  <si>
    <t>ORD1137</t>
  </si>
  <si>
    <t>05-03-2021</t>
  </si>
  <si>
    <t>CUST809</t>
  </si>
  <si>
    <t>ORD1138</t>
  </si>
  <si>
    <t>CUST912</t>
  </si>
  <si>
    <t>ORD1139</t>
  </si>
  <si>
    <t>ORD1140</t>
  </si>
  <si>
    <t>CUST994</t>
  </si>
  <si>
    <t>ORD1141</t>
  </si>
  <si>
    <t>ORD1142</t>
  </si>
  <si>
    <t>06-03-2021</t>
  </si>
  <si>
    <t>CUST1050</t>
  </si>
  <si>
    <t>ORD1143</t>
  </si>
  <si>
    <t>CUST940</t>
  </si>
  <si>
    <t>ORD1144</t>
  </si>
  <si>
    <t>17-02-2021</t>
  </si>
  <si>
    <t>CUST1006</t>
  </si>
  <si>
    <t>ORD1145</t>
  </si>
  <si>
    <t>CUST720</t>
  </si>
  <si>
    <t>ORD1146</t>
  </si>
  <si>
    <t>01-02-2021</t>
  </si>
  <si>
    <t>CUST1038</t>
  </si>
  <si>
    <t>ORD1147</t>
  </si>
  <si>
    <t>CUST1000</t>
  </si>
  <si>
    <t>ORD1148</t>
  </si>
  <si>
    <t>CUST786</t>
  </si>
  <si>
    <t>ORD1149</t>
  </si>
  <si>
    <t>CUST1165</t>
  </si>
  <si>
    <t>ORD1150</t>
  </si>
  <si>
    <t>CUST788</t>
  </si>
  <si>
    <t>ORD1151</t>
  </si>
  <si>
    <t>CUST640</t>
  </si>
  <si>
    <t>ORD1152</t>
  </si>
  <si>
    <t>CUST504</t>
  </si>
  <si>
    <t>ORD1153</t>
  </si>
  <si>
    <t>29-03-2021</t>
  </si>
  <si>
    <t>CUST734</t>
  </si>
  <si>
    <t>ORD1154</t>
  </si>
  <si>
    <t>02-03-2021</t>
  </si>
  <si>
    <t>CUST1101</t>
  </si>
  <si>
    <t>ORD1155</t>
  </si>
  <si>
    <t>ORD1156</t>
  </si>
  <si>
    <t>ORD1157</t>
  </si>
  <si>
    <t>CUST1119</t>
  </si>
  <si>
    <t>ORD1158</t>
  </si>
  <si>
    <t>CUST943</t>
  </si>
  <si>
    <t>ORD1159</t>
  </si>
  <si>
    <t>CUST567</t>
  </si>
  <si>
    <t>ORD1160</t>
  </si>
  <si>
    <t>CUST789</t>
  </si>
  <si>
    <t>ORD1161</t>
  </si>
  <si>
    <t>ORD1162</t>
  </si>
  <si>
    <t>CUST933</t>
  </si>
  <si>
    <t>ORD1163</t>
  </si>
  <si>
    <t>09-02-2021</t>
  </si>
  <si>
    <t>CUST737</t>
  </si>
  <si>
    <t>ORD1164</t>
  </si>
  <si>
    <t>20-02-2021</t>
  </si>
  <si>
    <t>ORD1165</t>
  </si>
  <si>
    <t>CUST852</t>
  </si>
  <si>
    <t>ORD1166</t>
  </si>
  <si>
    <t>CUST978</t>
  </si>
  <si>
    <t>ORD1167</t>
  </si>
  <si>
    <t>CUST819</t>
  </si>
  <si>
    <t>ORD1168</t>
  </si>
  <si>
    <t>CUST938</t>
  </si>
  <si>
    <t>ORD1169</t>
  </si>
  <si>
    <t>ORD1170</t>
  </si>
  <si>
    <t>CUST757</t>
  </si>
  <si>
    <t>ORD1171</t>
  </si>
  <si>
    <t>ORD1172</t>
  </si>
  <si>
    <t>23-03-2021</t>
  </si>
  <si>
    <t>ORD1173</t>
  </si>
  <si>
    <t>ORD1174</t>
  </si>
  <si>
    <t>CUST1142</t>
  </si>
  <si>
    <t>ORD1175</t>
  </si>
  <si>
    <t>30-01-2021</t>
  </si>
  <si>
    <t>CUST929</t>
  </si>
  <si>
    <t>ORD1176</t>
  </si>
  <si>
    <t>CUST1124</t>
  </si>
  <si>
    <t>ORD1177</t>
  </si>
  <si>
    <t>CUST679</t>
  </si>
  <si>
    <t>ORD1178</t>
  </si>
  <si>
    <t>ORD1179</t>
  </si>
  <si>
    <t>ORD1180</t>
  </si>
  <si>
    <t>CUST787</t>
  </si>
  <si>
    <t>ORD1181</t>
  </si>
  <si>
    <t>CUST986</t>
  </si>
  <si>
    <t>ORD1182</t>
  </si>
  <si>
    <t>CUST1039</t>
  </si>
  <si>
    <t>ORD1183</t>
  </si>
  <si>
    <t>CUST1021</t>
  </si>
  <si>
    <t>ORD1184</t>
  </si>
  <si>
    <t>CUST1046</t>
  </si>
  <si>
    <t>ORD1185</t>
  </si>
  <si>
    <t>30-03-2021</t>
  </si>
  <si>
    <t>CUST891</t>
  </si>
  <si>
    <t>ORD1186</t>
  </si>
  <si>
    <t>15-01-2021</t>
  </si>
  <si>
    <t>ORD1187</t>
  </si>
  <si>
    <t>CUST615</t>
  </si>
  <si>
    <t>ORD1188</t>
  </si>
  <si>
    <t>CUST635</t>
  </si>
  <si>
    <t>ORD1189</t>
  </si>
  <si>
    <t>CUST793</t>
  </si>
  <si>
    <t>ORD1190</t>
  </si>
  <si>
    <t>CUST922</t>
  </si>
  <si>
    <t>ORD1191</t>
  </si>
  <si>
    <t>13-01-2021</t>
  </si>
  <si>
    <t>CUST928</t>
  </si>
  <si>
    <t>ORD1192</t>
  </si>
  <si>
    <t>CUST671</t>
  </si>
  <si>
    <t>ORD1193</t>
  </si>
  <si>
    <t>CUST869</t>
  </si>
  <si>
    <t>ORD1194</t>
  </si>
  <si>
    <t>ORD1195</t>
  </si>
  <si>
    <t>CUST569</t>
  </si>
  <si>
    <t>ORD1196</t>
  </si>
  <si>
    <t>CUST662</t>
  </si>
  <si>
    <t>ORD1197</t>
  </si>
  <si>
    <t>ORD1198</t>
  </si>
  <si>
    <t>CUST546</t>
  </si>
  <si>
    <t>ORD1199</t>
  </si>
  <si>
    <t>CUST747</t>
  </si>
  <si>
    <t>ORD1200</t>
  </si>
  <si>
    <t>CUST1140</t>
  </si>
  <si>
    <t>ORD1201</t>
  </si>
  <si>
    <t>ORD1202</t>
  </si>
  <si>
    <t>CUST548</t>
  </si>
  <si>
    <t>ORD1203</t>
  </si>
  <si>
    <t>CUST545</t>
  </si>
  <si>
    <t>ORD1204</t>
  </si>
  <si>
    <t>CUST637</t>
  </si>
  <si>
    <t>ORD1205</t>
  </si>
  <si>
    <t>ORD1206</t>
  </si>
  <si>
    <t>18-02-2021</t>
  </si>
  <si>
    <t>CUST1010</t>
  </si>
  <si>
    <t>ORD1207</t>
  </si>
  <si>
    <t>CUST742</t>
  </si>
  <si>
    <t>ORD1208</t>
  </si>
  <si>
    <t>ORD1209</t>
  </si>
  <si>
    <t>CUST672</t>
  </si>
  <si>
    <t>ORD1210</t>
  </si>
  <si>
    <t>CUST603</t>
  </si>
  <si>
    <t>ORD1211</t>
  </si>
  <si>
    <t>ORD1212</t>
  </si>
  <si>
    <t>CUST941</t>
  </si>
  <si>
    <t>ORD1213</t>
  </si>
  <si>
    <t>02-01-2021</t>
  </si>
  <si>
    <t>CUST1018</t>
  </si>
  <si>
    <t>ORD1214</t>
  </si>
  <si>
    <t>CUST1098</t>
  </si>
  <si>
    <t>ORD1215</t>
  </si>
  <si>
    <t>CUST959</t>
  </si>
  <si>
    <t>ORD1216</t>
  </si>
  <si>
    <t>CUST882</t>
  </si>
  <si>
    <t>ORD1217</t>
  </si>
  <si>
    <t>CUST1093</t>
  </si>
  <si>
    <t>ORD1218</t>
  </si>
  <si>
    <t>CUST821</t>
  </si>
  <si>
    <t>ORD1219</t>
  </si>
  <si>
    <t>CUST937</t>
  </si>
  <si>
    <t>ORD1220</t>
  </si>
  <si>
    <t>23-01-2021</t>
  </si>
  <si>
    <t>ORD1221</t>
  </si>
  <si>
    <t>CUST1035</t>
  </si>
  <si>
    <t>ORD1222</t>
  </si>
  <si>
    <t>CUST1118</t>
  </si>
  <si>
    <t>ORD1223</t>
  </si>
  <si>
    <t>CUST513</t>
  </si>
  <si>
    <t>ORD1224</t>
  </si>
  <si>
    <t>CUST967</t>
  </si>
  <si>
    <t>ORD1225</t>
  </si>
  <si>
    <t>CUST722</t>
  </si>
  <si>
    <t>ORD1226</t>
  </si>
  <si>
    <t>CUST1151</t>
  </si>
  <si>
    <t>ORD1227</t>
  </si>
  <si>
    <t>CUST1103</t>
  </si>
  <si>
    <t>ORD1228</t>
  </si>
  <si>
    <t>CUST713</t>
  </si>
  <si>
    <t>ORD1229</t>
  </si>
  <si>
    <t>ORD1230</t>
  </si>
  <si>
    <t>CUST1186</t>
  </si>
  <si>
    <t>ORD1231</t>
  </si>
  <si>
    <t>21-02-2021</t>
  </si>
  <si>
    <t>CUST910</t>
  </si>
  <si>
    <t>ORD1232</t>
  </si>
  <si>
    <t>ORD1233</t>
  </si>
  <si>
    <t>CUST561</t>
  </si>
  <si>
    <t>ORD1234</t>
  </si>
  <si>
    <t>25-03-2021</t>
  </si>
  <si>
    <t>CUST1149</t>
  </si>
  <si>
    <t>ORD1235</t>
  </si>
  <si>
    <t>CUST1070</t>
  </si>
  <si>
    <t>ORD1236</t>
  </si>
  <si>
    <t>CUST955</t>
  </si>
  <si>
    <t>ORD1237</t>
  </si>
  <si>
    <t>CUST911</t>
  </si>
  <si>
    <t>ORD1238</t>
  </si>
  <si>
    <t>ORD1239</t>
  </si>
  <si>
    <t>CUST917</t>
  </si>
  <si>
    <t>ORD1240</t>
  </si>
  <si>
    <t>04-03-2021</t>
  </si>
  <si>
    <t>CUST1192</t>
  </si>
  <si>
    <t>ORD1241</t>
  </si>
  <si>
    <t>07-01-2021</t>
  </si>
  <si>
    <t>ORD1242</t>
  </si>
  <si>
    <t>CUST580</t>
  </si>
  <si>
    <t>ORD1243</t>
  </si>
  <si>
    <t>CUST970</t>
  </si>
  <si>
    <t>ORD1244</t>
  </si>
  <si>
    <t>CUST666</t>
  </si>
  <si>
    <t>ORD1245</t>
  </si>
  <si>
    <t>ORD1246</t>
  </si>
  <si>
    <t>CUST505</t>
  </si>
  <si>
    <t>ORD1247</t>
  </si>
  <si>
    <t>CUST536</t>
  </si>
  <si>
    <t>ORD1248</t>
  </si>
  <si>
    <t>CUST562</t>
  </si>
  <si>
    <t>ORD1249</t>
  </si>
  <si>
    <t>CUST1071</t>
  </si>
  <si>
    <t>ORD1250</t>
  </si>
  <si>
    <t>10-03-2021</t>
  </si>
  <si>
    <t>ORD1251</t>
  </si>
  <si>
    <t>CUST861</t>
  </si>
  <si>
    <t>ORD1252</t>
  </si>
  <si>
    <t>CUST736</t>
  </si>
  <si>
    <t>ORD1253</t>
  </si>
  <si>
    <t>CUST785</t>
  </si>
  <si>
    <t>ORD1254</t>
  </si>
  <si>
    <t>CUST642</t>
  </si>
  <si>
    <t>ORD1255</t>
  </si>
  <si>
    <t>CUST905</t>
  </si>
  <si>
    <t>ORD1256</t>
  </si>
  <si>
    <t>CUST609</t>
  </si>
  <si>
    <t>ORD1257</t>
  </si>
  <si>
    <t>CUST838</t>
  </si>
  <si>
    <t>ORD1258</t>
  </si>
  <si>
    <t>CUST618</t>
  </si>
  <si>
    <t>ORD1259</t>
  </si>
  <si>
    <t>CUST1133</t>
  </si>
  <si>
    <t>ORD1260</t>
  </si>
  <si>
    <t>ORD1261</t>
  </si>
  <si>
    <t>CUST1004</t>
  </si>
  <si>
    <t>ORD1262</t>
  </si>
  <si>
    <t>CUST835</t>
  </si>
  <si>
    <t>ORD1263</t>
  </si>
  <si>
    <t>CUST606</t>
  </si>
  <si>
    <t>ORD1264</t>
  </si>
  <si>
    <t>CUST945</t>
  </si>
  <si>
    <t>ORD1265</t>
  </si>
  <si>
    <t>CUST1162</t>
  </si>
  <si>
    <t>ORD1266</t>
  </si>
  <si>
    <t>ORD1267</t>
  </si>
  <si>
    <t>ORD1268</t>
  </si>
  <si>
    <t>ORD1269</t>
  </si>
  <si>
    <t>CUST822</t>
  </si>
  <si>
    <t>ORD1270</t>
  </si>
  <si>
    <t>CUST1163</t>
  </si>
  <si>
    <t>ORD1271</t>
  </si>
  <si>
    <t>CUST781</t>
  </si>
  <si>
    <t>ORD1272</t>
  </si>
  <si>
    <t>CUST529</t>
  </si>
  <si>
    <t>ORD1273</t>
  </si>
  <si>
    <t>CUST715</t>
  </si>
  <si>
    <t>ORD1274</t>
  </si>
  <si>
    <t>CUST611</t>
  </si>
  <si>
    <t>ORD1275</t>
  </si>
  <si>
    <t>CUST949</t>
  </si>
  <si>
    <t>ORD1276</t>
  </si>
  <si>
    <t>CUST953</t>
  </si>
  <si>
    <t>ORD1277</t>
  </si>
  <si>
    <t>CUST1112</t>
  </si>
  <si>
    <t>ORD1278</t>
  </si>
  <si>
    <t>ORD1279</t>
  </si>
  <si>
    <t>ORD1280</t>
  </si>
  <si>
    <t>ORD1281</t>
  </si>
  <si>
    <t>ORD1282</t>
  </si>
  <si>
    <t>ORD1283</t>
  </si>
  <si>
    <t>09-01-2021</t>
  </si>
  <si>
    <t>ORD1284</t>
  </si>
  <si>
    <t>CUST544</t>
  </si>
  <si>
    <t>ORD1285</t>
  </si>
  <si>
    <t>ORD1286</t>
  </si>
  <si>
    <t>ORD1287</t>
  </si>
  <si>
    <t>ORD1288</t>
  </si>
  <si>
    <t>CUST699</t>
  </si>
  <si>
    <t>ORD1289</t>
  </si>
  <si>
    <t>ORD1290</t>
  </si>
  <si>
    <t>ORD1291</t>
  </si>
  <si>
    <t>CUST1123</t>
  </si>
  <si>
    <t>ORD1292</t>
  </si>
  <si>
    <t>CUST704</t>
  </si>
  <si>
    <t>ORD1293</t>
  </si>
  <si>
    <t>CUST710</t>
  </si>
  <si>
    <t>ORD1294</t>
  </si>
  <si>
    <t>ORD1295</t>
  </si>
  <si>
    <t>CUST577</t>
  </si>
  <si>
    <t>ORD1296</t>
  </si>
  <si>
    <t>ORD1297</t>
  </si>
  <si>
    <t>ORD1298</t>
  </si>
  <si>
    <t>CUST1188</t>
  </si>
  <si>
    <t>ORD1299</t>
  </si>
  <si>
    <t>ORD1300</t>
  </si>
  <si>
    <t>CUST1195</t>
  </si>
  <si>
    <t>ORD1301</t>
  </si>
  <si>
    <t>CUST556</t>
  </si>
  <si>
    <t>ORD1302</t>
  </si>
  <si>
    <t>CUST759</t>
  </si>
  <si>
    <t>ORD1303</t>
  </si>
  <si>
    <t>CUST1023</t>
  </si>
  <si>
    <t>ORD1304</t>
  </si>
  <si>
    <t>CUST960</t>
  </si>
  <si>
    <t>ORD1305</t>
  </si>
  <si>
    <t>CUST971</t>
  </si>
  <si>
    <t>ORD1306</t>
  </si>
  <si>
    <t>CUST758</t>
  </si>
  <si>
    <t>ORD1307</t>
  </si>
  <si>
    <t>CUST991</t>
  </si>
  <si>
    <t>ORD1308</t>
  </si>
  <si>
    <t>CUST601</t>
  </si>
  <si>
    <t>ORD1309</t>
  </si>
  <si>
    <t>CUST831</t>
  </si>
  <si>
    <t>ORD1310</t>
  </si>
  <si>
    <t>CUST632</t>
  </si>
  <si>
    <t>ORD1311</t>
  </si>
  <si>
    <t>CUST619</t>
  </si>
  <si>
    <t>ORD1312</t>
  </si>
  <si>
    <t>CUST802</t>
  </si>
  <si>
    <t>ORD1313</t>
  </si>
  <si>
    <t>CUST783</t>
  </si>
  <si>
    <t>ORD1314</t>
  </si>
  <si>
    <t>CUST1152</t>
  </si>
  <si>
    <t>ORD1315</t>
  </si>
  <si>
    <t>CUST951</t>
  </si>
  <si>
    <t>ORD1316</t>
  </si>
  <si>
    <t>ORD1317</t>
  </si>
  <si>
    <t>CUST1148</t>
  </si>
  <si>
    <t>ORD1318</t>
  </si>
  <si>
    <t>CUST1099</t>
  </si>
  <si>
    <t>ORD1319</t>
  </si>
  <si>
    <t>CUST1168</t>
  </si>
  <si>
    <t>ORD1320</t>
  </si>
  <si>
    <t>CUST595</t>
  </si>
  <si>
    <t>ORD1321</t>
  </si>
  <si>
    <t>ORD1322</t>
  </si>
  <si>
    <t>CUST623</t>
  </si>
  <si>
    <t>ORD1323</t>
  </si>
  <si>
    <t>CUST1003</t>
  </si>
  <si>
    <t>ORD1324</t>
  </si>
  <si>
    <t>CUST1111</t>
  </si>
  <si>
    <t>ORD1325</t>
  </si>
  <si>
    <t>ORD1326</t>
  </si>
  <si>
    <t>CUST884</t>
  </si>
  <si>
    <t>ORD1327</t>
  </si>
  <si>
    <t>ORD1328</t>
  </si>
  <si>
    <t>CUST924</t>
  </si>
  <si>
    <t>ORD1329</t>
  </si>
  <si>
    <t>ORD1330</t>
  </si>
  <si>
    <t>CUST806</t>
  </si>
  <si>
    <t>ORD1331</t>
  </si>
  <si>
    <t>CUST1128</t>
  </si>
  <si>
    <t>ORD1332</t>
  </si>
  <si>
    <t>ORD1333</t>
  </si>
  <si>
    <t>ORD1334</t>
  </si>
  <si>
    <t>CUST1011</t>
  </si>
  <si>
    <t>ORD1335</t>
  </si>
  <si>
    <t>CUST1065</t>
  </si>
  <si>
    <t>ORD1336</t>
  </si>
  <si>
    <t>CUST1121</t>
  </si>
  <si>
    <t>ORD1337</t>
  </si>
  <si>
    <t>CUST686</t>
  </si>
  <si>
    <t>ORD1338</t>
  </si>
  <si>
    <t>ORD1339</t>
  </si>
  <si>
    <t>CUST604</t>
  </si>
  <si>
    <t>ORD1340</t>
  </si>
  <si>
    <t>CUST1153</t>
  </si>
  <si>
    <t>ORD1341</t>
  </si>
  <si>
    <t>CUST1102</t>
  </si>
  <si>
    <t>ORD1342</t>
  </si>
  <si>
    <t>ORD1343</t>
  </si>
  <si>
    <t>CUST921</t>
  </si>
  <si>
    <t>ORD1344</t>
  </si>
  <si>
    <t>ORD1345</t>
  </si>
  <si>
    <t>ORD1346</t>
  </si>
  <si>
    <t>CUST502</t>
  </si>
  <si>
    <t>ORD1347</t>
  </si>
  <si>
    <t>CUST653</t>
  </si>
  <si>
    <t>ORD1348</t>
  </si>
  <si>
    <t>CUST553</t>
  </si>
  <si>
    <t>ORD1349</t>
  </si>
  <si>
    <t>ORD1350</t>
  </si>
  <si>
    <t>ORD1351</t>
  </si>
  <si>
    <t>CUST982</t>
  </si>
  <si>
    <t>ORD1352</t>
  </si>
  <si>
    <t>ORD1353</t>
  </si>
  <si>
    <t>CUST1088</t>
  </si>
  <si>
    <t>ORD1354</t>
  </si>
  <si>
    <t>ORD1355</t>
  </si>
  <si>
    <t>ORD1356</t>
  </si>
  <si>
    <t>ORD1357</t>
  </si>
  <si>
    <t>CUST644</t>
  </si>
  <si>
    <t>ORD1358</t>
  </si>
  <si>
    <t>CUST554</t>
  </si>
  <si>
    <t>ORD1359</t>
  </si>
  <si>
    <t>ORD1360</t>
  </si>
  <si>
    <t>CUST859</t>
  </si>
  <si>
    <t>ORD1361</t>
  </si>
  <si>
    <t>ORD1362</t>
  </si>
  <si>
    <t>ORD1363</t>
  </si>
  <si>
    <t>ORD1364</t>
  </si>
  <si>
    <t>CUST728</t>
  </si>
  <si>
    <t>ORD1365</t>
  </si>
  <si>
    <t>CUST703</t>
  </si>
  <si>
    <t>ORD1366</t>
  </si>
  <si>
    <t>ORD1367</t>
  </si>
  <si>
    <t>CUST555</t>
  </si>
  <si>
    <t>ORD1368</t>
  </si>
  <si>
    <t>ORD1369</t>
  </si>
  <si>
    <t>CUST726</t>
  </si>
  <si>
    <t>ORD1370</t>
  </si>
  <si>
    <t>CUST560</t>
  </si>
  <si>
    <t>ORD1371</t>
  </si>
  <si>
    <t>CUST651</t>
  </si>
  <si>
    <t>ORD1372</t>
  </si>
  <si>
    <t>CUST934</t>
  </si>
  <si>
    <t>ORD1373</t>
  </si>
  <si>
    <t>ORD1374</t>
  </si>
  <si>
    <t>CUST828</t>
  </si>
  <si>
    <t>ORD1375</t>
  </si>
  <si>
    <t>CUST901</t>
  </si>
  <si>
    <t>ORD1376</t>
  </si>
  <si>
    <t>CUST660</t>
  </si>
  <si>
    <t>ORD1377</t>
  </si>
  <si>
    <t>ORD1378</t>
  </si>
  <si>
    <t>CUST501</t>
  </si>
  <si>
    <t>ORD1379</t>
  </si>
  <si>
    <t>ORD1380</t>
  </si>
  <si>
    <t>CUST870</t>
  </si>
  <si>
    <t>ORD1381</t>
  </si>
  <si>
    <t>CUST1036</t>
  </si>
  <si>
    <t>ORD1382</t>
  </si>
  <si>
    <t>CUST597</t>
  </si>
  <si>
    <t>ORD1383</t>
  </si>
  <si>
    <t>CUST992</t>
  </si>
  <si>
    <t>ORD1384</t>
  </si>
  <si>
    <t>CUST574</t>
  </si>
  <si>
    <t>ORD1385</t>
  </si>
  <si>
    <t>CUST689</t>
  </si>
  <si>
    <t>ORD1386</t>
  </si>
  <si>
    <t>CUST877</t>
  </si>
  <si>
    <t>ORD1387</t>
  </si>
  <si>
    <t>CUST816</t>
  </si>
  <si>
    <t>ORD1388</t>
  </si>
  <si>
    <t>ORD1389</t>
  </si>
  <si>
    <t>ORD1390</t>
  </si>
  <si>
    <t>CUST858</t>
  </si>
  <si>
    <t>ORD1391</t>
  </si>
  <si>
    <t>ORD1392</t>
  </si>
  <si>
    <t>ORD1393</t>
  </si>
  <si>
    <t>CUST857</t>
  </si>
  <si>
    <t>ORD1394</t>
  </si>
  <si>
    <t>CUST613</t>
  </si>
  <si>
    <t>ORD1395</t>
  </si>
  <si>
    <t>CUST1131</t>
  </si>
  <si>
    <t>ORD1396</t>
  </si>
  <si>
    <t>CUST1053</t>
  </si>
  <si>
    <t>ORD1397</t>
  </si>
  <si>
    <t>ORD1398</t>
  </si>
  <si>
    <t>ORD1399</t>
  </si>
  <si>
    <t>ORD1400</t>
  </si>
  <si>
    <t>CUST948</t>
  </si>
  <si>
    <t>ORD1401</t>
  </si>
  <si>
    <t>ORD1402</t>
  </si>
  <si>
    <t>ORD1403</t>
  </si>
  <si>
    <t>ORD1404</t>
  </si>
  <si>
    <t>CUST1183</t>
  </si>
  <si>
    <t>ORD1405</t>
  </si>
  <si>
    <t>CUST775</t>
  </si>
  <si>
    <t>ORD1406</t>
  </si>
  <si>
    <t>CUST1108</t>
  </si>
  <si>
    <t>ORD1407</t>
  </si>
  <si>
    <t>CUST743</t>
  </si>
  <si>
    <t>ORD1408</t>
  </si>
  <si>
    <t>ORD1409</t>
  </si>
  <si>
    <t>ORD1410</t>
  </si>
  <si>
    <t>CUST582</t>
  </si>
  <si>
    <t>ORD1411</t>
  </si>
  <si>
    <t>ORD1412</t>
  </si>
  <si>
    <t>ORD1413</t>
  </si>
  <si>
    <t>CUST585</t>
  </si>
  <si>
    <t>ORD1414</t>
  </si>
  <si>
    <t>ORD1415</t>
  </si>
  <si>
    <t>CUST602</t>
  </si>
  <si>
    <t>ORD1416</t>
  </si>
  <si>
    <t>CUST833</t>
  </si>
  <si>
    <t>ORD1417</t>
  </si>
  <si>
    <t>ORD1418</t>
  </si>
  <si>
    <t>ORD1419</t>
  </si>
  <si>
    <t>ORD1420</t>
  </si>
  <si>
    <t>ORD1421</t>
  </si>
  <si>
    <t>CUST1187</t>
  </si>
  <si>
    <t>ORD1422</t>
  </si>
  <si>
    <t>ORD1423</t>
  </si>
  <si>
    <t>CUST834</t>
  </si>
  <si>
    <t>ORD1424</t>
  </si>
  <si>
    <t>CUST812</t>
  </si>
  <si>
    <t>ORD1425</t>
  </si>
  <si>
    <t>CUST587</t>
  </si>
  <si>
    <t>ORD1426</t>
  </si>
  <si>
    <t>ORD1427</t>
  </si>
  <si>
    <t>CUST1155</t>
  </si>
  <si>
    <t>ORD1428</t>
  </si>
  <si>
    <t>CUST665</t>
  </si>
  <si>
    <t>ORD1429</t>
  </si>
  <si>
    <t>ORD1430</t>
  </si>
  <si>
    <t>ORD1431</t>
  </si>
  <si>
    <t>CUST950</t>
  </si>
  <si>
    <t>ORD1432</t>
  </si>
  <si>
    <t>CUST1144</t>
  </si>
  <si>
    <t>ORD1433</t>
  </si>
  <si>
    <t>CUST519</t>
  </si>
  <si>
    <t>ORD1434</t>
  </si>
  <si>
    <t>ORD1435</t>
  </si>
  <si>
    <t>CUST864</t>
  </si>
  <si>
    <t>ORD1436</t>
  </si>
  <si>
    <t>ORD1437</t>
  </si>
  <si>
    <t>CUST740</t>
  </si>
  <si>
    <t>ORD1438</t>
  </si>
  <si>
    <t>CUST674</t>
  </si>
  <si>
    <t>ORD1439</t>
  </si>
  <si>
    <t>CUST1077</t>
  </si>
  <si>
    <t>ORD1440</t>
  </si>
  <si>
    <t>CUST873</t>
  </si>
  <si>
    <t>ORD1441</t>
  </si>
  <si>
    <t>ORD1442</t>
  </si>
  <si>
    <t>CUST772</t>
  </si>
  <si>
    <t>ORD1443</t>
  </si>
  <si>
    <t>CUST1132</t>
  </si>
  <si>
    <t>ORD1444</t>
  </si>
  <si>
    <t>CUST907</t>
  </si>
  <si>
    <t>ORD1445</t>
  </si>
  <si>
    <t>ORD1446</t>
  </si>
  <si>
    <t>ORD1447</t>
  </si>
  <si>
    <t>CUST673</t>
  </si>
  <si>
    <t>ORD1448</t>
  </si>
  <si>
    <t>CUST584</t>
  </si>
  <si>
    <t>ORD1449</t>
  </si>
  <si>
    <t>CUST608</t>
  </si>
  <si>
    <t>ORD1450</t>
  </si>
  <si>
    <t>CUST755</t>
  </si>
  <si>
    <t>ORD1451</t>
  </si>
  <si>
    <t>CUST1007</t>
  </si>
  <si>
    <t>ORD1452</t>
  </si>
  <si>
    <t>ORD1453</t>
  </si>
  <si>
    <t>ORD1454</t>
  </si>
  <si>
    <t>CUST1020</t>
  </si>
  <si>
    <t>ORD1455</t>
  </si>
  <si>
    <t>ORD1456</t>
  </si>
  <si>
    <t>CUST540</t>
  </si>
  <si>
    <t>ORD1457</t>
  </si>
  <si>
    <t>ORD1458</t>
  </si>
  <si>
    <t>CUST1013</t>
  </si>
  <si>
    <t>ORD1459</t>
  </si>
  <si>
    <t>CUST1080</t>
  </si>
  <si>
    <t>ORD1460</t>
  </si>
  <si>
    <t>CUST1097</t>
  </si>
  <si>
    <t>ORD1461</t>
  </si>
  <si>
    <t>ORD1462</t>
  </si>
  <si>
    <t>ORD1463</t>
  </si>
  <si>
    <t>CUST694</t>
  </si>
  <si>
    <t>ORD1464</t>
  </si>
  <si>
    <t>ORD1465</t>
  </si>
  <si>
    <t>ORD1466</t>
  </si>
  <si>
    <t>CUST693</t>
  </si>
  <si>
    <t>ORD1467</t>
  </si>
  <si>
    <t>CUST717</t>
  </si>
  <si>
    <t>ORD1468</t>
  </si>
  <si>
    <t>CUST1073</t>
  </si>
  <si>
    <t>ORD1469</t>
  </si>
  <si>
    <t>ORD1470</t>
  </si>
  <si>
    <t>ORD1471</t>
  </si>
  <si>
    <t>CUST663</t>
  </si>
  <si>
    <t>ORD1472</t>
  </si>
  <si>
    <t>CUST690</t>
  </si>
  <si>
    <t>ORD1473</t>
  </si>
  <si>
    <t>CUST823</t>
  </si>
  <si>
    <t>ORD1474</t>
  </si>
  <si>
    <t>ORD1475</t>
  </si>
  <si>
    <t>CUST927</t>
  </si>
  <si>
    <t>ORD1476</t>
  </si>
  <si>
    <t>ORD1477</t>
  </si>
  <si>
    <t>ORD1478</t>
  </si>
  <si>
    <t>ORD1479</t>
  </si>
  <si>
    <t>ORD1480</t>
  </si>
  <si>
    <t>ORD1481</t>
  </si>
  <si>
    <t>ORD1482</t>
  </si>
  <si>
    <t>ORD1483</t>
  </si>
  <si>
    <t>CUST541</t>
  </si>
  <si>
    <t>ORD1484</t>
  </si>
  <si>
    <t>ORD1485</t>
  </si>
  <si>
    <t>CUST1029</t>
  </si>
  <si>
    <t>ORD1486</t>
  </si>
  <si>
    <t>ORD1487</t>
  </si>
  <si>
    <t>CUST919</t>
  </si>
  <si>
    <t>ORD1488</t>
  </si>
  <si>
    <t>CUST883</t>
  </si>
  <si>
    <t>ORD1489</t>
  </si>
  <si>
    <t>ORD1490</t>
  </si>
  <si>
    <t>ORD1491</t>
  </si>
  <si>
    <t>CUST530</t>
  </si>
  <si>
    <t>ORD1492</t>
  </si>
  <si>
    <t>ORD1493</t>
  </si>
  <si>
    <t>CUST947</t>
  </si>
  <si>
    <t>ORD1494</t>
  </si>
  <si>
    <t>CUST1190</t>
  </si>
  <si>
    <t>ORD1495</t>
  </si>
  <si>
    <t>ORD1496</t>
  </si>
  <si>
    <t>CUST607</t>
  </si>
  <si>
    <t>ORD1497</t>
  </si>
  <si>
    <t>ORD1498</t>
  </si>
  <si>
    <t>ORD1499</t>
  </si>
  <si>
    <t>CUST510</t>
  </si>
  <si>
    <t>ORD1500</t>
  </si>
  <si>
    <t>ORD1501</t>
  </si>
  <si>
    <t>ORD1502</t>
  </si>
  <si>
    <t>ORD1503</t>
  </si>
  <si>
    <t>ORD1504</t>
  </si>
  <si>
    <t>CUST1051</t>
  </si>
  <si>
    <t>ORD1505</t>
  </si>
  <si>
    <t>ORD1506</t>
  </si>
  <si>
    <t>ORD1507</t>
  </si>
  <si>
    <t>ORD1508</t>
  </si>
  <si>
    <t>ORD1509</t>
  </si>
  <si>
    <t>CUST839</t>
  </si>
  <si>
    <t>ORD1510</t>
  </si>
  <si>
    <t>CUST1058</t>
  </si>
  <si>
    <t>ORD1511</t>
  </si>
  <si>
    <t>CUST1086</t>
  </si>
  <si>
    <t>ORD1512</t>
  </si>
  <si>
    <t>ORD1513</t>
  </si>
  <si>
    <t>ORD1514</t>
  </si>
  <si>
    <t>ORD1515</t>
  </si>
  <si>
    <t>ORD1516</t>
  </si>
  <si>
    <t>CUST1079</t>
  </si>
  <si>
    <t>ORD1517</t>
  </si>
  <si>
    <t>CUST664</t>
  </si>
  <si>
    <t>ORD1518</t>
  </si>
  <si>
    <t>CUST723</t>
  </si>
  <si>
    <t>ORD1519</t>
  </si>
  <si>
    <t>ORD1520</t>
  </si>
  <si>
    <t>ORD1521</t>
  </si>
  <si>
    <t>ORD1522</t>
  </si>
  <si>
    <t>CUST754</t>
  </si>
  <si>
    <t>ORD1523</t>
  </si>
  <si>
    <t>ORD1524</t>
  </si>
  <si>
    <t>CUST1171</t>
  </si>
  <si>
    <t>ORD1525</t>
  </si>
  <si>
    <t>ORD1526</t>
  </si>
  <si>
    <t>CUST1110</t>
  </si>
  <si>
    <t>ORD1527</t>
  </si>
  <si>
    <t>ORD1528</t>
  </si>
  <si>
    <t>ORD1529</t>
  </si>
  <si>
    <t>ORD1530</t>
  </si>
  <si>
    <t>ORD1531</t>
  </si>
  <si>
    <t>CUST866</t>
  </si>
  <si>
    <t>ORD1532</t>
  </si>
  <si>
    <t>CUST559</t>
  </si>
  <si>
    <t>ORD1533</t>
  </si>
  <si>
    <t>ORD1534</t>
  </si>
  <si>
    <t>ORD1535</t>
  </si>
  <si>
    <t>ORD1536</t>
  </si>
  <si>
    <t>ORD1537</t>
  </si>
  <si>
    <t>CUST542</t>
  </si>
  <si>
    <t>ORD1538</t>
  </si>
  <si>
    <t>ORD1539</t>
  </si>
  <si>
    <t>ORD1540</t>
  </si>
  <si>
    <t>ORD1541</t>
  </si>
  <si>
    <t>ORD1542</t>
  </si>
  <si>
    <t>CUST1106</t>
  </si>
  <si>
    <t>ORD1543</t>
  </si>
  <si>
    <t>ORD1544</t>
  </si>
  <si>
    <t>ORD1545</t>
  </si>
  <si>
    <t>CUST1057</t>
  </si>
  <si>
    <t>ORD1546</t>
  </si>
  <si>
    <t>CUST837</t>
  </si>
  <si>
    <t>ORD1547</t>
  </si>
  <si>
    <t>ORD1548</t>
  </si>
  <si>
    <t>ORD1549</t>
  </si>
  <si>
    <t>CUST939</t>
  </si>
  <si>
    <t>ORD1550</t>
  </si>
  <si>
    <t>CUST650</t>
  </si>
  <si>
    <t>ORD1551</t>
  </si>
  <si>
    <t>CUST985</t>
  </si>
  <si>
    <t>ORD1552</t>
  </si>
  <si>
    <t>CUST1012</t>
  </si>
  <si>
    <t>ORD1553</t>
  </si>
  <si>
    <t>ORD1554</t>
  </si>
  <si>
    <t>ORD1555</t>
  </si>
  <si>
    <t>CUST794</t>
  </si>
  <si>
    <t>ORD1556</t>
  </si>
  <si>
    <t>ORD1557</t>
  </si>
  <si>
    <t>ORD1558</t>
  </si>
  <si>
    <t>CUST1042</t>
  </si>
  <si>
    <t>ORD1559</t>
  </si>
  <si>
    <t>CUST1022</t>
  </si>
  <si>
    <t>ORD1560</t>
  </si>
  <si>
    <t>CUST1034</t>
  </si>
  <si>
    <t>ORD1561</t>
  </si>
  <si>
    <t>ORD1562</t>
  </si>
  <si>
    <t>CUST1141</t>
  </si>
  <si>
    <t>ORD1563</t>
  </si>
  <si>
    <t>ORD1564</t>
  </si>
  <si>
    <t>ORD1565</t>
  </si>
  <si>
    <t>CUST909</t>
  </si>
  <si>
    <t>ORD1566</t>
  </si>
  <si>
    <t>ORD1567</t>
  </si>
  <si>
    <t>ORD1568</t>
  </si>
  <si>
    <t>ORD1569</t>
  </si>
  <si>
    <t>ORD1570</t>
  </si>
  <si>
    <t>CUST661</t>
  </si>
  <si>
    <t>ORD1571</t>
  </si>
  <si>
    <t>CUST851</t>
  </si>
  <si>
    <t>ORD1572</t>
  </si>
  <si>
    <t>ORD1573</t>
  </si>
  <si>
    <t>ORD1574</t>
  </si>
  <si>
    <t>ORD1575</t>
  </si>
  <si>
    <t>ORD1576</t>
  </si>
  <si>
    <t>ORD1577</t>
  </si>
  <si>
    <t>ORD1578</t>
  </si>
  <si>
    <t>CUST1107</t>
  </si>
  <si>
    <t>ORD1579</t>
  </si>
  <si>
    <t>ORD1580</t>
  </si>
  <si>
    <t>CUST1100</t>
  </si>
  <si>
    <t>ORD1581</t>
  </si>
  <si>
    <t>ORD1582</t>
  </si>
  <si>
    <t>CUST599</t>
  </si>
  <si>
    <t>ORD1583</t>
  </si>
  <si>
    <t>CUST813</t>
  </si>
  <si>
    <t>ORD1584</t>
  </si>
  <si>
    <t>ORD1585</t>
  </si>
  <si>
    <t>ORD1586</t>
  </si>
  <si>
    <t>ORD1587</t>
  </si>
  <si>
    <t>ORD1588</t>
  </si>
  <si>
    <t>ORD1589</t>
  </si>
  <si>
    <t>ORD1590</t>
  </si>
  <si>
    <t>CUST520</t>
  </si>
  <si>
    <t>ORD1591</t>
  </si>
  <si>
    <t>CUST534</t>
  </si>
  <si>
    <t>ORD1592</t>
  </si>
  <si>
    <t>CUST1031</t>
  </si>
  <si>
    <t>ORD1593</t>
  </si>
  <si>
    <t>ORD1594</t>
  </si>
  <si>
    <t>ORD1595</t>
  </si>
  <si>
    <t>ORD1596</t>
  </si>
  <si>
    <t>CUST1104</t>
  </si>
  <si>
    <t>ORD1597</t>
  </si>
  <si>
    <t>ORD1598</t>
  </si>
  <si>
    <t>ORD1599</t>
  </si>
  <si>
    <t>ORD1600</t>
  </si>
  <si>
    <t>CUST996</t>
  </si>
  <si>
    <t>ORD1601</t>
  </si>
  <si>
    <t>ORD1602</t>
  </si>
  <si>
    <t>CUST1092</t>
  </si>
  <si>
    <t>ORD1603</t>
  </si>
  <si>
    <t>ORD1604</t>
  </si>
  <si>
    <t>CUST897</t>
  </si>
  <si>
    <t>ORD1605</t>
  </si>
  <si>
    <t>ORD1606</t>
  </si>
  <si>
    <t>CUST550</t>
  </si>
  <si>
    <t>ORD1607</t>
  </si>
  <si>
    <t>CUST697</t>
  </si>
  <si>
    <t>ORD1608</t>
  </si>
  <si>
    <t>ORD1609</t>
  </si>
  <si>
    <t>CUST974</t>
  </si>
  <si>
    <t>ORD1610</t>
  </si>
  <si>
    <t>ORD1611</t>
  </si>
  <si>
    <t>ORD1612</t>
  </si>
  <si>
    <t>ORD1613</t>
  </si>
  <si>
    <t>ORD1614</t>
  </si>
  <si>
    <t>ORD1615</t>
  </si>
  <si>
    <t>ORD1616</t>
  </si>
  <si>
    <t>ORD1617</t>
  </si>
  <si>
    <t>ORD1618</t>
  </si>
  <si>
    <t>CUST523</t>
  </si>
  <si>
    <t>ORD1619</t>
  </si>
  <si>
    <t>ORD1620</t>
  </si>
  <si>
    <t>ORD1621</t>
  </si>
  <si>
    <t>CUST514</t>
  </si>
  <si>
    <t>ORD1622</t>
  </si>
  <si>
    <t>CUST999</t>
  </si>
  <si>
    <t>ORD1623</t>
  </si>
  <si>
    <t>CUST547</t>
  </si>
  <si>
    <t>ORD1624</t>
  </si>
  <si>
    <t>ORD1625</t>
  </si>
  <si>
    <t>CUST1005</t>
  </si>
  <si>
    <t>ORD1626</t>
  </si>
  <si>
    <t>ORD1627</t>
  </si>
  <si>
    <t>ORD1628</t>
  </si>
  <si>
    <t>ORD1629</t>
  </si>
  <si>
    <t>ORD1630</t>
  </si>
  <si>
    <t>CUST509</t>
  </si>
  <si>
    <t>ORD1631</t>
  </si>
  <si>
    <t>ORD1632</t>
  </si>
  <si>
    <t>CUST1060</t>
  </si>
  <si>
    <t>ORD1633</t>
  </si>
  <si>
    <t>ORD1634</t>
  </si>
  <si>
    <t>ORD1635</t>
  </si>
  <si>
    <t>ORD1636</t>
  </si>
  <si>
    <t>ORD1637</t>
  </si>
  <si>
    <t>ORD1638</t>
  </si>
  <si>
    <t>ORD1639</t>
  </si>
  <si>
    <t>CUST1049</t>
  </si>
  <si>
    <t>ORD1640</t>
  </si>
  <si>
    <t>ORD1641</t>
  </si>
  <si>
    <t>ORD1642</t>
  </si>
  <si>
    <t>CUST881</t>
  </si>
  <si>
    <t>ORD1643</t>
  </si>
  <si>
    <t>ORD1644</t>
  </si>
  <si>
    <t>CUST1087</t>
  </si>
  <si>
    <t>ORD1645</t>
  </si>
  <si>
    <t>CUST712</t>
  </si>
  <si>
    <t>ORD1646</t>
  </si>
  <si>
    <t>ORD1647</t>
  </si>
  <si>
    <t>ORD1648</t>
  </si>
  <si>
    <t>ORD1649</t>
  </si>
  <si>
    <t>CUST1150</t>
  </si>
  <si>
    <t>ORD1650</t>
  </si>
  <si>
    <t>CUST576</t>
  </si>
  <si>
    <t>ORD1651</t>
  </si>
  <si>
    <t>ORD1652</t>
  </si>
  <si>
    <t>ORD1653</t>
  </si>
  <si>
    <t>CUST1167</t>
  </si>
  <si>
    <t>ORD1654</t>
  </si>
  <si>
    <t>ORD1655</t>
  </si>
  <si>
    <t>CUST657</t>
  </si>
  <si>
    <t>ORD1656</t>
  </si>
  <si>
    <t>ORD1657</t>
  </si>
  <si>
    <t>ORD1658</t>
  </si>
  <si>
    <t>ORD1659</t>
  </si>
  <si>
    <t>CUST972</t>
  </si>
  <si>
    <t>ORD1660</t>
  </si>
  <si>
    <t>ORD1661</t>
  </si>
  <si>
    <t>ORD1662</t>
  </si>
  <si>
    <t>ORD1663</t>
  </si>
  <si>
    <t>ORD1664</t>
  </si>
  <si>
    <t>CUST682</t>
  </si>
  <si>
    <t>ORD1665</t>
  </si>
  <si>
    <t>CUST1125</t>
  </si>
  <si>
    <t>ORD1666</t>
  </si>
  <si>
    <t>CUST649</t>
  </si>
  <si>
    <t>ORD1667</t>
  </si>
  <si>
    <t>ORD1668</t>
  </si>
  <si>
    <t>ORD1669</t>
  </si>
  <si>
    <t>ORD1670</t>
  </si>
  <si>
    <t>CUST1164</t>
  </si>
  <si>
    <t>ORD1671</t>
  </si>
  <si>
    <t>ORD1672</t>
  </si>
  <si>
    <t>ORD1673</t>
  </si>
  <si>
    <t>ORD1674</t>
  </si>
  <si>
    <t>ORD1675</t>
  </si>
  <si>
    <t>ORD1676</t>
  </si>
  <si>
    <t>ORD1677</t>
  </si>
  <si>
    <t>CUST854</t>
  </si>
  <si>
    <t>ORD1678</t>
  </si>
  <si>
    <t>CUST1197</t>
  </si>
  <si>
    <t>ORD1679</t>
  </si>
  <si>
    <t>ORD1680</t>
  </si>
  <si>
    <t>ORD1681</t>
  </si>
  <si>
    <t>CUST643</t>
  </si>
  <si>
    <t>ORD1682</t>
  </si>
  <si>
    <t>ORD1683</t>
  </si>
  <si>
    <t>CUST511</t>
  </si>
  <si>
    <t>ORD1684</t>
  </si>
  <si>
    <t>ORD1685</t>
  </si>
  <si>
    <t>ORD1686</t>
  </si>
  <si>
    <t>CUST527</t>
  </si>
  <si>
    <t>ORD1687</t>
  </si>
  <si>
    <t>CUST641</t>
  </si>
  <si>
    <t>ORD1688</t>
  </si>
  <si>
    <t>ORD1689</t>
  </si>
  <si>
    <t>ORD1690</t>
  </si>
  <si>
    <t>ORD1691</t>
  </si>
  <si>
    <t>ORD1692</t>
  </si>
  <si>
    <t>ORD1693</t>
  </si>
  <si>
    <t>ORD1694</t>
  </si>
  <si>
    <t>CUST620</t>
  </si>
  <si>
    <t>ORD1695</t>
  </si>
  <si>
    <t>ORD1696</t>
  </si>
  <si>
    <t>CUST885</t>
  </si>
  <si>
    <t>ORD1697</t>
  </si>
  <si>
    <t>CUST526</t>
  </si>
  <si>
    <t>ORD1698</t>
  </si>
  <si>
    <t>CUST782</t>
  </si>
  <si>
    <t>ORD1699</t>
  </si>
  <si>
    <t>CUST795</t>
  </si>
  <si>
    <t>ORD1700</t>
  </si>
  <si>
    <t>CUST1174</t>
  </si>
  <si>
    <t>ORD1701</t>
  </si>
  <si>
    <t>ORD1702</t>
  </si>
  <si>
    <t>ORD1703</t>
  </si>
  <si>
    <t>ORD1704</t>
  </si>
  <si>
    <t>CUST987</t>
  </si>
  <si>
    <t>ORD1705</t>
  </si>
  <si>
    <t>ORD1706</t>
  </si>
  <si>
    <t>ORD1707</t>
  </si>
  <si>
    <t>ORD1708</t>
  </si>
  <si>
    <t>ORD1709</t>
  </si>
  <si>
    <t>ORD1710</t>
  </si>
  <si>
    <t>ORD1711</t>
  </si>
  <si>
    <t>ORD1712</t>
  </si>
  <si>
    <t>ORD1713</t>
  </si>
  <si>
    <t>CUST1117</t>
  </si>
  <si>
    <t>ORD1714</t>
  </si>
  <si>
    <t>ORD1715</t>
  </si>
  <si>
    <t>ORD1716</t>
  </si>
  <si>
    <t>ORD1717</t>
  </si>
  <si>
    <t>CUST1126</t>
  </si>
  <si>
    <t>ORD1718</t>
  </si>
  <si>
    <t>CUST1177</t>
  </si>
  <si>
    <t>ORD1719</t>
  </si>
  <si>
    <t>ORD1720</t>
  </si>
  <si>
    <t>CUST707</t>
  </si>
  <si>
    <t>ORD1721</t>
  </si>
  <si>
    <t>ORD1722</t>
  </si>
  <si>
    <t>CUST1161</t>
  </si>
  <si>
    <t>ORD1723</t>
  </si>
  <si>
    <t>ORD1724</t>
  </si>
  <si>
    <t>ORD1725</t>
  </si>
  <si>
    <t>ORD1726</t>
  </si>
  <si>
    <t>ORD1727</t>
  </si>
  <si>
    <t>CUST886</t>
  </si>
  <si>
    <t>ORD1728</t>
  </si>
  <si>
    <t>CUST1047</t>
  </si>
  <si>
    <t>ORD1729</t>
  </si>
  <si>
    <t>CUST867</t>
  </si>
  <si>
    <t>ORD1730</t>
  </si>
  <si>
    <t>ORD1731</t>
  </si>
  <si>
    <t>ORD1732</t>
  </si>
  <si>
    <t>ORD1733</t>
  </si>
  <si>
    <t>CUST779</t>
  </si>
  <si>
    <t>ORD1734</t>
  </si>
  <si>
    <t>ORD1735</t>
  </si>
  <si>
    <t>ORD1736</t>
  </si>
  <si>
    <t>CUST1178</t>
  </si>
  <si>
    <t>ORD1737</t>
  </si>
  <si>
    <t>ORD1738</t>
  </si>
  <si>
    <t>ORD1739</t>
  </si>
  <si>
    <t>CUST932</t>
  </si>
  <si>
    <t>ORD1740</t>
  </si>
  <si>
    <t>ORD1741</t>
  </si>
  <si>
    <t>ORD1742</t>
  </si>
  <si>
    <t>ORD1743</t>
  </si>
  <si>
    <t>ORD1744</t>
  </si>
  <si>
    <t>ORD1745</t>
  </si>
  <si>
    <t>ORD1746</t>
  </si>
  <si>
    <t>CUST989</t>
  </si>
  <si>
    <t>ORD1747</t>
  </si>
  <si>
    <t>ORD1748</t>
  </si>
  <si>
    <t>ORD1749</t>
  </si>
  <si>
    <t>CUST1139</t>
  </si>
  <si>
    <t>ORD1750</t>
  </si>
  <si>
    <t>ORD1751</t>
  </si>
  <si>
    <t>ORD1752</t>
  </si>
  <si>
    <t>ORD1753</t>
  </si>
  <si>
    <t>ORD1754</t>
  </si>
  <si>
    <t>CUST594</t>
  </si>
  <si>
    <t>ORD1755</t>
  </si>
  <si>
    <t>ORD1756</t>
  </si>
  <si>
    <t>ORD1757</t>
  </si>
  <si>
    <t>CUST538</t>
  </si>
  <si>
    <t>ORD1758</t>
  </si>
  <si>
    <t>ORD1759</t>
  </si>
  <si>
    <t>ORD1760</t>
  </si>
  <si>
    <t>CUST1067</t>
  </si>
  <si>
    <t>ORD1761</t>
  </si>
  <si>
    <t>ORD1762</t>
  </si>
  <si>
    <t>ORD1763</t>
  </si>
  <si>
    <t>ORD1764</t>
  </si>
  <si>
    <t>ORD1765</t>
  </si>
  <si>
    <t>ORD1766</t>
  </si>
  <si>
    <t>CUST771</t>
  </si>
  <si>
    <t>ORD1767</t>
  </si>
  <si>
    <t>ORD1768</t>
  </si>
  <si>
    <t>ORD1769</t>
  </si>
  <si>
    <t>ORD1770</t>
  </si>
  <si>
    <t>ORD1771</t>
  </si>
  <si>
    <t>ORD1772</t>
  </si>
  <si>
    <t>ORD1773</t>
  </si>
  <si>
    <t>ORD1774</t>
  </si>
  <si>
    <t>CUST1179</t>
  </si>
  <si>
    <t>ORD1775</t>
  </si>
  <si>
    <t>CUST705</t>
  </si>
  <si>
    <t>ORD1776</t>
  </si>
  <si>
    <t>CUST1056</t>
  </si>
  <si>
    <t>ORD1777</t>
  </si>
  <si>
    <t>CUST797</t>
  </si>
  <si>
    <t>ORD1778</t>
  </si>
  <si>
    <t>ORD1779</t>
  </si>
  <si>
    <t>ORD1780</t>
  </si>
  <si>
    <t>CUST557</t>
  </si>
  <si>
    <t>ORD1781</t>
  </si>
  <si>
    <t>ORD1782</t>
  </si>
  <si>
    <t>CUST605</t>
  </si>
  <si>
    <t>ORD1783</t>
  </si>
  <si>
    <t>ORD1784</t>
  </si>
  <si>
    <t>CUST749</t>
  </si>
  <si>
    <t>ORD1785</t>
  </si>
  <si>
    <t>ORD1786</t>
  </si>
  <si>
    <t>ORD1787</t>
  </si>
  <si>
    <t>ORD1788</t>
  </si>
  <si>
    <t>ORD1789</t>
  </si>
  <si>
    <t>ORD1790</t>
  </si>
  <si>
    <t>ORD1791</t>
  </si>
  <si>
    <t>ORD1792</t>
  </si>
  <si>
    <t>ORD1793</t>
  </si>
  <si>
    <t>CUST522</t>
  </si>
  <si>
    <t>ORD1794</t>
  </si>
  <si>
    <t>CUST878</t>
  </si>
  <si>
    <t>ORD1795</t>
  </si>
  <si>
    <t>ORD1796</t>
  </si>
  <si>
    <t>CUST573</t>
  </si>
  <si>
    <t>ORD1797</t>
  </si>
  <si>
    <t>CUST906</t>
  </si>
  <si>
    <t>ORD1798</t>
  </si>
  <si>
    <t>CUST761</t>
  </si>
  <si>
    <t>ORD1799</t>
  </si>
  <si>
    <t>ORD1800</t>
  </si>
  <si>
    <t>CUST790</t>
  </si>
  <si>
    <t>ORD1801</t>
  </si>
  <si>
    <t>ORD1802</t>
  </si>
  <si>
    <t>ORD1803</t>
  </si>
  <si>
    <t>CUST1156</t>
  </si>
  <si>
    <t>ORD1804</t>
  </si>
  <si>
    <t>ORD1805</t>
  </si>
  <si>
    <t>CUST572</t>
  </si>
  <si>
    <t>ORD1806</t>
  </si>
  <si>
    <t>ORD1807</t>
  </si>
  <si>
    <t>ORD1808</t>
  </si>
  <si>
    <t>ORD1809</t>
  </si>
  <si>
    <t>ORD1810</t>
  </si>
  <si>
    <t>ORD1811</t>
  </si>
  <si>
    <t>ORD1812</t>
  </si>
  <si>
    <t>CUST669</t>
  </si>
  <si>
    <t>ORD1813</t>
  </si>
  <si>
    <t>CUST840</t>
  </si>
  <si>
    <t>ORD1814</t>
  </si>
  <si>
    <t>ORD1815</t>
  </si>
  <si>
    <t>ORD1816</t>
  </si>
  <si>
    <t>ORD1817</t>
  </si>
  <si>
    <t>CUST770</t>
  </si>
  <si>
    <t>ORD1818</t>
  </si>
  <si>
    <t>CUST1078</t>
  </si>
  <si>
    <t>ORD1819</t>
  </si>
  <si>
    <t>CUST826</t>
  </si>
  <si>
    <t>ORD1820</t>
  </si>
  <si>
    <t>CUST1193</t>
  </si>
  <si>
    <t>ORD1821</t>
  </si>
  <si>
    <t>ORD1822</t>
  </si>
  <si>
    <t>ORD1823</t>
  </si>
  <si>
    <t>ORD1824</t>
  </si>
  <si>
    <t>ORD1825</t>
  </si>
  <si>
    <t>ORD1826</t>
  </si>
  <si>
    <t>CUST853</t>
  </si>
  <si>
    <t>ORD1827</t>
  </si>
  <si>
    <t>ORD1828</t>
  </si>
  <si>
    <t>ORD1829</t>
  </si>
  <si>
    <t>CUST829</t>
  </si>
  <si>
    <t>ORD1830</t>
  </si>
  <si>
    <t>ORD1831</t>
  </si>
  <si>
    <t>ORD1832</t>
  </si>
  <si>
    <t>ORD1833</t>
  </si>
  <si>
    <t>CUST750</t>
  </si>
  <si>
    <t>ORD1834</t>
  </si>
  <si>
    <t>ORD1835</t>
  </si>
  <si>
    <t>CUST762</t>
  </si>
  <si>
    <t>ORD1836</t>
  </si>
  <si>
    <t>CUST579</t>
  </si>
  <si>
    <t>ORD1837</t>
  </si>
  <si>
    <t>CUST748</t>
  </si>
  <si>
    <t>ORD1838</t>
  </si>
  <si>
    <t>CUST841</t>
  </si>
  <si>
    <t>ORD1839</t>
  </si>
  <si>
    <t>CUST691</t>
  </si>
  <si>
    <t>ORD1840</t>
  </si>
  <si>
    <t>ORD1841</t>
  </si>
  <si>
    <t>ORD1842</t>
  </si>
  <si>
    <t>ORD1843</t>
  </si>
  <si>
    <t>ORD1844</t>
  </si>
  <si>
    <t>CUST528</t>
  </si>
  <si>
    <t>ORD1845</t>
  </si>
  <si>
    <t>ORD1846</t>
  </si>
  <si>
    <t>CUST532</t>
  </si>
  <si>
    <t>ORD1847</t>
  </si>
  <si>
    <t>CUST516</t>
  </si>
  <si>
    <t>ORD1848</t>
  </si>
  <si>
    <t>ORD1849</t>
  </si>
  <si>
    <t>ORD1850</t>
  </si>
  <si>
    <t>ORD1851</t>
  </si>
  <si>
    <t>CUST709</t>
  </si>
  <si>
    <t>ORD1852</t>
  </si>
  <si>
    <t>ORD1853</t>
  </si>
  <si>
    <t>ORD1854</t>
  </si>
  <si>
    <t>ORD1855</t>
  </si>
  <si>
    <t>CUST764</t>
  </si>
  <si>
    <t>ORD1856</t>
  </si>
  <si>
    <t>ORD1857</t>
  </si>
  <si>
    <t>ORD1858</t>
  </si>
  <si>
    <t>ORD1859</t>
  </si>
  <si>
    <t>ORD1860</t>
  </si>
  <si>
    <t>ORD1861</t>
  </si>
  <si>
    <t>ORD1862</t>
  </si>
  <si>
    <t>CUST975</t>
  </si>
  <si>
    <t>ORD1863</t>
  </si>
  <si>
    <t>ORD1864</t>
  </si>
  <si>
    <t>ORD1865</t>
  </si>
  <si>
    <t>ORD1866</t>
  </si>
  <si>
    <t>CUST1136</t>
  </si>
  <si>
    <t>ORD1867</t>
  </si>
  <si>
    <t>ORD1868</t>
  </si>
  <si>
    <t>CUST732</t>
  </si>
  <si>
    <t>ORD1869</t>
  </si>
  <si>
    <t>ORD1870</t>
  </si>
  <si>
    <t>ORD1871</t>
  </si>
  <si>
    <t>ORD1872</t>
  </si>
  <si>
    <t>ORD1873</t>
  </si>
  <si>
    <t>ORD1874</t>
  </si>
  <si>
    <t>CUST979</t>
  </si>
  <si>
    <t>ORD1875</t>
  </si>
  <si>
    <t>CUST675</t>
  </si>
  <si>
    <t>ORD1876</t>
  </si>
  <si>
    <t>ORD1877</t>
  </si>
  <si>
    <t>ORD1878</t>
  </si>
  <si>
    <t>ORD1879</t>
  </si>
  <si>
    <t>ORD1880</t>
  </si>
  <si>
    <t>ORD1881</t>
  </si>
  <si>
    <t>CUST731</t>
  </si>
  <si>
    <t>ORD1882</t>
  </si>
  <si>
    <t>ORD1883</t>
  </si>
  <si>
    <t>ORD1884</t>
  </si>
  <si>
    <t>CUST915</t>
  </si>
  <si>
    <t>ORD1885</t>
  </si>
  <si>
    <t>ORD1886</t>
  </si>
  <si>
    <t>CUST1166</t>
  </si>
  <si>
    <t>ORD1887</t>
  </si>
  <si>
    <t>ORD1888</t>
  </si>
  <si>
    <t>ORD1889</t>
  </si>
  <si>
    <t>ORD1890</t>
  </si>
  <si>
    <t>ORD1891</t>
  </si>
  <si>
    <t>ORD1892</t>
  </si>
  <si>
    <t>CUST827</t>
  </si>
  <si>
    <t>ORD1893</t>
  </si>
  <si>
    <t>CUST807</t>
  </si>
  <si>
    <t>ORD1894</t>
  </si>
  <si>
    <t>CUST565</t>
  </si>
  <si>
    <t>ORD1895</t>
  </si>
  <si>
    <t>CUST681</t>
  </si>
  <si>
    <t>ORD1896</t>
  </si>
  <si>
    <t>ORD1897</t>
  </si>
  <si>
    <t>CUST687</t>
  </si>
  <si>
    <t>ORD1898</t>
  </si>
  <si>
    <t>CUST625</t>
  </si>
  <si>
    <t>ORD1899</t>
  </si>
  <si>
    <t>ORD1900</t>
  </si>
  <si>
    <t>ORD1901</t>
  </si>
  <si>
    <t>ORD1902</t>
  </si>
  <si>
    <t>ORD1903</t>
  </si>
  <si>
    <t>ORD1904</t>
  </si>
  <si>
    <t>ORD1905</t>
  </si>
  <si>
    <t>CUST849</t>
  </si>
  <si>
    <t>ORD1906</t>
  </si>
  <si>
    <t>ORD1907</t>
  </si>
  <si>
    <t>ORD1908</t>
  </si>
  <si>
    <t>ORD1909</t>
  </si>
  <si>
    <t>ORD1910</t>
  </si>
  <si>
    <t>ORD1911</t>
  </si>
  <si>
    <t>ORD1912</t>
  </si>
  <si>
    <t>ORD1913</t>
  </si>
  <si>
    <t>ORD1914</t>
  </si>
  <si>
    <t>ORD1915</t>
  </si>
  <si>
    <t>ORD1916</t>
  </si>
  <si>
    <t>ORD1917</t>
  </si>
  <si>
    <t>ORD1918</t>
  </si>
  <si>
    <t>CUST1066</t>
  </si>
  <si>
    <t>ORD1919</t>
  </si>
  <si>
    <t>CUST552</t>
  </si>
  <si>
    <t>ORD1920</t>
  </si>
  <si>
    <t>ORD1921</t>
  </si>
  <si>
    <t>ORD1922</t>
  </si>
  <si>
    <t>ORD1923</t>
  </si>
  <si>
    <t>ORD1924</t>
  </si>
  <si>
    <t>ORD1925</t>
  </si>
  <si>
    <t>ORD1926</t>
  </si>
  <si>
    <t>CUST1180</t>
  </si>
  <si>
    <t>ORD1927</t>
  </si>
  <si>
    <t>CUST1052</t>
  </si>
  <si>
    <t>ORD1928</t>
  </si>
  <si>
    <t>ORD1929</t>
  </si>
  <si>
    <t>ORD1930</t>
  </si>
  <si>
    <t>ORD1931</t>
  </si>
  <si>
    <t>ORD1932</t>
  </si>
  <si>
    <t>ORD1933</t>
  </si>
  <si>
    <t>ORD1934</t>
  </si>
  <si>
    <t>CUST1176</t>
  </si>
  <si>
    <t>ORD1935</t>
  </si>
  <si>
    <t>ORD1936</t>
  </si>
  <si>
    <t>ORD1937</t>
  </si>
  <si>
    <t>ORD1938</t>
  </si>
  <si>
    <t>ORD1939</t>
  </si>
  <si>
    <t>ORD1940</t>
  </si>
  <si>
    <t>ORD1941</t>
  </si>
  <si>
    <t>CUST1027</t>
  </si>
  <si>
    <t>ORD1942</t>
  </si>
  <si>
    <t>ORD1943</t>
  </si>
  <si>
    <t>ORD1944</t>
  </si>
  <si>
    <t>CUST714</t>
  </si>
  <si>
    <t>ORD1945</t>
  </si>
  <si>
    <t>ORD1946</t>
  </si>
  <si>
    <t>ORD1947</t>
  </si>
  <si>
    <t>ORD1948</t>
  </si>
  <si>
    <t>CUST558</t>
  </si>
  <si>
    <t>ORD1949</t>
  </si>
  <si>
    <t>ORD1950</t>
  </si>
  <si>
    <t>ORD1951</t>
  </si>
  <si>
    <t>ORD1952</t>
  </si>
  <si>
    <t>ORD1953</t>
  </si>
  <si>
    <t>CUST1145</t>
  </si>
  <si>
    <t>ORD1954</t>
  </si>
  <si>
    <t>ORD1955</t>
  </si>
  <si>
    <t>ORD1956</t>
  </si>
  <si>
    <t>ORD1957</t>
  </si>
  <si>
    <t>ORD1958</t>
  </si>
  <si>
    <t>ORD1959</t>
  </si>
  <si>
    <t>ORD1960</t>
  </si>
  <si>
    <t>CUST1044</t>
  </si>
  <si>
    <t>ORD1961</t>
  </si>
  <si>
    <t>ORD1962</t>
  </si>
  <si>
    <t>ORD1963</t>
  </si>
  <si>
    <t>ORD1964</t>
  </si>
  <si>
    <t>CUST1055</t>
  </si>
  <si>
    <t>ORD1965</t>
  </si>
  <si>
    <t>ORD1966</t>
  </si>
  <si>
    <t>ORD1967</t>
  </si>
  <si>
    <t>CUST968</t>
  </si>
  <si>
    <t>ORD1968</t>
  </si>
  <si>
    <t>ORD1969</t>
  </si>
  <si>
    <t>CUST524</t>
  </si>
  <si>
    <t>ORD1970</t>
  </si>
  <si>
    <t>ORD1971</t>
  </si>
  <si>
    <t>ORD1972</t>
  </si>
  <si>
    <t>ORD1973</t>
  </si>
  <si>
    <t>ORD1974</t>
  </si>
  <si>
    <t>ORD1975</t>
  </si>
  <si>
    <t>CUST1074</t>
  </si>
  <si>
    <t>ORD1976</t>
  </si>
  <si>
    <t>ORD1977</t>
  </si>
  <si>
    <t>ORD1978</t>
  </si>
  <si>
    <t>ORD1979</t>
  </si>
  <si>
    <t>CUST634</t>
  </si>
  <si>
    <t>ORD1980</t>
  </si>
  <si>
    <t>ORD1981</t>
  </si>
  <si>
    <t>ORD1982</t>
  </si>
  <si>
    <t>ORD1983</t>
  </si>
  <si>
    <t>ORD1984</t>
  </si>
  <si>
    <t>ORD1985</t>
  </si>
  <si>
    <t>ORD1986</t>
  </si>
  <si>
    <t>ORD1987</t>
  </si>
  <si>
    <t>ORD1988</t>
  </si>
  <si>
    <t>ORD1989</t>
  </si>
  <si>
    <t>CUST708</t>
  </si>
  <si>
    <t>ORD1990</t>
  </si>
  <si>
    <t>CUST860</t>
  </si>
  <si>
    <t>ORD1991</t>
  </si>
  <si>
    <t>ORD1992</t>
  </si>
  <si>
    <t>CUST865</t>
  </si>
  <si>
    <t>ORD1993</t>
  </si>
  <si>
    <t>ORD1994</t>
  </si>
  <si>
    <t>ORD1995</t>
  </si>
  <si>
    <t>ORD1996</t>
  </si>
  <si>
    <t>ORD1997</t>
  </si>
  <si>
    <t>CUST916</t>
  </si>
  <si>
    <t>ORD1998</t>
  </si>
  <si>
    <t>ORD1999</t>
  </si>
  <si>
    <t>ORD2000</t>
  </si>
  <si>
    <t>ORD2001</t>
  </si>
  <si>
    <t>ORD2002</t>
  </si>
  <si>
    <t>ORD2003</t>
  </si>
  <si>
    <t>ORD2004</t>
  </si>
  <si>
    <t>ORD2005</t>
  </si>
  <si>
    <t>ORD2006</t>
  </si>
  <si>
    <t>ORD2007</t>
  </si>
  <si>
    <t>CUST1045</t>
  </si>
  <si>
    <t>ORD2008</t>
  </si>
  <si>
    <t>ORD2009</t>
  </si>
  <si>
    <t>CUST739</t>
  </si>
  <si>
    <t>ORD2010</t>
  </si>
  <si>
    <t>ORD2011</t>
  </si>
  <si>
    <t>CUST718</t>
  </si>
  <si>
    <t>ORD2012</t>
  </si>
  <si>
    <t>CUST1083</t>
  </si>
  <si>
    <t>ORD2013</t>
  </si>
  <si>
    <t>ORD2014</t>
  </si>
  <si>
    <t>ORD2015</t>
  </si>
  <si>
    <t>CUST778</t>
  </si>
  <si>
    <t>ORD2016</t>
  </si>
  <si>
    <t>CUST549</t>
  </si>
  <si>
    <t>ORD2017</t>
  </si>
  <si>
    <t>ORD2018</t>
  </si>
  <si>
    <t>ORD2019</t>
  </si>
  <si>
    <t>CUST1032</t>
  </si>
  <si>
    <t>ORD2020</t>
  </si>
  <si>
    <t>ORD2021</t>
  </si>
  <si>
    <t>ORD2022</t>
  </si>
  <si>
    <t>CUST804</t>
  </si>
  <si>
    <t>ORD2023</t>
  </si>
  <si>
    <t>CUST568</t>
  </si>
  <si>
    <t>ORD2024</t>
  </si>
  <si>
    <t>ORD2025</t>
  </si>
  <si>
    <t>ORD2026</t>
  </si>
  <si>
    <t>CUST977</t>
  </si>
  <si>
    <t>ORD2027</t>
  </si>
  <si>
    <t>ORD2028</t>
  </si>
  <si>
    <t>ORD2029</t>
  </si>
  <si>
    <t>ORD2030</t>
  </si>
  <si>
    <t>CUST716</t>
  </si>
  <si>
    <t>ORD2031</t>
  </si>
  <si>
    <t>ORD2032</t>
  </si>
  <si>
    <t>CUST706</t>
  </si>
  <si>
    <t>ORD2033</t>
  </si>
  <si>
    <t>ORD2034</t>
  </si>
  <si>
    <t>ORD2035</t>
  </si>
  <si>
    <t>ORD2036</t>
  </si>
  <si>
    <t>ORD2037</t>
  </si>
  <si>
    <t>CUST1199</t>
  </si>
  <si>
    <t>ORD2038</t>
  </si>
  <si>
    <t>ORD2039</t>
  </si>
  <si>
    <t>ORD2040</t>
  </si>
  <si>
    <t>ORD2041</t>
  </si>
  <si>
    <t>ORD2042</t>
  </si>
  <si>
    <t>ORD2043</t>
  </si>
  <si>
    <t>ORD2044</t>
  </si>
  <si>
    <t>ORD2045</t>
  </si>
  <si>
    <t>CUST850</t>
  </si>
  <si>
    <t>ORD2046</t>
  </si>
  <si>
    <t>ORD2047</t>
  </si>
  <si>
    <t>ORD2048</t>
  </si>
  <si>
    <t>ORD2049</t>
  </si>
  <si>
    <t>CUST957</t>
  </si>
  <si>
    <t>ORD2050</t>
  </si>
  <si>
    <t>ORD2051</t>
  </si>
  <si>
    <t>ORD2052</t>
  </si>
  <si>
    <t>ORD2053</t>
  </si>
  <si>
    <t>ORD2054</t>
  </si>
  <si>
    <t>ORD2055</t>
  </si>
  <si>
    <t>ORD2056</t>
  </si>
  <si>
    <t>ORD2057</t>
  </si>
  <si>
    <t>ORD2058</t>
  </si>
  <si>
    <t>ORD2059</t>
  </si>
  <si>
    <t>ORD2060</t>
  </si>
  <si>
    <t>ORD2061</t>
  </si>
  <si>
    <t>ORD2062</t>
  </si>
  <si>
    <t>ORD2063</t>
  </si>
  <si>
    <t>ORD2064</t>
  </si>
  <si>
    <t>CUST874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</si>
  <si>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</si>
  <si>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</si>
  <si>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</si>
  <si>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</si>
  <si>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</si>
  <si>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</si>
  <si>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</si>
  <si>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</si>
  <si>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</si>
  <si>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</si>
  <si>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</si>
  <si>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</si>
  <si>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</si>
  <si>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</si>
  <si>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</si>
  <si>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</si>
  <si>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</si>
  <si>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</si>
  <si>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CUST1120</t>
  </si>
  <si>
    <t>ORD2083</t>
  </si>
  <si>
    <t>ORD2084</t>
  </si>
  <si>
    <t>ORD2085</t>
  </si>
  <si>
    <t>ORD2086</t>
  </si>
  <si>
    <t>CUST930</t>
  </si>
  <si>
    <t>ORD2087</t>
  </si>
  <si>
    <t>CUST738</t>
  </si>
  <si>
    <t>ORD2088</t>
  </si>
  <si>
    <t>ORD2089</t>
  </si>
  <si>
    <t>CUST658</t>
  </si>
  <si>
    <t>ORD2090</t>
  </si>
  <si>
    <t>ORD2091</t>
  </si>
  <si>
    <t>ORD2092</t>
  </si>
  <si>
    <t>CUST652</t>
  </si>
  <si>
    <t>ORD2093</t>
  </si>
  <si>
    <t>ORD2094</t>
  </si>
  <si>
    <t>ORD2095</t>
  </si>
  <si>
    <t>ORD2096</t>
  </si>
  <si>
    <t>CUST1157</t>
  </si>
  <si>
    <t>ORD2097</t>
  </si>
  <si>
    <t>ORD2098</t>
  </si>
  <si>
    <t>ORD2099</t>
  </si>
  <si>
    <t>ORD2100</t>
  </si>
  <si>
    <t>ORD2101</t>
  </si>
  <si>
    <t>ORD2102</t>
  </si>
  <si>
    <t>CUST624</t>
  </si>
  <si>
    <t>ORD2103</t>
  </si>
  <si>
    <t>CUST777</t>
  </si>
  <si>
    <t>ORD2104</t>
  </si>
  <si>
    <t>ORD2105</t>
  </si>
  <si>
    <t>ORD2106</t>
  </si>
  <si>
    <t>CUST719</t>
  </si>
  <si>
    <t>ORD2107</t>
  </si>
  <si>
    <t>CUST1095</t>
  </si>
  <si>
    <t>ORD2108</t>
  </si>
  <si>
    <t>ORD2109</t>
  </si>
  <si>
    <t>ORD2110</t>
  </si>
  <si>
    <t>ORD2111</t>
  </si>
  <si>
    <t>ORD2112</t>
  </si>
  <si>
    <t>ORD2113</t>
  </si>
  <si>
    <t>CUST1105</t>
  </si>
  <si>
    <t>ORD2114</t>
  </si>
  <si>
    <t>ORD2115</t>
  </si>
  <si>
    <t>CUST926</t>
  </si>
  <si>
    <t>ORD2116</t>
  </si>
  <si>
    <t>ORD2117</t>
  </si>
  <si>
    <t>ORD2118</t>
  </si>
  <si>
    <t>ORD2119</t>
  </si>
  <si>
    <t>ORD2120</t>
  </si>
  <si>
    <t>ORD2121</t>
  </si>
  <si>
    <t>ORD2122</t>
  </si>
  <si>
    <t>CUST830</t>
  </si>
  <si>
    <t>ORD2123</t>
  </si>
  <si>
    <t>ORD2124</t>
  </si>
  <si>
    <t>ORD2125</t>
  </si>
  <si>
    <t>ORD2126</t>
  </si>
  <si>
    <t>ORD2127</t>
  </si>
  <si>
    <t>ORD2128</t>
  </si>
  <si>
    <t>ORD2129</t>
  </si>
  <si>
    <t>ORD2130</t>
  </si>
  <si>
    <t>ORD2131</t>
  </si>
  <si>
    <t>ORD2132</t>
  </si>
  <si>
    <t>ORD2133</t>
  </si>
  <si>
    <t>ORD2134</t>
  </si>
  <si>
    <t>ORD2135</t>
  </si>
  <si>
    <t>ORD2136</t>
  </si>
  <si>
    <t>ORD2137</t>
  </si>
  <si>
    <t>CUST1089</t>
  </si>
  <si>
    <t>ORD2138</t>
  </si>
  <si>
    <t>ORD2139</t>
  </si>
  <si>
    <t>CUST698</t>
  </si>
  <si>
    <t>ORD2140</t>
  </si>
  <si>
    <t>ORD2141</t>
  </si>
  <si>
    <t>ORD2142</t>
  </si>
  <si>
    <t>ORD2143</t>
  </si>
  <si>
    <t>ORD2144</t>
  </si>
  <si>
    <t>CUST914</t>
  </si>
  <si>
    <t>ORD2145</t>
  </si>
  <si>
    <t>ORD2146</t>
  </si>
  <si>
    <t>ORD2147</t>
  </si>
  <si>
    <t>ORD2148</t>
  </si>
  <si>
    <t>ORD2149</t>
  </si>
  <si>
    <t>ORD2150</t>
  </si>
  <si>
    <t>ORD2151</t>
  </si>
  <si>
    <t>ORD2152</t>
  </si>
  <si>
    <t>CUST1090</t>
  </si>
  <si>
    <t>ORD2153</t>
  </si>
  <si>
    <t>ORD2154</t>
  </si>
  <si>
    <t>ORD2155</t>
  </si>
  <si>
    <t>CUST503</t>
  </si>
  <si>
    <t>ORD2156</t>
  </si>
  <si>
    <t>ORD2157</t>
  </si>
  <si>
    <t>ORD2158</t>
  </si>
  <si>
    <t>ORD2159</t>
  </si>
  <si>
    <t>CUST784</t>
  </si>
  <si>
    <t>ORD2160</t>
  </si>
  <si>
    <t>CUST776</t>
  </si>
  <si>
    <t>ORD2161</t>
  </si>
  <si>
    <t>ORD2162</t>
  </si>
  <si>
    <t>ORD2163</t>
  </si>
  <si>
    <t>ORD2164</t>
  </si>
  <si>
    <t>ORD2165</t>
  </si>
  <si>
    <t>ORD2166</t>
  </si>
  <si>
    <t>ORD2167</t>
  </si>
  <si>
    <t>ORD2168</t>
  </si>
  <si>
    <t>CUST825</t>
  </si>
  <si>
    <t>ORD2169</t>
  </si>
  <si>
    <t>ORD2170</t>
  </si>
  <si>
    <t>ORD2171</t>
  </si>
  <si>
    <t>ORD2172</t>
  </si>
  <si>
    <t>CUST1024</t>
  </si>
  <si>
    <t>ORD2173</t>
  </si>
  <si>
    <t>ORD2174</t>
  </si>
  <si>
    <t>ORD2175</t>
  </si>
  <si>
    <t>ORD2176</t>
  </si>
  <si>
    <t>ORD2177</t>
  </si>
  <si>
    <t>CUST888</t>
  </si>
  <si>
    <t>ORD2178</t>
  </si>
  <si>
    <t>CUST729</t>
  </si>
  <si>
    <t>ORD2179</t>
  </si>
  <si>
    <t>ORD2180</t>
  </si>
  <si>
    <t>ORD2181</t>
  </si>
  <si>
    <t>ORD2182</t>
  </si>
  <si>
    <t>ORD2183</t>
  </si>
  <si>
    <t>ORD2184</t>
  </si>
  <si>
    <t>ORD2185</t>
  </si>
  <si>
    <t>ORD2186</t>
  </si>
  <si>
    <t>ORD2187</t>
  </si>
  <si>
    <t>ORD2188</t>
  </si>
  <si>
    <t>ORD2189</t>
  </si>
  <si>
    <t>ORD2190</t>
  </si>
  <si>
    <t>ORD2191</t>
  </si>
  <si>
    <t>CUST856</t>
  </si>
  <si>
    <t>ORD2192</t>
  </si>
  <si>
    <t>ORD2193</t>
  </si>
  <si>
    <t>ORD2194</t>
  </si>
  <si>
    <t>ORD2195</t>
  </si>
  <si>
    <t>ORD2196</t>
  </si>
  <si>
    <t>ORD2197</t>
  </si>
  <si>
    <t>ORD2198</t>
  </si>
  <si>
    <t>ORD2199</t>
  </si>
  <si>
    <t>ORD2200</t>
  </si>
  <si>
    <t>ORD2201</t>
  </si>
  <si>
    <t>ORD2202</t>
  </si>
  <si>
    <t>ORD2203</t>
  </si>
  <si>
    <t>ORD2204</t>
  </si>
  <si>
    <t>CUST752</t>
  </si>
  <si>
    <t>ORD2205</t>
  </si>
  <si>
    <t>CUST751</t>
  </si>
  <si>
    <t>ORD2206</t>
  </si>
  <si>
    <t>ORD2207</t>
  </si>
  <si>
    <t>ORD2208</t>
  </si>
  <si>
    <t>CUST876</t>
  </si>
  <si>
    <t>ORD2209</t>
  </si>
  <si>
    <t>ORD2210</t>
  </si>
  <si>
    <t>ORD2211</t>
  </si>
  <si>
    <t>ORD2212</t>
  </si>
  <si>
    <t>ORD2213</t>
  </si>
  <si>
    <t>CUST815</t>
  </si>
  <si>
    <t>ORD2214</t>
  </si>
  <si>
    <t>ORD2215</t>
  </si>
  <si>
    <t>ORD2216</t>
  </si>
  <si>
    <t>ORD2217</t>
  </si>
  <si>
    <t>ORD2218</t>
  </si>
  <si>
    <t>ORD2219</t>
  </si>
  <si>
    <t>ORD2220</t>
  </si>
  <si>
    <t>ORD2221</t>
  </si>
  <si>
    <t>ORD2222</t>
  </si>
  <si>
    <t>ORD2223</t>
  </si>
  <si>
    <t>ORD2224</t>
  </si>
  <si>
    <t>CUST1122</t>
  </si>
  <si>
    <t>ORD2225</t>
  </si>
  <si>
    <t>ORD2226</t>
  </si>
  <si>
    <t>ORD2227</t>
  </si>
  <si>
    <t>CUST836</t>
  </si>
  <si>
    <t>ORD2228</t>
  </si>
  <si>
    <t>ORD2229</t>
  </si>
  <si>
    <t>ORD2230</t>
  </si>
  <si>
    <t>CUST880</t>
  </si>
  <si>
    <t>ORD2231</t>
  </si>
  <si>
    <t>ORD2232</t>
  </si>
  <si>
    <t>ORD2233</t>
  </si>
  <si>
    <t>ORD2234</t>
  </si>
  <si>
    <t>ORD2235</t>
  </si>
  <si>
    <t>ORD2236</t>
  </si>
  <si>
    <t>ORD2237</t>
  </si>
  <si>
    <t>ORD2238</t>
  </si>
  <si>
    <t>CUST695</t>
  </si>
  <si>
    <t>ORD2239</t>
  </si>
  <si>
    <t>ORD2240</t>
  </si>
  <si>
    <t>CUST820</t>
  </si>
  <si>
    <t>ORD2241</t>
  </si>
  <si>
    <t>ORD2242</t>
  </si>
  <si>
    <t>ORD2243</t>
  </si>
  <si>
    <t>ORD2244</t>
  </si>
  <si>
    <t>ORD2245</t>
  </si>
  <si>
    <t>CUST589</t>
  </si>
  <si>
    <t>ORD2246</t>
  </si>
  <si>
    <t>CUST616</t>
  </si>
  <si>
    <t>ORD2247</t>
  </si>
  <si>
    <t>ORD2248</t>
  </si>
  <si>
    <t>ORD2249</t>
  </si>
  <si>
    <t>ORD2250</t>
  </si>
  <si>
    <t>ORD2251</t>
  </si>
  <si>
    <t>ORD2252</t>
  </si>
  <si>
    <t>ORD2253</t>
  </si>
  <si>
    <t>CUST1114</t>
  </si>
  <si>
    <t>ORD2254</t>
  </si>
  <si>
    <t>ORD2255</t>
  </si>
  <si>
    <t>ORD2256</t>
  </si>
  <si>
    <t>ORD2257</t>
  </si>
  <si>
    <t>ORD2258</t>
  </si>
  <si>
    <t>ORD2259</t>
  </si>
  <si>
    <t>ORD2260</t>
  </si>
  <si>
    <t>ORD2261</t>
  </si>
  <si>
    <t>ORD2262</t>
  </si>
  <si>
    <t>ORD2263</t>
  </si>
  <si>
    <t>CUST954</t>
  </si>
  <si>
    <t>ORD2264</t>
  </si>
  <si>
    <t>ORD2265</t>
  </si>
  <si>
    <t>ORD2266</t>
  </si>
  <si>
    <t>ORD2267</t>
  </si>
  <si>
    <t>ORD2268</t>
  </si>
  <si>
    <t>ORD2269</t>
  </si>
  <si>
    <t>ORD2270</t>
  </si>
  <si>
    <t>ORD2271</t>
  </si>
  <si>
    <t>ORD2272</t>
  </si>
  <si>
    <t>ORD2273</t>
  </si>
  <si>
    <t>ORD2274</t>
  </si>
  <si>
    <t>CUST1062</t>
  </si>
  <si>
    <t>ORD2275</t>
  </si>
  <si>
    <t>CUST744</t>
  </si>
  <si>
    <t>ORD2276</t>
  </si>
  <si>
    <t>ORD2277</t>
  </si>
  <si>
    <t>ORD2278</t>
  </si>
  <si>
    <t>ORD2279</t>
  </si>
  <si>
    <t>ORD2280</t>
  </si>
  <si>
    <t>ORD2281</t>
  </si>
  <si>
    <t>ORD2282</t>
  </si>
  <si>
    <t>ORD2283</t>
  </si>
  <si>
    <t>ORD2284</t>
  </si>
  <si>
    <t>ORD2285</t>
  </si>
  <si>
    <t>ORD2286</t>
  </si>
  <si>
    <t>ORD2287</t>
  </si>
  <si>
    <t>CUST1082</t>
  </si>
  <si>
    <t>ORD2288</t>
  </si>
  <si>
    <t>ORD2289</t>
  </si>
  <si>
    <t>ORD2290</t>
  </si>
  <si>
    <t>CUST563</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</si>
  <si>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</si>
  <si>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</si>
  <si>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</si>
  <si>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</si>
  <si>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</si>
  <si>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</si>
  <si>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</si>
  <si>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</si>
  <si>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</si>
  <si>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</si>
  <si>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</si>
  <si>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</si>
  <si>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</si>
  <si>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</si>
  <si>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</si>
  <si>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</si>
  <si>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</si>
  <si>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</si>
  <si>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</si>
  <si>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</si>
  <si>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CUST590</t>
  </si>
  <si>
    <t>ORD2311</t>
  </si>
  <si>
    <t>ORD2312</t>
  </si>
  <si>
    <t>ORD2313</t>
  </si>
  <si>
    <t>ORD2314</t>
  </si>
  <si>
    <t>ORD2315</t>
  </si>
  <si>
    <t>ORD2316</t>
  </si>
  <si>
    <t>ORD2317</t>
  </si>
  <si>
    <t>ORD2318</t>
  </si>
  <si>
    <t>ORD2319</t>
  </si>
  <si>
    <t>ORD2320</t>
  </si>
  <si>
    <t>ORD2321</t>
  </si>
  <si>
    <t>ORD2322</t>
  </si>
  <si>
    <t>ORD2323</t>
  </si>
  <si>
    <t>ORD2324</t>
  </si>
  <si>
    <t>ORD2325</t>
  </si>
  <si>
    <t>ORD2326</t>
  </si>
  <si>
    <t>CUST617</t>
  </si>
  <si>
    <t>ORD2327</t>
  </si>
  <si>
    <t>ORD2328</t>
  </si>
  <si>
    <t>CUST1069</t>
  </si>
  <si>
    <t>ORD2329</t>
  </si>
  <si>
    <t>ORD2330</t>
  </si>
  <si>
    <t>ORD2331</t>
  </si>
  <si>
    <t>ORD2332</t>
  </si>
  <si>
    <t>ORD2333</t>
  </si>
  <si>
    <t>ORD2334</t>
  </si>
  <si>
    <t>ORD2335</t>
  </si>
  <si>
    <t>ORD2336</t>
  </si>
  <si>
    <t>ORD2337</t>
  </si>
  <si>
    <t>ORD2338</t>
  </si>
  <si>
    <t>ORD2339</t>
  </si>
  <si>
    <t>CUST1009</t>
  </si>
  <si>
    <t>ORD2340</t>
  </si>
  <si>
    <t>ORD2341</t>
  </si>
  <si>
    <t>ORD2342</t>
  </si>
  <si>
    <t>ORD2343</t>
  </si>
  <si>
    <t>ORD2344</t>
  </si>
  <si>
    <t>CUST1172</t>
  </si>
  <si>
    <t>ORD2345</t>
  </si>
  <si>
    <t>ORD2346</t>
  </si>
  <si>
    <t>ORD2347</t>
  </si>
  <si>
    <t>CUST1154</t>
  </si>
  <si>
    <t>ORD2348</t>
  </si>
  <si>
    <t>ORD2349</t>
  </si>
  <si>
    <t>ORD2350</t>
  </si>
  <si>
    <t>ORD2351</t>
  </si>
  <si>
    <t>ORD2352</t>
  </si>
  <si>
    <t>CUST792</t>
  </si>
  <si>
    <t>ORD2353</t>
  </si>
  <si>
    <t>ORD2354</t>
  </si>
  <si>
    <t>ORD2355</t>
  </si>
  <si>
    <t>ORD2356</t>
  </si>
  <si>
    <t>CUST780</t>
  </si>
  <si>
    <t>ORD2357</t>
  </si>
  <si>
    <t>ORD2358</t>
  </si>
  <si>
    <t>ORD2359</t>
  </si>
  <si>
    <t>ORD2360</t>
  </si>
  <si>
    <t>ORD2361</t>
  </si>
  <si>
    <t>CUST1028</t>
  </si>
  <si>
    <t>ORD2362</t>
  </si>
  <si>
    <t>ORD2363</t>
  </si>
  <si>
    <t>ORD2364</t>
  </si>
  <si>
    <t>ORD2365</t>
  </si>
  <si>
    <t>CUST1191</t>
  </si>
  <si>
    <t>ORD2366</t>
  </si>
  <si>
    <t>ORD2367</t>
  </si>
  <si>
    <t>ORD2368</t>
  </si>
  <si>
    <t>ORD2369</t>
  </si>
  <si>
    <t>ORD2370</t>
  </si>
  <si>
    <t>ORD2371</t>
  </si>
  <si>
    <t>ORD2372</t>
  </si>
  <si>
    <t>CUST899</t>
  </si>
  <si>
    <t>ORD2373</t>
  </si>
  <si>
    <t>ORD2374</t>
  </si>
  <si>
    <t>ORD2375</t>
  </si>
  <si>
    <t>ORD2376</t>
  </si>
  <si>
    <t>CUST763</t>
  </si>
  <si>
    <t>ORD2377</t>
  </si>
  <si>
    <t>ORD2378</t>
  </si>
  <si>
    <t>ORD2379</t>
  </si>
  <si>
    <t>ORD2380</t>
  </si>
  <si>
    <t>ORD2381</t>
  </si>
  <si>
    <t>ORD2382</t>
  </si>
  <si>
    <t>ORD2383</t>
  </si>
  <si>
    <t>ORD2384</t>
  </si>
  <si>
    <t>ORD2385</t>
  </si>
  <si>
    <t>ORD2386</t>
  </si>
  <si>
    <t>ORD2387</t>
  </si>
  <si>
    <t>ORD2388</t>
  </si>
  <si>
    <t>ORD2389</t>
  </si>
  <si>
    <t>ORD2390</t>
  </si>
  <si>
    <t>CUST531</t>
  </si>
  <si>
    <t>ORD2391</t>
  </si>
  <si>
    <t>CUST936</t>
  </si>
  <si>
    <t>ORD2392</t>
  </si>
  <si>
    <t>ORD2393</t>
  </si>
  <si>
    <t>CUST638</t>
  </si>
  <si>
    <t>ORD2394</t>
  </si>
  <si>
    <t>CUST654</t>
  </si>
  <si>
    <t>ORD2395</t>
  </si>
  <si>
    <t>ORD2396</t>
  </si>
  <si>
    <t>ORD2397</t>
  </si>
  <si>
    <t>ORD2398</t>
  </si>
  <si>
    <t>ORD2399</t>
  </si>
  <si>
    <t>ORD2400</t>
  </si>
  <si>
    <t>ORD2401</t>
  </si>
  <si>
    <t>ORD2402</t>
  </si>
  <si>
    <t>ORD2403</t>
  </si>
  <si>
    <t>CUST1054</t>
  </si>
  <si>
    <t>ORD2404</t>
  </si>
  <si>
    <t>CUST668</t>
  </si>
  <si>
    <t>ORD2405</t>
  </si>
  <si>
    <t>ORD2406</t>
  </si>
  <si>
    <t>ORD2407</t>
  </si>
  <si>
    <t>ORD2408</t>
  </si>
  <si>
    <t>ORD2409</t>
  </si>
  <si>
    <t>ORD2410</t>
  </si>
  <si>
    <t>CUST998</t>
  </si>
  <si>
    <t>ORD2411</t>
  </si>
  <si>
    <t>ORD2412</t>
  </si>
  <si>
    <t>ORD2413</t>
  </si>
  <si>
    <t>ORD2414</t>
  </si>
  <si>
    <t>ORD2415</t>
  </si>
  <si>
    <t>ORD2416</t>
  </si>
  <si>
    <t>ORD2417</t>
  </si>
  <si>
    <t>ORD2418</t>
  </si>
  <si>
    <t>CUST964</t>
  </si>
  <si>
    <t>ORD2419</t>
  </si>
  <si>
    <t>ORD2420</t>
  </si>
  <si>
    <t>ORD2421</t>
  </si>
  <si>
    <t>ORD2422</t>
  </si>
  <si>
    <t>ORD2423</t>
  </si>
  <si>
    <t>ORD2424</t>
  </si>
  <si>
    <t>ORD2425</t>
  </si>
  <si>
    <t>ORD2426</t>
  </si>
  <si>
    <t>ORD2427</t>
  </si>
  <si>
    <t>ORD2428</t>
  </si>
  <si>
    <t>CUST1146</t>
  </si>
  <si>
    <t>ORD2429</t>
  </si>
  <si>
    <t>ORD2430</t>
  </si>
  <si>
    <t>ORD2431</t>
  </si>
  <si>
    <t>ORD2432</t>
  </si>
  <si>
    <t>ORD2433</t>
  </si>
  <si>
    <t>ORD2434</t>
  </si>
  <si>
    <t>ORD2435</t>
  </si>
  <si>
    <t>ORD2436</t>
  </si>
  <si>
    <t>ORD2437</t>
  </si>
  <si>
    <t>CUST1181</t>
  </si>
  <si>
    <t>ORD2438</t>
  </si>
  <si>
    <t>ORD2439</t>
  </si>
  <si>
    <t>CUST678</t>
  </si>
  <si>
    <t>ORD2440</t>
  </si>
  <si>
    <t>ORD2441</t>
  </si>
  <si>
    <t>ORD2442</t>
  </si>
  <si>
    <t>ORD2443</t>
  </si>
  <si>
    <t>ORD2444</t>
  </si>
  <si>
    <t>ORD2445</t>
  </si>
  <si>
    <t>ORD2446</t>
  </si>
  <si>
    <t>ORD2447</t>
  </si>
  <si>
    <t>ORD2448</t>
  </si>
  <si>
    <t>CUST535</t>
  </si>
  <si>
    <t>ORD2449</t>
  </si>
  <si>
    <t>ORD2450</t>
  </si>
  <si>
    <t>ORD2451</t>
  </si>
  <si>
    <t>ORD2452</t>
  </si>
  <si>
    <t>ORD2453</t>
  </si>
  <si>
    <t>ORD2454</t>
  </si>
  <si>
    <t>ORD2455</t>
  </si>
  <si>
    <t>ORD2456</t>
  </si>
  <si>
    <t>ORD2457</t>
  </si>
  <si>
    <t>ORD2458</t>
  </si>
  <si>
    <t>CUST1159</t>
  </si>
  <si>
    <t>ORD2459</t>
  </si>
  <si>
    <t>ORD2460</t>
  </si>
  <si>
    <t>ORD2461</t>
  </si>
  <si>
    <t>ORD2462</t>
  </si>
  <si>
    <t>ORD2463</t>
  </si>
  <si>
    <t>ORD2464</t>
  </si>
  <si>
    <t>ORD2465</t>
  </si>
  <si>
    <t>ORD2466</t>
  </si>
  <si>
    <t>ORD2467</t>
  </si>
  <si>
    <t>ORD2468</t>
  </si>
  <si>
    <t>ORD2469</t>
  </si>
  <si>
    <t>ORD2470</t>
  </si>
  <si>
    <t>ORD2471</t>
  </si>
  <si>
    <t>ORD2472</t>
  </si>
  <si>
    <t>ORD2473</t>
  </si>
  <si>
    <t>ORD2474</t>
  </si>
  <si>
    <t>CUST913</t>
  </si>
  <si>
    <t>ORD2475</t>
  </si>
  <si>
    <t>CUST889</t>
  </si>
  <si>
    <t>ORD2476</t>
  </si>
  <si>
    <t>ORD2477</t>
  </si>
  <si>
    <t>CUST610</t>
  </si>
  <si>
    <t>ORD2478</t>
  </si>
  <si>
    <t>ORD2479</t>
  </si>
  <si>
    <t>ORD2480</t>
  </si>
  <si>
    <t>ORD2481</t>
  </si>
  <si>
    <t>ORD2482</t>
  </si>
  <si>
    <t>ORD2483</t>
  </si>
  <si>
    <t>ORD2484</t>
  </si>
  <si>
    <t>CUST1137</t>
  </si>
  <si>
    <t>ORD2485</t>
  </si>
  <si>
    <t>ORD2486</t>
  </si>
  <si>
    <t>ORD2487</t>
  </si>
  <si>
    <t>ORD2488</t>
  </si>
  <si>
    <t>ORD2489</t>
  </si>
  <si>
    <t>ORD2490</t>
  </si>
  <si>
    <t>ORD2491</t>
  </si>
  <si>
    <t>ORD2492</t>
  </si>
  <si>
    <t>ORD2493</t>
  </si>
  <si>
    <t>ORD2494</t>
  </si>
  <si>
    <t>ORD2495</t>
  </si>
  <si>
    <t>ORD2496</t>
  </si>
  <si>
    <t>ORD2497</t>
  </si>
  <si>
    <t>ORD2498</t>
  </si>
  <si>
    <t>ORD2499</t>
  </si>
  <si>
    <t>CUST1085</t>
  </si>
  <si>
    <t>ORD2500</t>
  </si>
  <si>
    <t>ORD2501</t>
  </si>
  <si>
    <t>ORD2502</t>
  </si>
  <si>
    <t>ORD2503</t>
  </si>
  <si>
    <t>ORD2504</t>
  </si>
  <si>
    <t>ORD2505</t>
  </si>
  <si>
    <t>ORD2506</t>
  </si>
  <si>
    <t>CUST980</t>
  </si>
  <si>
    <t>ORD2507</t>
  </si>
  <si>
    <t>ORD2508</t>
  </si>
  <si>
    <t>CUST946</t>
  </si>
  <si>
    <t>ORD2509</t>
  </si>
  <si>
    <t>CUST1143</t>
  </si>
  <si>
    <t>ORD2510</t>
  </si>
  <si>
    <t>ORD2511</t>
  </si>
  <si>
    <t>ORD2512</t>
  </si>
  <si>
    <t>ORD2513</t>
  </si>
  <si>
    <t>ORD2514</t>
  </si>
  <si>
    <t>ORD2515</t>
  </si>
  <si>
    <t>ORD2516</t>
  </si>
  <si>
    <t>ORD2517</t>
  </si>
  <si>
    <t>ORD2518</t>
  </si>
  <si>
    <t>CUST843</t>
  </si>
  <si>
    <t>ORD2519</t>
  </si>
  <si>
    <t>ORD2520</t>
  </si>
  <si>
    <t>CUST564</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</si>
  <si>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</si>
  <si>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</si>
  <si>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</si>
  <si>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</si>
  <si>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</si>
  <si>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</si>
  <si>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</si>
  <si>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</si>
  <si>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</si>
  <si>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</si>
  <si>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</si>
  <si>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</si>
  <si>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</si>
  <si>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</si>
  <si>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</si>
  <si>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</si>
  <si>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</si>
  <si>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</si>
  <si>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CUST1116</t>
  </si>
  <si>
    <t>ORD2539</t>
  </si>
  <si>
    <t>CUST746</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</si>
  <si>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</si>
  <si>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</si>
  <si>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</si>
  <si>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</si>
  <si>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</si>
  <si>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</si>
  <si>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</si>
  <si>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</si>
  <si>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</si>
  <si>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</si>
  <si>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</si>
  <si>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</si>
  <si>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</si>
  <si>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</si>
  <si>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</si>
  <si>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</si>
  <si>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</si>
  <si>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</si>
  <si>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</si>
  <si>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</si>
  <si>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</si>
  <si>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</si>
  <si>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</si>
  <si>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</si>
  <si>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</si>
  <si>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</si>
  <si>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</si>
  <si>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</si>
  <si>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</si>
  <si>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</si>
  <si>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</si>
  <si>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CUST973</t>
  </si>
  <si>
    <t>ORD2571</t>
  </si>
  <si>
    <t>ORD2572</t>
  </si>
  <si>
    <t>ORD2573</t>
  </si>
  <si>
    <t>ORD2574</t>
  </si>
  <si>
    <t>ORD2575</t>
  </si>
  <si>
    <t>ORD2576</t>
  </si>
  <si>
    <t>ORD2577</t>
  </si>
  <si>
    <t>ORD2578</t>
  </si>
  <si>
    <t>ORD2579</t>
  </si>
  <si>
    <t>ORD2580</t>
  </si>
  <si>
    <t>ORD2581</t>
  </si>
  <si>
    <t>ORD2582</t>
  </si>
  <si>
    <t>ORD2583</t>
  </si>
  <si>
    <t>ORD2584</t>
  </si>
  <si>
    <t>ORD2585</t>
  </si>
  <si>
    <t>ORD2586</t>
  </si>
  <si>
    <t>CUST995</t>
  </si>
  <si>
    <t>ORD2587</t>
  </si>
  <si>
    <t>ORD2588</t>
  </si>
  <si>
    <t>ORD2589</t>
  </si>
  <si>
    <t>ORD2590</t>
  </si>
  <si>
    <t>ORD2591</t>
  </si>
  <si>
    <t>CUST741</t>
  </si>
  <si>
    <t>ORD2592</t>
  </si>
  <si>
    <t>ORD2593</t>
  </si>
  <si>
    <t>ORD2594</t>
  </si>
  <si>
    <t>ORD2595</t>
  </si>
  <si>
    <t>ORD2596</t>
  </si>
  <si>
    <t>ORD2597</t>
  </si>
  <si>
    <t>CUST1030</t>
  </si>
  <si>
    <t>ORD2598</t>
  </si>
  <si>
    <t>ORD2599</t>
  </si>
  <si>
    <t>ORD2600</t>
  </si>
  <si>
    <t>ORD2601</t>
  </si>
  <si>
    <t>ORD2602</t>
  </si>
  <si>
    <t>ORD2603</t>
  </si>
  <si>
    <t>ORD2604</t>
  </si>
  <si>
    <t>ORD2605</t>
  </si>
  <si>
    <t>ORD2606</t>
  </si>
  <si>
    <t>ORD2607</t>
  </si>
  <si>
    <t>ORD2608</t>
  </si>
  <si>
    <t>CUST1184</t>
  </si>
  <si>
    <t>ORD2609</t>
  </si>
  <si>
    <t>ORD2610</t>
  </si>
  <si>
    <t>ORD2611</t>
  </si>
  <si>
    <t>ORD2612</t>
  </si>
  <si>
    <t>ORD2613</t>
  </si>
  <si>
    <t>ORD2614</t>
  </si>
  <si>
    <t>ORD2615</t>
  </si>
  <si>
    <t>ORD2616</t>
  </si>
  <si>
    <t>ORD2617</t>
  </si>
  <si>
    <t>ORD2618</t>
  </si>
  <si>
    <t>ORD2619</t>
  </si>
  <si>
    <t>ORD2620</t>
  </si>
  <si>
    <t>ORD2621</t>
  </si>
  <si>
    <t>ORD2622</t>
  </si>
  <si>
    <t>CUST1196</t>
  </si>
  <si>
    <t>ORD2623</t>
  </si>
  <si>
    <t>ORD2624</t>
  </si>
  <si>
    <t>ORD2625</t>
  </si>
  <si>
    <t>ORD2626</t>
  </si>
  <si>
    <t>ORD2627</t>
  </si>
  <si>
    <t>ORD2628</t>
  </si>
  <si>
    <t>ORD2629</t>
  </si>
  <si>
    <t>ORD2630</t>
  </si>
  <si>
    <t>ORD2631</t>
  </si>
  <si>
    <t>ORD2632</t>
  </si>
  <si>
    <t>ORD2633</t>
  </si>
  <si>
    <t>ORD2634</t>
  </si>
  <si>
    <t>CUST670</t>
  </si>
  <si>
    <t>ORD2635</t>
  </si>
  <si>
    <t>ORD2636</t>
  </si>
  <si>
    <t>ORD2637</t>
  </si>
  <si>
    <t>ORD2638</t>
  </si>
  <si>
    <t>ORD2639</t>
  </si>
  <si>
    <t>ORD2640</t>
  </si>
  <si>
    <t>CUST767</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</si>
  <si>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</si>
  <si>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</si>
  <si>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</si>
  <si>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</si>
  <si>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</si>
  <si>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</si>
  <si>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</si>
  <si>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</si>
  <si>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</si>
  <si>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</si>
  <si>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</si>
  <si>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</si>
  <si>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</si>
  <si>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</si>
  <si>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</si>
  <si>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</si>
  <si>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</si>
  <si>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</si>
  <si>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</si>
  <si>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CUST1048</t>
  </si>
  <si>
    <t>ORD2660</t>
  </si>
  <si>
    <t>ORD2661</t>
  </si>
  <si>
    <t>ORD2662</t>
  </si>
  <si>
    <t>ORD2663</t>
  </si>
  <si>
    <t>ORD2664</t>
  </si>
  <si>
    <t>ORD2665</t>
  </si>
  <si>
    <t>ORD2666</t>
  </si>
  <si>
    <t>ORD2667</t>
  </si>
  <si>
    <t>ORD2668</t>
  </si>
  <si>
    <t>ORD2669</t>
  </si>
  <si>
    <t>ORD2670</t>
  </si>
  <si>
    <t>ORD2671</t>
  </si>
  <si>
    <t>ORD2672</t>
  </si>
  <si>
    <t>ORD2673</t>
  </si>
  <si>
    <t>ORD2674</t>
  </si>
  <si>
    <t>ORD2675</t>
  </si>
  <si>
    <t>CUST811</t>
  </si>
  <si>
    <t>ORD2676</t>
  </si>
  <si>
    <t>ORD2677</t>
  </si>
  <si>
    <t>CUST855</t>
  </si>
  <si>
    <t>ORD2678</t>
  </si>
  <si>
    <t>CUST846</t>
  </si>
  <si>
    <t>ORD2679</t>
  </si>
  <si>
    <t>ORD2680</t>
  </si>
  <si>
    <t>ORD2681</t>
  </si>
  <si>
    <t>ORD2682</t>
  </si>
  <si>
    <t>ORD2683</t>
  </si>
  <si>
    <t>ORD2684</t>
  </si>
  <si>
    <t>ORD2685</t>
  </si>
  <si>
    <t>ORD2686</t>
  </si>
  <si>
    <t>ORD2687</t>
  </si>
  <si>
    <t>CUST515</t>
  </si>
  <si>
    <t>ORD2688</t>
  </si>
  <si>
    <t>ORD2689</t>
  </si>
  <si>
    <t>ORD2690</t>
  </si>
  <si>
    <t>CUST506</t>
  </si>
  <si>
    <t>ORD2691</t>
  </si>
  <si>
    <t>ORD2692</t>
  </si>
  <si>
    <t>ORD2693</t>
  </si>
  <si>
    <t>ORD2694</t>
  </si>
  <si>
    <t>ORD2695</t>
  </si>
  <si>
    <t>ORD2696</t>
  </si>
  <si>
    <t>ORD2697</t>
  </si>
  <si>
    <t>ORD2698</t>
  </si>
  <si>
    <t>ORD2699</t>
  </si>
  <si>
    <t>ORD2700</t>
  </si>
  <si>
    <t>ORD2701</t>
  </si>
  <si>
    <t>ORD2702</t>
  </si>
  <si>
    <t>ORD2703</t>
  </si>
  <si>
    <t>ORD2704</t>
  </si>
  <si>
    <t>ORD2705</t>
  </si>
  <si>
    <t>ORD2706</t>
  </si>
  <si>
    <t>CUST1061</t>
  </si>
  <si>
    <t>ORD2707</t>
  </si>
  <si>
    <t>ORD2708</t>
  </si>
  <si>
    <t>ORD2709</t>
  </si>
  <si>
    <t>ORD2710</t>
  </si>
  <si>
    <t>ORD2711</t>
  </si>
  <si>
    <t>ORD2712</t>
  </si>
  <si>
    <t>ORD2713</t>
  </si>
  <si>
    <t>CUST588</t>
  </si>
  <si>
    <t>ORD2714</t>
  </si>
  <si>
    <t>ORD2715</t>
  </si>
  <si>
    <t>ORD2716</t>
  </si>
  <si>
    <t>ORD2717</t>
  </si>
  <si>
    <t>ORD2718</t>
  </si>
  <si>
    <t>ORD2719</t>
  </si>
  <si>
    <t>ORD2720</t>
  </si>
  <si>
    <t>ORD2721</t>
  </si>
  <si>
    <t>ORD2722</t>
  </si>
  <si>
    <t>ORD2723</t>
  </si>
  <si>
    <t>ORD2724</t>
  </si>
  <si>
    <t>ORD2725</t>
  </si>
  <si>
    <t>ORD2726</t>
  </si>
  <si>
    <t>CUST626</t>
  </si>
  <si>
    <t>ORD2727</t>
  </si>
  <si>
    <t>ORD2728</t>
  </si>
  <si>
    <t>ORD2729</t>
  </si>
  <si>
    <t>ORD2730</t>
  </si>
  <si>
    <t>ORD2731</t>
  </si>
  <si>
    <t>ORD2732</t>
  </si>
  <si>
    <t>ORD2733</t>
  </si>
  <si>
    <t>ORD2734</t>
  </si>
  <si>
    <t>ORD2735</t>
  </si>
  <si>
    <t>CUST766</t>
  </si>
  <si>
    <t>ORD2736</t>
  </si>
  <si>
    <t>CUST683</t>
  </si>
  <si>
    <t>ORD2737</t>
  </si>
  <si>
    <t>ORD2738</t>
  </si>
  <si>
    <t>ORD2739</t>
  </si>
  <si>
    <t>ORD2740</t>
  </si>
  <si>
    <t>ORD2741</t>
  </si>
  <si>
    <t>ORD2742</t>
  </si>
  <si>
    <t>ORD2743</t>
  </si>
  <si>
    <t>ORD2744</t>
  </si>
  <si>
    <t>ORD2745</t>
  </si>
  <si>
    <t>ORD2746</t>
  </si>
  <si>
    <t>ORD2747</t>
  </si>
  <si>
    <t>ORD2748</t>
  </si>
  <si>
    <t>ORD2749</t>
  </si>
  <si>
    <t>CUST614</t>
  </si>
  <si>
    <t>ORD2750</t>
  </si>
  <si>
    <t>CUST1135</t>
  </si>
  <si>
    <t>ORD2751</t>
  </si>
  <si>
    <t>CUST824</t>
  </si>
  <si>
    <t>ORD2752</t>
  </si>
  <si>
    <t>ORD2753</t>
  </si>
  <si>
    <t>CUST962</t>
  </si>
  <si>
    <t>ORD2754</t>
  </si>
  <si>
    <t>ORD2755</t>
  </si>
  <si>
    <t>ORD2756</t>
  </si>
  <si>
    <t>ORD2757</t>
  </si>
  <si>
    <t>ORD2758</t>
  </si>
  <si>
    <t>ORD2759</t>
  </si>
  <si>
    <t>CUST735</t>
  </si>
  <si>
    <t>ORD2760</t>
  </si>
  <si>
    <t>ORD2761</t>
  </si>
  <si>
    <t>CUST1037</t>
  </si>
  <si>
    <t>ORD2762</t>
  </si>
  <si>
    <t>ORD2763</t>
  </si>
  <si>
    <t>ORD2764</t>
  </si>
  <si>
    <t>ORD2765</t>
  </si>
  <si>
    <t>ORD2766</t>
  </si>
  <si>
    <t>ORD2767</t>
  </si>
  <si>
    <t>CUST966</t>
  </si>
  <si>
    <t>ORD2768</t>
  </si>
  <si>
    <t>ORD2769</t>
  </si>
  <si>
    <t>ORD2770</t>
  </si>
  <si>
    <t>ORD2771</t>
  </si>
  <si>
    <t>CUST685</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</si>
  <si>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</si>
  <si>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</si>
  <si>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</si>
  <si>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</si>
  <si>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</si>
  <si>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</si>
  <si>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</si>
  <si>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</si>
  <si>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</si>
  <si>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</si>
  <si>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</si>
  <si>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</si>
  <si>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</si>
  <si>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</si>
  <si>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</si>
  <si>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</si>
  <si>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</si>
  <si>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</si>
  <si>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</si>
  <si>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</si>
  <si>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</si>
  <si>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</si>
  <si>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</si>
  <si>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</si>
  <si>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</si>
  <si>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</si>
  <si>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</si>
  <si>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</si>
  <si>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</si>
  <si>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</si>
  <si>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</si>
  <si>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</si>
  <si>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</si>
  <si>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</si>
  <si>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</si>
  <si>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</si>
  <si>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</si>
  <si>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</si>
  <si>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</si>
  <si>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</si>
  <si>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</si>
  <si>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</si>
  <si>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</si>
  <si>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</si>
  <si>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</si>
  <si>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</si>
  <si>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CUST1076</t>
  </si>
  <si>
    <t>ORD2818</t>
  </si>
  <si>
    <t>ORD2819</t>
  </si>
  <si>
    <t>ORD2820</t>
  </si>
  <si>
    <t>ORD2821</t>
  </si>
  <si>
    <t>ORD2822</t>
  </si>
  <si>
    <t>CUST578</t>
  </si>
  <si>
    <t>ORD2823</t>
  </si>
  <si>
    <t>ORD2824</t>
  </si>
  <si>
    <t>ORD2825</t>
  </si>
  <si>
    <t>CUST903</t>
  </si>
  <si>
    <t>ORD2826</t>
  </si>
  <si>
    <t>ORD2827</t>
  </si>
  <si>
    <t>ORD2828</t>
  </si>
  <si>
    <t>ORD2829</t>
  </si>
  <si>
    <t>ORD2830</t>
  </si>
  <si>
    <t>ORD2831</t>
  </si>
  <si>
    <t>ORD2832</t>
  </si>
  <si>
    <t>ORD2833</t>
  </si>
  <si>
    <t>ORD2834</t>
  </si>
  <si>
    <t>ORD2835</t>
  </si>
  <si>
    <t>CUST862</t>
  </si>
  <si>
    <t>ORD2836</t>
  </si>
  <si>
    <t>CUST965</t>
  </si>
  <si>
    <t>ORD2837</t>
  </si>
  <si>
    <t>ORD2838</t>
  </si>
  <si>
    <t>ORD2839</t>
  </si>
  <si>
    <t>ORD2840</t>
  </si>
  <si>
    <t>ORD2841</t>
  </si>
  <si>
    <t>ORD2842</t>
  </si>
  <si>
    <t>ORD2843</t>
  </si>
  <si>
    <t>ORD2844</t>
  </si>
  <si>
    <t>ORD2845</t>
  </si>
  <si>
    <t>ORD2846</t>
  </si>
  <si>
    <t>ORD2847</t>
  </si>
  <si>
    <t>ORD2848</t>
  </si>
  <si>
    <t>ORD2849</t>
  </si>
  <si>
    <t>ORD2850</t>
  </si>
  <si>
    <t>ORD2851</t>
  </si>
  <si>
    <t>CUST725</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</si>
  <si>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</si>
  <si>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</si>
  <si>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</si>
  <si>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</si>
  <si>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</si>
  <si>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</si>
  <si>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</si>
  <si>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</si>
  <si>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</si>
  <si>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</si>
  <si>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</si>
  <si>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</si>
  <si>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</si>
  <si>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</si>
  <si>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</si>
  <si>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</si>
  <si>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</si>
  <si>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</si>
  <si>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</si>
  <si>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</si>
  <si>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</si>
  <si>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</si>
  <si>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</si>
  <si>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</si>
  <si>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</si>
  <si>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</si>
  <si>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</si>
  <si>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</si>
  <si>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CUST1109</t>
  </si>
  <si>
    <t>ORD2880</t>
  </si>
  <si>
    <t>ORD2881</t>
  </si>
  <si>
    <t>CUST633</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</si>
  <si>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</si>
  <si>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</si>
  <si>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</si>
  <si>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</si>
  <si>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</si>
  <si>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</si>
  <si>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</si>
  <si>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</si>
  <si>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</si>
  <si>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</si>
  <si>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</si>
  <si>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</si>
  <si>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</si>
  <si>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</si>
  <si>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</si>
  <si>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</si>
  <si>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</si>
  <si>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</si>
  <si>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</si>
  <si>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</si>
  <si>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</si>
  <si>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</si>
  <si>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</si>
  <si>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</si>
  <si>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</si>
  <si>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</si>
  <si>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</si>
  <si>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</si>
  <si>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</si>
  <si>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</si>
  <si>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</si>
  <si>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</si>
  <si>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CUST990</t>
  </si>
  <si>
    <t>ORD2914</t>
  </si>
  <si>
    <t>ORD2915</t>
  </si>
  <si>
    <t>ORD2916</t>
  </si>
  <si>
    <t>ORD2917</t>
  </si>
  <si>
    <t>ORD2918</t>
  </si>
  <si>
    <t>ORD2919</t>
  </si>
  <si>
    <t>ORD2920</t>
  </si>
  <si>
    <t>CUST1091</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</si>
  <si>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</si>
  <si>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</si>
  <si>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</si>
  <si>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</si>
  <si>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</si>
  <si>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</si>
  <si>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</si>
  <si>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</si>
  <si>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</si>
  <si>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</si>
  <si>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</si>
  <si>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</si>
  <si>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</si>
  <si>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</si>
  <si>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</si>
  <si>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</si>
  <si>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</si>
  <si>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</si>
  <si>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</si>
  <si>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</si>
  <si>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</si>
  <si>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</si>
  <si>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CUST571</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</si>
  <si>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</si>
  <si>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</si>
  <si>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</si>
  <si>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</si>
  <si>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</si>
  <si>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</si>
  <si>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</si>
  <si>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</si>
  <si>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</si>
  <si>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</si>
  <si>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</si>
  <si>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</si>
  <si>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</si>
  <si>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</si>
  <si>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</si>
  <si>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</si>
  <si>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</si>
  <si>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</si>
  <si>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</si>
  <si>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</si>
  <si>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</si>
  <si>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</si>
  <si>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CUST875</t>
  </si>
  <si>
    <t>ORD2965</t>
  </si>
  <si>
    <t>ORD2966</t>
  </si>
  <si>
    <t>ORD2967</t>
  </si>
  <si>
    <t>ORD2968</t>
  </si>
  <si>
    <t>CUST872</t>
  </si>
  <si>
    <t>ORD2969</t>
  </si>
  <si>
    <t>ORD2970</t>
  </si>
  <si>
    <t>ORD2971</t>
  </si>
  <si>
    <t>ORD2972</t>
  </si>
  <si>
    <t>ORD2973</t>
  </si>
  <si>
    <t>ORD2974</t>
  </si>
  <si>
    <t>CUST581</t>
  </si>
  <si>
    <t>ORD2975</t>
  </si>
  <si>
    <t>ORD2976</t>
  </si>
  <si>
    <t>ORD2977</t>
  </si>
  <si>
    <t>ORD2978</t>
  </si>
  <si>
    <t>ORD2979</t>
  </si>
  <si>
    <t>CUST1198</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</si>
  <si>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</si>
  <si>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</si>
  <si>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</si>
  <si>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</si>
  <si>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</si>
  <si>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</si>
  <si>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</si>
  <si>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</si>
  <si>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</si>
  <si>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</si>
  <si>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</si>
  <si>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</si>
  <si>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</si>
  <si>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</si>
  <si>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</si>
  <si>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</si>
  <si>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</si>
  <si>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</si>
  <si>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</si>
  <si>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</si>
  <si>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</si>
  <si>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food delivery company project</t>
  </si>
  <si>
    <t>countif_for_duplicate</t>
  </si>
  <si>
    <t>order_month</t>
  </si>
  <si>
    <t>ordermonth</t>
  </si>
  <si>
    <t>food_revenue</t>
  </si>
  <si>
    <t>total/platformrevenue</t>
  </si>
  <si>
    <t>Metric</t>
  </si>
  <si>
    <t>Value</t>
  </si>
  <si>
    <t>Total Orders</t>
  </si>
  <si>
    <t>Total Delivered Orders</t>
  </si>
  <si>
    <t>Total Cancelled Orders</t>
  </si>
  <si>
    <t>Average Order Value</t>
  </si>
  <si>
    <t>Average Delivery Time</t>
  </si>
  <si>
    <t>FOOD REVENUE</t>
  </si>
  <si>
    <t>TOTAL REVENUE (INCLUDE DELIVERY FEE)</t>
  </si>
  <si>
    <t>Row Labels</t>
  </si>
  <si>
    <t>Grand Total</t>
  </si>
  <si>
    <t>Sum of total/platformrevenue</t>
  </si>
  <si>
    <t>(All)</t>
  </si>
  <si>
    <t>Jan</t>
  </si>
  <si>
    <t>Feb</t>
  </si>
  <si>
    <t>Mar</t>
  </si>
  <si>
    <t xml:space="preserve"> FOOD DELIVERY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</si>
</sst>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6" x14ac:knownFonts="1">
    <font>
      <sz val="11"/>
      <color theme="1"/>
      <name val="Calibri"/>
      <family val="2"/>
      <scheme val="minor"/>
    </font>
    <font>
      <b/>
      <sz val="11"/>
      <color theme="0"/>
      <name val="Calibri"/>
      <family val="2"/>
      <scheme val="minor"/>
    </font>
    <font>
      <sz val="11"/>
      <color theme="0"/>
      <name val="Calibri"/>
      <family val="2"/>
      <scheme val="minor"/>
    </font>
    <font>
      <sz val="16"/>
      <color theme="1" tint="4.9989318521683403E-2"/>
      <name val="Arial Black"/>
      <family val="2"/>
    </font>
    <font>
      <sz val="20"/>
      <color theme="0"/>
      <name val="Arial Black"/>
      <family val="2"/>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0"/>
        <bgColor theme="4" tint="0.59999389629810485"/>
      </patternFill>
    </fill>
    <fill>
      <patternFill patternType="solid">
        <fgColor rgb="FF002060"/>
        <bgColor indexed="64"/>
      </patternFill>
    </fill>
  </fills>
  <borders count="5">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5" fillId="0" borderId="0" applyFont="0" applyFill="0" applyBorder="0" applyAlignment="0" applyProtection="0"/>
  </cellStyleXfs>
  <cellXfs count="13">
    <xf numFmtId="0" fontId="0" fillId="0" borderId="0" xfId="0"/>
    <xf numFmtId="0" fontId="2" fillId="3" borderId="0" xfId="0" applyFont="1" applyFill="1"/>
    <xf numFmtId="0" fontId="0" fillId="0" borderId="0" xfId="0" applyAlignment="1">
      <alignment vertical="center" wrapText="1"/>
    </xf>
    <xf numFmtId="0" fontId="1" fillId="3" borderId="0" xfId="0" applyFont="1" applyFill="1" applyAlignment="1">
      <alignment vertical="center" wrapText="1"/>
    </xf>
    <xf numFmtId="2"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4" borderId="1" xfId="0" applyFill="1" applyBorder="1"/>
    <xf numFmtId="44" fontId="0" fillId="0" borderId="0" xfId="1" applyFont="1" applyAlignment="1">
      <alignment vertical="center" wrapText="1"/>
    </xf>
    <xf numFmtId="0" fontId="3" fillId="2" borderId="0" xfId="0" applyFont="1" applyFill="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cellXfs>
  <cellStyles count="2">
    <cellStyle name="Currency" xfId="1" builtinId="4"/>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p>
          <a:p>
            <a:pPr>
              <a:defRPr/>
            </a:pPr>
            <a:endParaRPr lang="en-US"/>
          </a:p>
        </c:rich>
      </c:tx>
      <c:layout>
        <c:manualLayout>
          <c:xMode val="edge"/>
          <c:yMode val="edge"/>
          <c:x val="0.43740293455656698"/>
          <c:y val="0.228857752210261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analysis!$D$15</c:f>
              <c:strCache>
                <c:ptCount val="1"/>
                <c:pt idx="0">
                  <c:v>Total</c:v>
                </c:pt>
              </c:strCache>
            </c:strRef>
          </c:tx>
          <c:spPr>
            <a:solidFill>
              <a:schemeClr val="accent1"/>
            </a:solidFill>
            <a:ln>
              <a:noFill/>
            </a:ln>
            <a:effectLst/>
          </c:spPr>
          <c:invertIfNegative val="0"/>
          <c:cat>
            <c:strRef>
              <c:f>analysis!$C$16:$C$19</c:f>
              <c:strCache>
                <c:ptCount val="3"/>
                <c:pt idx="0">
                  <c:v>Jan</c:v>
                </c:pt>
                <c:pt idx="1">
                  <c:v>Feb</c:v>
                </c:pt>
                <c:pt idx="2">
                  <c:v>Mar</c:v>
                </c:pt>
              </c:strCache>
            </c:strRef>
          </c:cat>
          <c:val>
            <c:numRef>
              <c:f>analysis!$D$16:$D$19</c:f>
              <c:numCache>
                <c:formatCode>General</c:formatCode>
                <c:ptCount val="3"/>
                <c:pt idx="0">
                  <c:v>338390</c:v>
                </c:pt>
                <c:pt idx="1">
                  <c:v>284023</c:v>
                </c:pt>
                <c:pt idx="2">
                  <c:v>318802</c:v>
                </c:pt>
              </c:numCache>
            </c:numRef>
          </c:val>
          <c:extLst>
            <c:ext xmlns:c16="http://schemas.microsoft.com/office/drawing/2014/chart" uri="{C3380CC4-5D6E-409C-BE32-E72D297353CC}">
              <c16:uniqueId val="{00000000-9717-49F4-B964-31AB8CE74F09}"/>
            </c:ext>
          </c:extLst>
        </c:ser>
        <c:dLbls>
          <c:showLegendKey val="0"/>
          <c:showVal val="0"/>
          <c:showCatName val="0"/>
          <c:showSerName val="0"/>
          <c:showPercent val="0"/>
          <c:showBubbleSize val="0"/>
        </c:dLbls>
        <c:gapWidth val="219"/>
        <c:overlap val="-27"/>
        <c:axId val="1828412159"/>
        <c:axId val="1828417567"/>
      </c:barChart>
      <c:catAx>
        <c:axId val="182841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17567"/>
        <c:crosses val="autoZero"/>
        <c:auto val="1"/>
        <c:lblAlgn val="ctr"/>
        <c:lblOffset val="100"/>
        <c:noMultiLvlLbl val="0"/>
      </c:catAx>
      <c:valAx>
        <c:axId val="182841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1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c:f>
              <c:strCache>
                <c:ptCount val="1"/>
                <c:pt idx="0">
                  <c:v>Total</c:v>
                </c:pt>
              </c:strCache>
            </c:strRef>
          </c:tx>
          <c:spPr>
            <a:solidFill>
              <a:schemeClr val="accent1"/>
            </a:solidFill>
            <a:ln>
              <a:noFill/>
            </a:ln>
            <a:effectLst/>
          </c:spPr>
          <c:invertIfNegative val="0"/>
          <c:cat>
            <c:strRef>
              <c:f>analysis!$C$5:$C$10</c:f>
              <c:strCache>
                <c:ptCount val="5"/>
                <c:pt idx="0">
                  <c:v>Bangalore</c:v>
                </c:pt>
                <c:pt idx="1">
                  <c:v>Delhi</c:v>
                </c:pt>
                <c:pt idx="2">
                  <c:v>Hyderabad</c:v>
                </c:pt>
                <c:pt idx="3">
                  <c:v>Mumbai</c:v>
                </c:pt>
                <c:pt idx="4">
                  <c:v>Pune</c:v>
                </c:pt>
              </c:strCache>
            </c:strRef>
          </c:cat>
          <c:val>
            <c:numRef>
              <c:f>analysis!$D$5:$D$10</c:f>
              <c:numCache>
                <c:formatCode>General</c:formatCode>
                <c:ptCount val="5"/>
                <c:pt idx="0">
                  <c:v>174938</c:v>
                </c:pt>
                <c:pt idx="1">
                  <c:v>173243</c:v>
                </c:pt>
                <c:pt idx="2">
                  <c:v>177682</c:v>
                </c:pt>
                <c:pt idx="3">
                  <c:v>155107</c:v>
                </c:pt>
                <c:pt idx="4">
                  <c:v>189823</c:v>
                </c:pt>
              </c:numCache>
            </c:numRef>
          </c:val>
          <c:extLst>
            <c:ext xmlns:c16="http://schemas.microsoft.com/office/drawing/2014/chart" uri="{C3380CC4-5D6E-409C-BE32-E72D297353CC}">
              <c16:uniqueId val="{00000000-5CF6-40C3-AE5C-56CBF42708ED}"/>
            </c:ext>
          </c:extLst>
        </c:ser>
        <c:dLbls>
          <c:showLegendKey val="0"/>
          <c:showVal val="0"/>
          <c:showCatName val="0"/>
          <c:showSerName val="0"/>
          <c:showPercent val="0"/>
          <c:showBubbleSize val="0"/>
        </c:dLbls>
        <c:gapWidth val="219"/>
        <c:overlap val="-27"/>
        <c:axId val="1667574783"/>
        <c:axId val="1667572703"/>
      </c:barChart>
      <c:catAx>
        <c:axId val="166757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72703"/>
        <c:crosses val="autoZero"/>
        <c:auto val="1"/>
        <c:lblAlgn val="ctr"/>
        <c:lblOffset val="100"/>
        <c:noMultiLvlLbl val="0"/>
      </c:catAx>
      <c:valAx>
        <c:axId val="166757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7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project.xlsx]analysis!restaurant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analysis!$D$23</c:f>
              <c:strCache>
                <c:ptCount val="1"/>
                <c:pt idx="0">
                  <c:v>Total</c:v>
                </c:pt>
              </c:strCache>
            </c:strRef>
          </c:tx>
          <c:spPr>
            <a:solidFill>
              <a:schemeClr val="accent1"/>
            </a:solidFill>
            <a:ln>
              <a:noFill/>
            </a:ln>
            <a:effectLst/>
          </c:spPr>
          <c:invertIfNegative val="0"/>
          <c:cat>
            <c:strRef>
              <c:f>analysis!$C$24:$C$29</c:f>
              <c:strCache>
                <c:ptCount val="5"/>
                <c:pt idx="0">
                  <c:v>Shah Ghouse</c:v>
                </c:pt>
                <c:pt idx="1">
                  <c:v>Burger Barn</c:v>
                </c:pt>
                <c:pt idx="2">
                  <c:v>Haldirams</c:v>
                </c:pt>
                <c:pt idx="3">
                  <c:v>Cafe Bahar</c:v>
                </c:pt>
                <c:pt idx="4">
                  <c:v>Goodluck Cafe</c:v>
                </c:pt>
              </c:strCache>
            </c:strRef>
          </c:cat>
          <c:val>
            <c:numRef>
              <c:f>analysis!$D$24:$D$29</c:f>
              <c:numCache>
                <c:formatCode>General</c:formatCode>
                <c:ptCount val="5"/>
                <c:pt idx="0">
                  <c:v>66880</c:v>
                </c:pt>
                <c:pt idx="1">
                  <c:v>67709</c:v>
                </c:pt>
                <c:pt idx="2">
                  <c:v>70794</c:v>
                </c:pt>
                <c:pt idx="3">
                  <c:v>71244</c:v>
                </c:pt>
                <c:pt idx="4">
                  <c:v>74156</c:v>
                </c:pt>
              </c:numCache>
            </c:numRef>
          </c:val>
          <c:extLst>
            <c:ext xmlns:c16="http://schemas.microsoft.com/office/drawing/2014/chart" uri="{C3380CC4-5D6E-409C-BE32-E72D297353CC}">
              <c16:uniqueId val="{00000000-8A7C-49F3-A5E8-9C368D566AE5}"/>
            </c:ext>
          </c:extLst>
        </c:ser>
        <c:dLbls>
          <c:showLegendKey val="0"/>
          <c:showVal val="0"/>
          <c:showCatName val="0"/>
          <c:showSerName val="0"/>
          <c:showPercent val="0"/>
          <c:showBubbleSize val="0"/>
        </c:dLbls>
        <c:gapWidth val="219"/>
        <c:overlap val="-27"/>
        <c:axId val="1519818943"/>
        <c:axId val="1519819775"/>
      </c:barChart>
      <c:catAx>
        <c:axId val="15198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819775"/>
        <c:crosses val="autoZero"/>
        <c:auto val="1"/>
        <c:lblAlgn val="ctr"/>
        <c:lblOffset val="100"/>
        <c:noMultiLvlLbl val="0"/>
      </c:catAx>
      <c:valAx>
        <c:axId val="151981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8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project.xlsx]analysis!month</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analysis!$C$16:$C$19</c:f>
              <c:strCache>
                <c:ptCount val="3"/>
                <c:pt idx="0">
                  <c:v>Jan</c:v>
                </c:pt>
                <c:pt idx="1">
                  <c:v>Feb</c:v>
                </c:pt>
                <c:pt idx="2">
                  <c:v>Mar</c:v>
                </c:pt>
              </c:strCache>
            </c:strRef>
          </c:cat>
          <c:val>
            <c:numRef>
              <c:f>analysis!$D$16:$D$19</c:f>
              <c:numCache>
                <c:formatCode>General</c:formatCode>
                <c:ptCount val="3"/>
                <c:pt idx="0">
                  <c:v>338390</c:v>
                </c:pt>
                <c:pt idx="1">
                  <c:v>284023</c:v>
                </c:pt>
                <c:pt idx="2">
                  <c:v>318802</c:v>
                </c:pt>
              </c:numCache>
            </c:numRef>
          </c:val>
          <c:smooth val="0"/>
          <c:extLst>
            <c:ext xmlns:c16="http://schemas.microsoft.com/office/drawing/2014/chart" uri="{C3380CC4-5D6E-409C-BE32-E72D297353CC}">
              <c16:uniqueId val="{00000000-5AD3-46D9-B593-0F6270115360}"/>
            </c:ext>
          </c:extLst>
        </c:ser>
        <c:dLbls>
          <c:dLblPos val="ctr"/>
          <c:showLegendKey val="0"/>
          <c:showVal val="1"/>
          <c:showCatName val="0"/>
          <c:showSerName val="0"/>
          <c:showPercent val="0"/>
          <c:showBubbleSize val="0"/>
        </c:dLbls>
        <c:marker val="1"/>
        <c:smooth val="0"/>
        <c:axId val="1828412159"/>
        <c:axId val="1828417567"/>
      </c:lineChart>
      <c:catAx>
        <c:axId val="18284121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8417567"/>
        <c:crosses val="autoZero"/>
        <c:auto val="1"/>
        <c:lblAlgn val="ctr"/>
        <c:lblOffset val="100"/>
        <c:noMultiLvlLbl val="0"/>
      </c:catAx>
      <c:valAx>
        <c:axId val="18284175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2841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project.xlsx]analysis!restaurant</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Restaurants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analysis!$C$24:$C$29</c:f>
              <c:strCache>
                <c:ptCount val="5"/>
                <c:pt idx="0">
                  <c:v>Shah Ghouse</c:v>
                </c:pt>
                <c:pt idx="1">
                  <c:v>Burger Barn</c:v>
                </c:pt>
                <c:pt idx="2">
                  <c:v>Haldirams</c:v>
                </c:pt>
                <c:pt idx="3">
                  <c:v>Cafe Bahar</c:v>
                </c:pt>
                <c:pt idx="4">
                  <c:v>Goodluck Cafe</c:v>
                </c:pt>
              </c:strCache>
            </c:strRef>
          </c:cat>
          <c:val>
            <c:numRef>
              <c:f>analysis!$D$24:$D$29</c:f>
              <c:numCache>
                <c:formatCode>General</c:formatCode>
                <c:ptCount val="5"/>
                <c:pt idx="0">
                  <c:v>66880</c:v>
                </c:pt>
                <c:pt idx="1">
                  <c:v>67709</c:v>
                </c:pt>
                <c:pt idx="2">
                  <c:v>70794</c:v>
                </c:pt>
                <c:pt idx="3">
                  <c:v>71244</c:v>
                </c:pt>
                <c:pt idx="4">
                  <c:v>74156</c:v>
                </c:pt>
              </c:numCache>
            </c:numRef>
          </c:val>
          <c:extLst>
            <c:ext xmlns:c16="http://schemas.microsoft.com/office/drawing/2014/chart" uri="{C3380CC4-5D6E-409C-BE32-E72D297353CC}">
              <c16:uniqueId val="{00000000-3839-4DB8-8FE8-B1E70A0D5504}"/>
            </c:ext>
          </c:extLst>
        </c:ser>
        <c:dLbls>
          <c:dLblPos val="inEnd"/>
          <c:showLegendKey val="0"/>
          <c:showVal val="1"/>
          <c:showCatName val="0"/>
          <c:showSerName val="0"/>
          <c:showPercent val="0"/>
          <c:showBubbleSize val="0"/>
        </c:dLbls>
        <c:gapWidth val="65"/>
        <c:axId val="1519818943"/>
        <c:axId val="1519819775"/>
      </c:barChart>
      <c:catAx>
        <c:axId val="1519818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9819775"/>
        <c:crosses val="autoZero"/>
        <c:auto val="1"/>
        <c:lblAlgn val="ctr"/>
        <c:lblOffset val="100"/>
        <c:noMultiLvlLbl val="0"/>
      </c:catAx>
      <c:valAx>
        <c:axId val="1519819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9818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[food_delivery_dataset_2000_rows  project.xlsx]analysis!city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City</a:t>
            </a:r>
          </a:p>
        </c:rich>
      </c:tx>
      <c:layout>
        <c:manualLayout>
          <c:xMode val="edge"/>
          <c:yMode val="edge"/>
          <c:x val="0.46677014073620354"/>
          <c:y val="0.204906723362959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analysis!$C$5:$C$10</c:f>
              <c:strCache>
                <c:ptCount val="5"/>
                <c:pt idx="0">
                  <c:v>Bangalore</c:v>
                </c:pt>
                <c:pt idx="1">
                  <c:v>Delhi</c:v>
                </c:pt>
                <c:pt idx="2">
                  <c:v>Hyderabad</c:v>
                </c:pt>
                <c:pt idx="3">
                  <c:v>Mumbai</c:v>
                </c:pt>
                <c:pt idx="4">
                  <c:v>Pune</c:v>
                </c:pt>
              </c:strCache>
            </c:strRef>
          </c:cat>
          <c:val>
            <c:numRef>
              <c:f>analysis!$D$5:$D$10</c:f>
              <c:numCache>
                <c:formatCode>General</c:formatCode>
                <c:ptCount val="5"/>
                <c:pt idx="0">
                  <c:v>174938</c:v>
                </c:pt>
                <c:pt idx="1">
                  <c:v>173243</c:v>
                </c:pt>
                <c:pt idx="2">
                  <c:v>177682</c:v>
                </c:pt>
                <c:pt idx="3">
                  <c:v>155107</c:v>
                </c:pt>
                <c:pt idx="4">
                  <c:v>189823</c:v>
                </c:pt>
              </c:numCache>
            </c:numRef>
          </c:val>
          <c:extLst>
            <c:ext xmlns:c16="http://schemas.microsoft.com/office/drawing/2014/chart" uri="{C3380CC4-5D6E-409C-BE32-E72D297353CC}">
              <c16:uniqueId val="{00000000-6404-4C21-AA50-9D60D53D68DA}"/>
            </c:ext>
          </c:extLst>
        </c:ser>
        <c:dLbls>
          <c:dLblPos val="inEnd"/>
          <c:showLegendKey val="0"/>
          <c:showVal val="1"/>
          <c:showCatName val="0"/>
          <c:showSerName val="0"/>
          <c:showPercent val="0"/>
          <c:showBubbleSize val="0"/>
        </c:dLbls>
        <c:gapWidth val="65"/>
        <c:axId val="1667574783"/>
        <c:axId val="1667572703"/>
      </c:barChart>
      <c:catAx>
        <c:axId val="1667574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7572703"/>
        <c:crosses val="autoZero"/>
        <c:auto val="1"/>
        <c:lblAlgn val="ctr"/>
        <c:lblOffset val="100"/>
        <c:noMultiLvlLbl val="0"/>
      </c:catAx>
      <c:valAx>
        <c:axId val="1667572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67574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13609</xdr:colOff>
      <xdr:row>11</xdr:row>
      <xdr:rowOff>39006</xdr:rowOff>
    </xdr:from>
    <xdr:to>
      <xdr:col>1</xdr:col>
      <xdr:colOff>979716</xdr:colOff>
      <xdr:row>25</xdr:row>
      <xdr:rowOff>27214</xdr:rowOff>
    </xdr:to>
    <xdr:graphicFrame macro="">
      <xdr:nvGraphicFramePr>
        <xdr:cNvPr id="2" name="Chart 1">
          <a:extLst>
            <a:ext uri="{FF2B5EF4-FFF2-40B4-BE49-F238E27FC236}">
              <a16:creationId xmlns:a16="http://schemas.microsoft.com/office/drawing/2014/main" id="{3A8386F4-030C-44E9-45DC-223897C19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16329</xdr:colOff>
      <xdr:row>17</xdr:row>
      <xdr:rowOff>96157</xdr:rowOff>
    </xdr:from>
    <xdr:to>
      <xdr:col>4</xdr:col>
      <xdr:colOff>1845129</xdr:colOff>
      <xdr:row>27</xdr:row>
      <xdr:rowOff>63500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168382A-5449-DC03-FD96-4371860C42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184900" y="3189514"/>
              <a:ext cx="1828800" cy="1781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11792</xdr:colOff>
      <xdr:row>7</xdr:row>
      <xdr:rowOff>109765</xdr:rowOff>
    </xdr:from>
    <xdr:to>
      <xdr:col>4</xdr:col>
      <xdr:colOff>1850571</xdr:colOff>
      <xdr:row>16</xdr:row>
      <xdr:rowOff>172357</xdr:rowOff>
    </xdr:to>
    <mc:AlternateContent xmlns:mc="http://schemas.openxmlformats.org/markup-compatibility/2006" xmlns:a14="http://schemas.microsoft.com/office/drawing/2010/main">
      <mc:Choice Requires="a14">
        <xdr:graphicFrame macro="">
          <xdr:nvGraphicFramePr>
            <xdr:cNvPr id="4" name="Cuisine_Type">
              <a:extLst>
                <a:ext uri="{FF2B5EF4-FFF2-40B4-BE49-F238E27FC236}">
                  <a16:creationId xmlns:a16="http://schemas.microsoft.com/office/drawing/2014/main" id="{EE64F802-0C5E-0F2D-485D-695EBB9F25A0}"/>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mlns="">
        <xdr:sp macro="" textlink="">
          <xdr:nvSpPr>
            <xdr:cNvPr id="0" name=""/>
            <xdr:cNvSpPr>
              <a:spLocks noTextEdit="1"/>
            </xdr:cNvSpPr>
          </xdr:nvSpPr>
          <xdr:spPr>
            <a:xfrm>
              <a:off x="6180363" y="1388836"/>
              <a:ext cx="1838779"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16328</xdr:colOff>
      <xdr:row>0</xdr:row>
      <xdr:rowOff>168730</xdr:rowOff>
    </xdr:from>
    <xdr:to>
      <xdr:col>4</xdr:col>
      <xdr:colOff>1845128</xdr:colOff>
      <xdr:row>7</xdr:row>
      <xdr:rowOff>54429</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AF575A24-320E-23F2-5BD0-098F00E8979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184899" y="168730"/>
              <a:ext cx="1828800" cy="1164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13607</xdr:colOff>
      <xdr:row>0</xdr:row>
      <xdr:rowOff>120651</xdr:rowOff>
    </xdr:from>
    <xdr:to>
      <xdr:col>9</xdr:col>
      <xdr:colOff>485321</xdr:colOff>
      <xdr:row>15</xdr:row>
      <xdr:rowOff>133351</xdr:rowOff>
    </xdr:to>
    <xdr:graphicFrame macro="">
      <xdr:nvGraphicFramePr>
        <xdr:cNvPr id="8" name="Chart 7">
          <a:extLst>
            <a:ext uri="{FF2B5EF4-FFF2-40B4-BE49-F238E27FC236}">
              <a16:creationId xmlns:a16="http://schemas.microsoft.com/office/drawing/2014/main" id="{DDD3E11E-9D93-FB38-51E1-B439384CB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140608</xdr:colOff>
      <xdr:row>16</xdr:row>
      <xdr:rowOff>75291</xdr:rowOff>
    </xdr:from>
    <xdr:to>
      <xdr:col>9</xdr:col>
      <xdr:colOff>612322</xdr:colOff>
      <xdr:row>31</xdr:row>
      <xdr:rowOff>97063</xdr:rowOff>
    </xdr:to>
    <xdr:graphicFrame macro="">
      <xdr:nvGraphicFramePr>
        <xdr:cNvPr id="9" name="Chart 8">
          <a:extLst>
            <a:ext uri="{FF2B5EF4-FFF2-40B4-BE49-F238E27FC236}">
              <a16:creationId xmlns:a16="http://schemas.microsoft.com/office/drawing/2014/main" id="{96257FCA-177A-A001-9F04-7131CA81B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30843</xdr:colOff>
      <xdr:row>12</xdr:row>
      <xdr:rowOff>9978</xdr:rowOff>
    </xdr:from>
    <xdr:to>
      <xdr:col>5</xdr:col>
      <xdr:colOff>369206</xdr:colOff>
      <xdr:row>26</xdr:row>
      <xdr:rowOff>172357</xdr:rowOff>
    </xdr:to>
    <xdr:graphicFrame macro="">
      <xdr:nvGraphicFramePr>
        <xdr:cNvPr id="2" name="Chart 1">
          <a:extLst>
            <a:ext uri="{FF2B5EF4-FFF2-40B4-BE49-F238E27FC236}">
              <a16:creationId xmlns:a16="http://schemas.microsoft.com/office/drawing/2014/main" id="{920607ED-2ADB-4555-9FC7-B51C22EDC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574168</xdr:colOff>
      <xdr:row>11</xdr:row>
      <xdr:rowOff>180894</xdr:rowOff>
    </xdr:from>
    <xdr:to>
      <xdr:col>12</xdr:col>
      <xdr:colOff>2857501</xdr:colOff>
      <xdr:row>26</xdr:row>
      <xdr:rowOff>159231</xdr:rowOff>
    </xdr:to>
    <xdr:graphicFrame macro="">
      <xdr:nvGraphicFramePr>
        <xdr:cNvPr id="3" name="Chart 2">
          <a:extLst>
            <a:ext uri="{FF2B5EF4-FFF2-40B4-BE49-F238E27FC236}">
              <a16:creationId xmlns:a16="http://schemas.microsoft.com/office/drawing/2014/main" id="{A7ED2DD6-F240-4A38-8B2E-9ADB40F66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133402</xdr:colOff>
      <xdr:row>11</xdr:row>
      <xdr:rowOff>180894</xdr:rowOff>
    </xdr:from>
    <xdr:to>
      <xdr:col>21</xdr:col>
      <xdr:colOff>508000</xdr:colOff>
      <xdr:row>26</xdr:row>
      <xdr:rowOff>159231</xdr:rowOff>
    </xdr:to>
    <xdr:graphicFrame macro="">
      <xdr:nvGraphicFramePr>
        <xdr:cNvPr id="4" name="Chart 3">
          <a:extLst>
            <a:ext uri="{FF2B5EF4-FFF2-40B4-BE49-F238E27FC236}">
              <a16:creationId xmlns:a16="http://schemas.microsoft.com/office/drawing/2014/main" id="{BE284270-1D32-48EC-917B-4C7E0C226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553358</xdr:colOff>
      <xdr:row>1</xdr:row>
      <xdr:rowOff>51227</xdr:rowOff>
    </xdr:from>
    <xdr:to>
      <xdr:col>5</xdr:col>
      <xdr:colOff>549195</xdr:colOff>
      <xdr:row>4</xdr:row>
      <xdr:rowOff>208643</xdr:rowOff>
    </xdr:to>
    <mc:AlternateContent xmlns:mc="http://schemas.openxmlformats.org/markup-compatibility/2006" xmlns:a14="http://schemas.microsoft.com/office/drawing/2010/main">
      <mc:Choice Requires="a14">
        <xdr:graphicFrame macro="">
          <xdr:nvGraphicFramePr>
            <xdr:cNvPr id="5" name="Payment_Method 1">
              <a:extLst>
                <a:ext uri="{FF2B5EF4-FFF2-40B4-BE49-F238E27FC236}">
                  <a16:creationId xmlns:a16="http://schemas.microsoft.com/office/drawing/2014/main" id="{BCCAD964-1895-4422-A0F7-DF0E887DBCDE}"/>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768929" y="441298"/>
              <a:ext cx="1819195" cy="737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344714</xdr:colOff>
      <xdr:row>1</xdr:row>
      <xdr:rowOff>61899</xdr:rowOff>
    </xdr:from>
    <xdr:to>
      <xdr:col>12</xdr:col>
      <xdr:colOff>2667000</xdr:colOff>
      <xdr:row>4</xdr:row>
      <xdr:rowOff>199571</xdr:rowOff>
    </xdr:to>
    <mc:AlternateContent xmlns:mc="http://schemas.openxmlformats.org/markup-compatibility/2006" xmlns:a14="http://schemas.microsoft.com/office/drawing/2010/main">
      <mc:Choice Requires="a14">
        <xdr:graphicFrame macro="">
          <xdr:nvGraphicFramePr>
            <xdr:cNvPr id="6" name="Cuisine_Type 1">
              <a:extLst>
                <a:ext uri="{FF2B5EF4-FFF2-40B4-BE49-F238E27FC236}">
                  <a16:creationId xmlns:a16="http://schemas.microsoft.com/office/drawing/2014/main" id="{A9191A9A-FE19-49FB-910B-6245AA178134}"/>
                </a:ext>
              </a:extLst>
            </xdr:cNvPr>
            <xdr:cNvGraphicFramePr/>
          </xdr:nvGraphicFramePr>
          <xdr:xfrm>
            <a:off x="0" y="0"/>
            <a:ext cx="0" cy="0"/>
          </xdr:xfrm>
          <a:graphic>
            <a:graphicData uri="http://schemas.microsoft.com/office/drawing/2010/slicer">
              <sle:slicer xmlns:sle="http://schemas.microsoft.com/office/drawing/2010/slicer" name="Cuisine_Type 1"/>
            </a:graphicData>
          </a:graphic>
        </xdr:graphicFrame>
      </mc:Choice>
      <mc:Fallback xmlns="">
        <xdr:sp macro="" textlink="">
          <xdr:nvSpPr>
            <xdr:cNvPr id="0" name=""/>
            <xdr:cNvSpPr>
              <a:spLocks noTextEdit="1"/>
            </xdr:cNvSpPr>
          </xdr:nvSpPr>
          <xdr:spPr>
            <a:xfrm>
              <a:off x="4599214" y="451970"/>
              <a:ext cx="5361215" cy="718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805757</xdr:colOff>
      <xdr:row>1</xdr:row>
      <xdr:rowOff>33084</xdr:rowOff>
    </xdr:from>
    <xdr:to>
      <xdr:col>21</xdr:col>
      <xdr:colOff>9071</xdr:colOff>
      <xdr:row>4</xdr:row>
      <xdr:rowOff>181429</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4CD73904-EE98-4BF6-92EA-21367266F2F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011114" y="423155"/>
              <a:ext cx="4510100" cy="728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208643</xdr:colOff>
      <xdr:row>6</xdr:row>
      <xdr:rowOff>90714</xdr:rowOff>
    </xdr:from>
    <xdr:to>
      <xdr:col>10</xdr:col>
      <xdr:colOff>317500</xdr:colOff>
      <xdr:row>9</xdr:row>
      <xdr:rowOff>81644</xdr:rowOff>
    </xdr:to>
    <xdr:sp macro="" textlink="">
      <xdr:nvSpPr>
        <xdr:cNvPr id="9" name="Rectangle 8">
          <a:extLst>
            <a:ext uri="{FF2B5EF4-FFF2-40B4-BE49-F238E27FC236}">
              <a16:creationId xmlns:a16="http://schemas.microsoft.com/office/drawing/2014/main" id="{A4A84411-DEC6-83D6-0D63-F364CDF4AC38}"/>
            </a:ext>
          </a:extLst>
        </xdr:cNvPr>
        <xdr:cNvSpPr/>
      </xdr:nvSpPr>
      <xdr:spPr>
        <a:xfrm>
          <a:off x="4463143" y="1478643"/>
          <a:ext cx="1932214"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Cancelled Orders</a:t>
          </a:r>
        </a:p>
      </xdr:txBody>
    </xdr:sp>
    <xdr:clientData/>
  </xdr:twoCellAnchor>
  <xdr:twoCellAnchor>
    <xdr:from>
      <xdr:col>10</xdr:col>
      <xdr:colOff>562428</xdr:colOff>
      <xdr:row>6</xdr:row>
      <xdr:rowOff>70756</xdr:rowOff>
    </xdr:from>
    <xdr:to>
      <xdr:col>12</xdr:col>
      <xdr:colOff>879928</xdr:colOff>
      <xdr:row>9</xdr:row>
      <xdr:rowOff>61686</xdr:rowOff>
    </xdr:to>
    <xdr:sp macro="" textlink="">
      <xdr:nvSpPr>
        <xdr:cNvPr id="10" name="Rectangle 9">
          <a:extLst>
            <a:ext uri="{FF2B5EF4-FFF2-40B4-BE49-F238E27FC236}">
              <a16:creationId xmlns:a16="http://schemas.microsoft.com/office/drawing/2014/main" id="{432146A8-11A0-4CDB-9DFC-85705E628031}"/>
            </a:ext>
          </a:extLst>
        </xdr:cNvPr>
        <xdr:cNvSpPr/>
      </xdr:nvSpPr>
      <xdr:spPr>
        <a:xfrm>
          <a:off x="6640285" y="1458685"/>
          <a:ext cx="1533072"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FOOD REVENUE</a:t>
          </a:r>
        </a:p>
      </xdr:txBody>
    </xdr:sp>
    <xdr:clientData/>
  </xdr:twoCellAnchor>
  <xdr:twoCellAnchor>
    <xdr:from>
      <xdr:col>12</xdr:col>
      <xdr:colOff>1179284</xdr:colOff>
      <xdr:row>6</xdr:row>
      <xdr:rowOff>78014</xdr:rowOff>
    </xdr:from>
    <xdr:to>
      <xdr:col>14</xdr:col>
      <xdr:colOff>462642</xdr:colOff>
      <xdr:row>9</xdr:row>
      <xdr:rowOff>68944</xdr:rowOff>
    </xdr:to>
    <xdr:sp macro="" textlink="">
      <xdr:nvSpPr>
        <xdr:cNvPr id="11" name="Rectangle 10">
          <a:extLst>
            <a:ext uri="{FF2B5EF4-FFF2-40B4-BE49-F238E27FC236}">
              <a16:creationId xmlns:a16="http://schemas.microsoft.com/office/drawing/2014/main" id="{8A78F01B-27FA-417D-8A61-4F94DE6BA5CB}"/>
            </a:ext>
          </a:extLst>
        </xdr:cNvPr>
        <xdr:cNvSpPr/>
      </xdr:nvSpPr>
      <xdr:spPr>
        <a:xfrm>
          <a:off x="8472713" y="1465943"/>
          <a:ext cx="3247572"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REVENUE (INCLUDE DELIVERY FEE)</a:t>
          </a:r>
        </a:p>
      </xdr:txBody>
    </xdr:sp>
    <xdr:clientData/>
  </xdr:twoCellAnchor>
  <xdr:twoCellAnchor>
    <xdr:from>
      <xdr:col>18</xdr:col>
      <xdr:colOff>293913</xdr:colOff>
      <xdr:row>6</xdr:row>
      <xdr:rowOff>67129</xdr:rowOff>
    </xdr:from>
    <xdr:to>
      <xdr:col>21</xdr:col>
      <xdr:colOff>417285</xdr:colOff>
      <xdr:row>9</xdr:row>
      <xdr:rowOff>58059</xdr:rowOff>
    </xdr:to>
    <xdr:sp macro="" textlink="">
      <xdr:nvSpPr>
        <xdr:cNvPr id="12" name="Rectangle 11">
          <a:extLst>
            <a:ext uri="{FF2B5EF4-FFF2-40B4-BE49-F238E27FC236}">
              <a16:creationId xmlns:a16="http://schemas.microsoft.com/office/drawing/2014/main" id="{65A1C88B-8B4A-4911-8280-BB8D41EE82BA}"/>
            </a:ext>
          </a:extLst>
        </xdr:cNvPr>
        <xdr:cNvSpPr/>
      </xdr:nvSpPr>
      <xdr:spPr>
        <a:xfrm>
          <a:off x="13982699" y="1455058"/>
          <a:ext cx="1946729"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 Delivery Time</a:t>
          </a:r>
        </a:p>
      </xdr:txBody>
    </xdr:sp>
    <xdr:clientData/>
  </xdr:twoCellAnchor>
  <xdr:twoCellAnchor>
    <xdr:from>
      <xdr:col>15</xdr:col>
      <xdr:colOff>74384</xdr:colOff>
      <xdr:row>6</xdr:row>
      <xdr:rowOff>74385</xdr:rowOff>
    </xdr:from>
    <xdr:to>
      <xdr:col>18</xdr:col>
      <xdr:colOff>18142</xdr:colOff>
      <xdr:row>9</xdr:row>
      <xdr:rowOff>65315</xdr:rowOff>
    </xdr:to>
    <xdr:sp macro="" textlink="">
      <xdr:nvSpPr>
        <xdr:cNvPr id="13" name="Rectangle 12">
          <a:extLst>
            <a:ext uri="{FF2B5EF4-FFF2-40B4-BE49-F238E27FC236}">
              <a16:creationId xmlns:a16="http://schemas.microsoft.com/office/drawing/2014/main" id="{6E3E17DF-80EA-48A7-82CF-147652722B37}"/>
            </a:ext>
          </a:extLst>
        </xdr:cNvPr>
        <xdr:cNvSpPr/>
      </xdr:nvSpPr>
      <xdr:spPr>
        <a:xfrm>
          <a:off x="11939813" y="1462314"/>
          <a:ext cx="1767115"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 Order Value</a:t>
          </a:r>
        </a:p>
      </xdr:txBody>
    </xdr:sp>
    <xdr:clientData/>
  </xdr:twoCellAnchor>
  <xdr:twoCellAnchor>
    <xdr:from>
      <xdr:col>1</xdr:col>
      <xdr:colOff>52614</xdr:colOff>
      <xdr:row>6</xdr:row>
      <xdr:rowOff>70757</xdr:rowOff>
    </xdr:from>
    <xdr:to>
      <xdr:col>3</xdr:col>
      <xdr:colOff>70757</xdr:colOff>
      <xdr:row>9</xdr:row>
      <xdr:rowOff>61687</xdr:rowOff>
    </xdr:to>
    <xdr:sp macro="" textlink="">
      <xdr:nvSpPr>
        <xdr:cNvPr id="14" name="Rectangle 13">
          <a:extLst>
            <a:ext uri="{FF2B5EF4-FFF2-40B4-BE49-F238E27FC236}">
              <a16:creationId xmlns:a16="http://schemas.microsoft.com/office/drawing/2014/main" id="{A22D995E-EBD7-45AC-9508-2455E8823FC2}"/>
            </a:ext>
          </a:extLst>
        </xdr:cNvPr>
        <xdr:cNvSpPr/>
      </xdr:nvSpPr>
      <xdr:spPr>
        <a:xfrm>
          <a:off x="660400" y="1458686"/>
          <a:ext cx="1233714"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Orders</a:t>
          </a:r>
        </a:p>
      </xdr:txBody>
    </xdr:sp>
    <xdr:clientData/>
  </xdr:twoCellAnchor>
  <xdr:twoCellAnchor>
    <xdr:from>
      <xdr:col>3</xdr:col>
      <xdr:colOff>344714</xdr:colOff>
      <xdr:row>6</xdr:row>
      <xdr:rowOff>78015</xdr:rowOff>
    </xdr:from>
    <xdr:to>
      <xdr:col>6</xdr:col>
      <xdr:colOff>589642</xdr:colOff>
      <xdr:row>9</xdr:row>
      <xdr:rowOff>68945</xdr:rowOff>
    </xdr:to>
    <xdr:sp macro="" textlink="">
      <xdr:nvSpPr>
        <xdr:cNvPr id="15" name="Rectangle 14">
          <a:extLst>
            <a:ext uri="{FF2B5EF4-FFF2-40B4-BE49-F238E27FC236}">
              <a16:creationId xmlns:a16="http://schemas.microsoft.com/office/drawing/2014/main" id="{006F8311-3A78-4153-9287-817BBC216789}"/>
            </a:ext>
          </a:extLst>
        </xdr:cNvPr>
        <xdr:cNvSpPr/>
      </xdr:nvSpPr>
      <xdr:spPr>
        <a:xfrm>
          <a:off x="2168071" y="1465944"/>
          <a:ext cx="2068285" cy="6440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Delivered Orders</a:t>
          </a:r>
        </a:p>
      </xdr:txBody>
    </xdr:sp>
    <xdr:clientData/>
  </xdr:twoCellAnchor>
  <xdr:twoCellAnchor>
    <xdr:from>
      <xdr:col>1</xdr:col>
      <xdr:colOff>72571</xdr:colOff>
      <xdr:row>7</xdr:row>
      <xdr:rowOff>172357</xdr:rowOff>
    </xdr:from>
    <xdr:to>
      <xdr:col>3</xdr:col>
      <xdr:colOff>99786</xdr:colOff>
      <xdr:row>9</xdr:row>
      <xdr:rowOff>63500</xdr:rowOff>
    </xdr:to>
    <xdr:sp macro="" textlink="">
      <xdr:nvSpPr>
        <xdr:cNvPr id="16" name="Rectangle: Rounded Corners 15">
          <a:extLst>
            <a:ext uri="{FF2B5EF4-FFF2-40B4-BE49-F238E27FC236}">
              <a16:creationId xmlns:a16="http://schemas.microsoft.com/office/drawing/2014/main" id="{63D8A2B0-D9DE-36B5-E6CF-E0C84AD3ABEA}"/>
            </a:ext>
          </a:extLst>
        </xdr:cNvPr>
        <xdr:cNvSpPr/>
      </xdr:nvSpPr>
      <xdr:spPr>
        <a:xfrm>
          <a:off x="680357" y="1778000"/>
          <a:ext cx="1242786" cy="326571"/>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2,000    2,000.00  </a:t>
          </a:r>
          <a:endParaRPr lang="en-IN" sz="1100"/>
        </a:p>
      </xdr:txBody>
    </xdr:sp>
    <xdr:clientData/>
  </xdr:twoCellAnchor>
  <xdr:twoCellAnchor>
    <xdr:from>
      <xdr:col>3</xdr:col>
      <xdr:colOff>324757</xdr:colOff>
      <xdr:row>7</xdr:row>
      <xdr:rowOff>197758</xdr:rowOff>
    </xdr:from>
    <xdr:to>
      <xdr:col>6</xdr:col>
      <xdr:colOff>580572</xdr:colOff>
      <xdr:row>9</xdr:row>
      <xdr:rowOff>54429</xdr:rowOff>
    </xdr:to>
    <xdr:sp macro="" textlink="">
      <xdr:nvSpPr>
        <xdr:cNvPr id="17" name="Rectangle: Rounded Corners 16">
          <a:extLst>
            <a:ext uri="{FF2B5EF4-FFF2-40B4-BE49-F238E27FC236}">
              <a16:creationId xmlns:a16="http://schemas.microsoft.com/office/drawing/2014/main" id="{310B4E72-4E1C-4053-A18F-97D6E700B520}"/>
            </a:ext>
          </a:extLst>
        </xdr:cNvPr>
        <xdr:cNvSpPr/>
      </xdr:nvSpPr>
      <xdr:spPr>
        <a:xfrm>
          <a:off x="2148114" y="1803401"/>
          <a:ext cx="2079172" cy="292099"/>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1,853.00 </a:t>
          </a:r>
          <a:endParaRPr lang="en-IN" sz="1100"/>
        </a:p>
      </xdr:txBody>
    </xdr:sp>
    <xdr:clientData/>
  </xdr:twoCellAnchor>
  <xdr:twoCellAnchor>
    <xdr:from>
      <xdr:col>7</xdr:col>
      <xdr:colOff>214085</xdr:colOff>
      <xdr:row>7</xdr:row>
      <xdr:rowOff>205014</xdr:rowOff>
    </xdr:from>
    <xdr:to>
      <xdr:col>10</xdr:col>
      <xdr:colOff>353786</xdr:colOff>
      <xdr:row>9</xdr:row>
      <xdr:rowOff>99786</xdr:rowOff>
    </xdr:to>
    <xdr:sp macro="" textlink="">
      <xdr:nvSpPr>
        <xdr:cNvPr id="18" name="Rectangle: Rounded Corners 17">
          <a:extLst>
            <a:ext uri="{FF2B5EF4-FFF2-40B4-BE49-F238E27FC236}">
              <a16:creationId xmlns:a16="http://schemas.microsoft.com/office/drawing/2014/main" id="{0B935DC3-4D9D-414D-A4CF-BC6E46299136}"/>
            </a:ext>
          </a:extLst>
        </xdr:cNvPr>
        <xdr:cNvSpPr/>
      </xdr:nvSpPr>
      <xdr:spPr>
        <a:xfrm>
          <a:off x="4468585" y="1810657"/>
          <a:ext cx="1963058" cy="3302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147.00 </a:t>
          </a:r>
          <a:endParaRPr lang="en-IN" sz="1100"/>
        </a:p>
      </xdr:txBody>
    </xdr:sp>
    <xdr:clientData/>
  </xdr:twoCellAnchor>
  <xdr:twoCellAnchor>
    <xdr:from>
      <xdr:col>10</xdr:col>
      <xdr:colOff>566056</xdr:colOff>
      <xdr:row>7</xdr:row>
      <xdr:rowOff>185057</xdr:rowOff>
    </xdr:from>
    <xdr:to>
      <xdr:col>12</xdr:col>
      <xdr:colOff>888999</xdr:colOff>
      <xdr:row>9</xdr:row>
      <xdr:rowOff>63500</xdr:rowOff>
    </xdr:to>
    <xdr:sp macro="" textlink="">
      <xdr:nvSpPr>
        <xdr:cNvPr id="19" name="Rectangle: Rounded Corners 18">
          <a:extLst>
            <a:ext uri="{FF2B5EF4-FFF2-40B4-BE49-F238E27FC236}">
              <a16:creationId xmlns:a16="http://schemas.microsoft.com/office/drawing/2014/main" id="{EF906AE7-48F5-4FC3-8D67-6917C5B9FDC8}"/>
            </a:ext>
          </a:extLst>
        </xdr:cNvPr>
        <xdr:cNvSpPr/>
      </xdr:nvSpPr>
      <xdr:spPr>
        <a:xfrm>
          <a:off x="6643913" y="1790700"/>
          <a:ext cx="1538515" cy="313871"/>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  8,04,573.00 </a:t>
          </a:r>
          <a:endParaRPr lang="en-IN" sz="1100"/>
        </a:p>
      </xdr:txBody>
    </xdr:sp>
    <xdr:clientData/>
  </xdr:twoCellAnchor>
  <xdr:twoCellAnchor>
    <xdr:from>
      <xdr:col>12</xdr:col>
      <xdr:colOff>1181098</xdr:colOff>
      <xdr:row>8</xdr:row>
      <xdr:rowOff>10885</xdr:rowOff>
    </xdr:from>
    <xdr:to>
      <xdr:col>14</xdr:col>
      <xdr:colOff>471713</xdr:colOff>
      <xdr:row>9</xdr:row>
      <xdr:rowOff>81643</xdr:rowOff>
    </xdr:to>
    <xdr:sp macro="" textlink="">
      <xdr:nvSpPr>
        <xdr:cNvPr id="20" name="Rectangle: Rounded Corners 19">
          <a:extLst>
            <a:ext uri="{FF2B5EF4-FFF2-40B4-BE49-F238E27FC236}">
              <a16:creationId xmlns:a16="http://schemas.microsoft.com/office/drawing/2014/main" id="{7C4DBFF5-6110-4FC1-A6A5-7169090F75C7}"/>
            </a:ext>
          </a:extLst>
        </xdr:cNvPr>
        <xdr:cNvSpPr/>
      </xdr:nvSpPr>
      <xdr:spPr>
        <a:xfrm>
          <a:off x="8474527" y="1825171"/>
          <a:ext cx="3254829" cy="297543"/>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  8,70,793.00 </a:t>
          </a:r>
          <a:endParaRPr lang="en-IN" sz="1100"/>
        </a:p>
      </xdr:txBody>
    </xdr:sp>
    <xdr:clientData/>
  </xdr:twoCellAnchor>
  <xdr:twoCellAnchor>
    <xdr:from>
      <xdr:col>15</xdr:col>
      <xdr:colOff>90714</xdr:colOff>
      <xdr:row>7</xdr:row>
      <xdr:rowOff>163285</xdr:rowOff>
    </xdr:from>
    <xdr:to>
      <xdr:col>18</xdr:col>
      <xdr:colOff>45357</xdr:colOff>
      <xdr:row>9</xdr:row>
      <xdr:rowOff>45358</xdr:rowOff>
    </xdr:to>
    <xdr:sp macro="" textlink="">
      <xdr:nvSpPr>
        <xdr:cNvPr id="21" name="Rectangle: Rounded Corners 20">
          <a:extLst>
            <a:ext uri="{FF2B5EF4-FFF2-40B4-BE49-F238E27FC236}">
              <a16:creationId xmlns:a16="http://schemas.microsoft.com/office/drawing/2014/main" id="{8480BF71-170C-4730-961E-9C5E4F6BA55A}"/>
            </a:ext>
          </a:extLst>
        </xdr:cNvPr>
        <xdr:cNvSpPr/>
      </xdr:nvSpPr>
      <xdr:spPr>
        <a:xfrm>
          <a:off x="11956143" y="1768928"/>
          <a:ext cx="1778000" cy="317501"/>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           473.94 </a:t>
          </a:r>
          <a:endParaRPr lang="en-IN" sz="1100"/>
        </a:p>
      </xdr:txBody>
    </xdr:sp>
    <xdr:clientData/>
  </xdr:twoCellAnchor>
  <xdr:twoCellAnchor>
    <xdr:from>
      <xdr:col>18</xdr:col>
      <xdr:colOff>252184</xdr:colOff>
      <xdr:row>7</xdr:row>
      <xdr:rowOff>152400</xdr:rowOff>
    </xdr:from>
    <xdr:to>
      <xdr:col>21</xdr:col>
      <xdr:colOff>453570</xdr:colOff>
      <xdr:row>9</xdr:row>
      <xdr:rowOff>45358</xdr:rowOff>
    </xdr:to>
    <xdr:sp macro="" textlink="">
      <xdr:nvSpPr>
        <xdr:cNvPr id="22" name="Rectangle: Rounded Corners 21">
          <a:extLst>
            <a:ext uri="{FF2B5EF4-FFF2-40B4-BE49-F238E27FC236}">
              <a16:creationId xmlns:a16="http://schemas.microsoft.com/office/drawing/2014/main" id="{5CF4CFF4-3C98-48BA-9477-097A6929E679}"/>
            </a:ext>
          </a:extLst>
        </xdr:cNvPr>
        <xdr:cNvSpPr/>
      </xdr:nvSpPr>
      <xdr:spPr>
        <a:xfrm>
          <a:off x="13940970" y="1758043"/>
          <a:ext cx="2024743" cy="328386"/>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39.55</a:t>
          </a:r>
          <a:r>
            <a:rPr lang="en-IN"/>
            <a:t> min</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bhas" refreshedDate="46089.041130902777" createdVersion="8" refreshedVersion="8" minRefreshableVersion="3" recordCount="2000" xr:uid="{5B8702B0-94EE-4574-A38D-51248B1D6064}">
  <cacheSource type="worksheet">
    <worksheetSource name="order_data"/>
  </cacheSource>
  <cacheFields count="18">
    <cacheField name="Order_ID" numFmtId="0">
      <sharedItems/>
    </cacheField>
    <cacheField name="Order_Date" numFmtId="0">
      <sharedItems/>
    </cacheField>
    <cacheField name="Customer_ID" numFmtId="0">
      <sharedItems/>
    </cacheField>
    <cacheField name="City" numFmtId="0">
      <sharedItems count="5">
        <s v="Pune"/>
        <s v="Hyderabad"/>
        <s v="Bangalore"/>
        <s v="Delhi"/>
        <s v="Mumbai"/>
      </sharedItems>
    </cacheField>
    <cacheField name="Restaurant" numFmtId="0">
      <sharedItems count="15">
        <s v="Burger Barn"/>
        <s v="Paradise Biryani"/>
        <s v="Shah Ghouse"/>
        <s v="Meghana Foods"/>
        <s v="Haldirams"/>
        <s v="Cafe Madras"/>
        <s v="Empire Restaurant"/>
        <s v="Burger Singh"/>
        <s v="Cafe Bahar"/>
        <s v="Pizza By The Bay"/>
        <s v="Goodluck Cafe"/>
        <s v="Truffles"/>
        <s v="Vaishali"/>
        <s v="Biryani Blues"/>
        <s v="Leopold Cafe"/>
      </sharedItems>
    </cacheField>
    <cacheField name="Cuisine_Type" numFmtId="0">
      <sharedItems count="5">
        <s v="Fast Food"/>
        <s v="Biryani"/>
        <s v="North Indian"/>
        <s v="South Indian"/>
        <s v="Pizza"/>
      </sharedItems>
    </cacheField>
    <cacheField name="Delivery_Partner" numFmtId="0">
      <sharedItems/>
    </cacheField>
    <cacheField name="Order_Value" numFmtId="0">
      <sharedItems containsSemiMixedTypes="0" containsString="0" containsNumber="1" containsInteger="1" minValue="150" maxValue="800"/>
    </cacheField>
    <cacheField name="Delivery_Fee" numFmtId="0">
      <sharedItems containsSemiMixedTypes="0" containsString="0" containsNumber="1" containsInteger="1" minValue="20" maxValue="50"/>
    </cacheField>
    <cacheField name="Discount" numFmtId="0">
      <sharedItems containsSemiMixedTypes="0" containsString="0" containsNumber="1" containsInteger="1" minValue="0" maxValue="100"/>
    </cacheField>
    <cacheField name="Payment_Method" numFmtId="0">
      <sharedItems count="3">
        <s v="Card"/>
        <s v="Cash"/>
        <s v="UPI"/>
      </sharedItems>
    </cacheField>
    <cacheField name="Delivery_Time_Min" numFmtId="0">
      <sharedItems containsSemiMixedTypes="0" containsString="0" containsNumber="1" containsInteger="1" minValue="20" maxValue="60"/>
    </cacheField>
    <cacheField name="Order_Status" numFmtId="0">
      <sharedItems count="2">
        <s v="Delivered"/>
        <s v="Cancelled"/>
      </sharedItems>
    </cacheField>
    <cacheField name="countif_for_duplicate" numFmtId="0">
      <sharedItems containsSemiMixedTypes="0" containsString="0" containsNumber="1" containsInteger="1" minValue="1" maxValue="1"/>
    </cacheField>
    <cacheField name="food_revenue" numFmtId="0">
      <sharedItems containsSemiMixedTypes="0" containsString="0" containsNumber="1" containsInteger="1" minValue="50" maxValue="800"/>
    </cacheField>
    <cacheField name="total/platformrevenue" numFmtId="0">
      <sharedItems containsSemiMixedTypes="0" containsString="0" containsNumber="1" containsInteger="1" minValue="70" maxValue="849" count="669">
        <n v="511"/>
        <n v="377"/>
        <n v="512"/>
        <n v="532"/>
        <n v="173"/>
        <n v="481"/>
        <n v="449"/>
        <n v="559"/>
        <n v="787"/>
        <n v="588"/>
        <n v="773"/>
        <n v="647"/>
        <n v="459"/>
        <n v="238"/>
        <n v="281"/>
        <n v="637"/>
        <n v="789"/>
        <n v="504"/>
        <n v="493"/>
        <n v="243"/>
        <n v="362"/>
        <n v="193"/>
        <n v="275"/>
        <n v="614"/>
        <n v="185"/>
        <n v="467"/>
        <n v="324"/>
        <n v="151"/>
        <n v="311"/>
        <n v="708"/>
        <n v="496"/>
        <n v="487"/>
        <n v="702"/>
        <n v="271"/>
        <n v="740"/>
        <n v="746"/>
        <n v="408"/>
        <n v="526"/>
        <n v="257"/>
        <n v="581"/>
        <n v="661"/>
        <n v="760"/>
        <n v="701"/>
        <n v="758"/>
        <n v="794"/>
        <n v="460"/>
        <n v="665"/>
        <n v="684"/>
        <n v="346"/>
        <n v="714"/>
        <n v="432"/>
        <n v="816"/>
        <n v="807"/>
        <n v="646"/>
        <n v="586"/>
        <n v="426"/>
        <n v="396"/>
        <n v="264"/>
        <n v="287"/>
        <n v="354"/>
        <n v="664"/>
        <n v="738"/>
        <n v="470"/>
        <n v="233"/>
        <n v="506"/>
        <n v="369"/>
        <n v="215"/>
        <n v="277"/>
        <n v="455"/>
        <n v="548"/>
        <n v="149"/>
        <n v="808"/>
        <n v="371"/>
        <n v="727"/>
        <n v="259"/>
        <n v="218"/>
        <n v="624"/>
        <n v="599"/>
        <n v="697"/>
        <n v="566"/>
        <n v="540"/>
        <n v="609"/>
        <n v="272"/>
        <n v="253"/>
        <n v="539"/>
        <n v="336"/>
        <n v="761"/>
        <n v="410"/>
        <n v="601"/>
        <n v="678"/>
        <n v="605"/>
        <n v="419"/>
        <n v="739"/>
        <n v="519"/>
        <n v="424"/>
        <n v="364"/>
        <n v="450"/>
        <n v="187"/>
        <n v="316"/>
        <n v="478"/>
        <n v="430"/>
        <n v="437"/>
        <n v="457"/>
        <n v="202"/>
        <n v="790"/>
        <n v="242"/>
        <n v="300"/>
        <n v="485"/>
        <n v="417"/>
        <n v="136"/>
        <n v="266"/>
        <n v="573"/>
        <n v="188"/>
        <n v="207"/>
        <n v="400"/>
        <n v="722"/>
        <n v="468"/>
        <n v="250"/>
        <n v="718"/>
        <n v="666"/>
        <n v="510"/>
        <n v="282"/>
        <n v="473"/>
        <n v="254"/>
        <n v="636"/>
        <n v="414"/>
        <n v="769"/>
        <n v="431"/>
        <n v="572"/>
        <n v="142"/>
        <n v="464"/>
        <n v="577"/>
        <n v="416"/>
        <n v="301"/>
        <n v="375"/>
        <n v="139"/>
        <n v="378"/>
        <n v="621"/>
        <n v="630"/>
        <n v="774"/>
        <n v="292"/>
        <n v="227"/>
        <n v="705"/>
        <n v="155"/>
        <n v="515"/>
        <n v="716"/>
        <n v="507"/>
        <n v="249"/>
        <n v="261"/>
        <n v="357"/>
        <n v="444"/>
        <n v="591"/>
        <n v="631"/>
        <n v="480"/>
        <n v="628"/>
        <n v="276"/>
        <n v="351"/>
        <n v="677"/>
        <n v="492"/>
        <n v="461"/>
        <n v="757"/>
        <n v="206"/>
        <n v="359"/>
        <n v="368"/>
        <n v="132"/>
        <n v="763"/>
        <n v="521"/>
        <n v="648"/>
        <n v="754"/>
        <n v="415"/>
        <n v="183"/>
        <n v="638"/>
        <n v="118"/>
        <n v="189"/>
        <n v="594"/>
        <n v="616"/>
        <n v="170"/>
        <n v="544"/>
        <n v="733"/>
        <n v="168"/>
        <n v="388"/>
        <n v="372"/>
        <n v="283"/>
        <n v="723"/>
        <n v="228"/>
        <n v="549"/>
        <n v="717"/>
        <n v="186"/>
        <n v="744"/>
        <n v="456"/>
        <n v="440"/>
        <n v="689"/>
        <n v="750"/>
        <n v="556"/>
        <n v="580"/>
        <n v="312"/>
        <n v="641"/>
        <n v="146"/>
        <n v="246"/>
        <n v="337"/>
        <n v="603"/>
        <n v="497"/>
        <n v="520"/>
        <n v="280"/>
        <n v="381"/>
        <n v="216"/>
        <n v="465"/>
        <n v="293"/>
        <n v="523"/>
        <n v="327"/>
        <n v="344"/>
        <n v="712"/>
        <n v="531"/>
        <n v="403"/>
        <n v="236"/>
        <n v="167"/>
        <n v="247"/>
        <n v="320"/>
        <n v="486"/>
        <n v="693"/>
        <n v="241"/>
        <n v="387"/>
        <n v="237"/>
        <n v="726"/>
        <n v="356"/>
        <n v="518"/>
        <n v="325"/>
        <n v="561"/>
        <n v="724"/>
        <n v="709"/>
        <n v="475"/>
        <n v="658"/>
        <n v="398"/>
        <n v="397"/>
        <n v="651"/>
        <n v="176"/>
        <n v="348"/>
        <n v="225"/>
        <n v="791"/>
        <n v="622"/>
        <n v="322"/>
        <n v="353"/>
        <n v="392"/>
        <n v="490"/>
        <n v="571"/>
        <n v="699"/>
        <n v="343"/>
        <n v="483"/>
        <n v="725"/>
        <n v="270"/>
        <n v="786"/>
        <n v="453"/>
        <n v="660"/>
        <n v="230"/>
        <n v="762"/>
        <n v="565"/>
        <n v="251"/>
        <n v="669"/>
        <n v="317"/>
        <n v="182"/>
        <n v="595"/>
        <n v="405"/>
        <n v="335"/>
        <n v="639"/>
        <n v="204"/>
        <n v="613"/>
        <n v="765"/>
        <n v="715"/>
        <n v="513"/>
        <n v="682"/>
        <n v="192"/>
        <n v="643"/>
        <n v="545"/>
        <n v="331"/>
        <n v="748"/>
        <n v="265"/>
        <n v="184"/>
        <n v="688"/>
        <n v="634"/>
        <n v="574"/>
        <n v="650"/>
        <n v="379"/>
        <n v="847"/>
        <n v="498"/>
        <n v="546"/>
        <n v="452"/>
        <n v="413"/>
        <n v="80"/>
        <n v="778"/>
        <n v="618"/>
        <n v="196"/>
        <n v="174"/>
        <n v="479"/>
        <n v="743"/>
        <n v="422"/>
        <n v="752"/>
        <n v="393"/>
        <n v="810"/>
        <n v="332"/>
        <n v="584"/>
        <n v="592"/>
        <n v="524"/>
        <n v="382"/>
        <n v="826"/>
        <n v="454"/>
        <n v="673"/>
        <n v="795"/>
        <n v="525"/>
        <n v="500"/>
        <n v="674"/>
        <n v="169"/>
        <n v="560"/>
        <n v="394"/>
        <n v="522"/>
        <n v="323"/>
        <n v="298"/>
        <n v="710"/>
        <n v="703"/>
        <n v="267"/>
        <n v="255"/>
        <n v="231"/>
        <n v="694"/>
        <n v="517"/>
        <n v="308"/>
        <n v="159"/>
        <n v="472"/>
        <n v="471"/>
        <n v="347"/>
        <n v="499"/>
        <n v="318"/>
        <n v="201"/>
        <n v="203"/>
        <n v="632"/>
        <n v="568"/>
        <n v="489"/>
        <n v="482"/>
        <n v="625"/>
        <n v="719"/>
        <n v="349"/>
        <n v="160"/>
        <n v="222"/>
        <n v="687"/>
        <n v="315"/>
        <n v="629"/>
        <n v="558"/>
        <n v="306"/>
        <n v="195"/>
        <n v="278"/>
        <n v="593"/>
        <n v="671"/>
        <n v="785"/>
        <n v="376"/>
        <n v="395"/>
        <n v="321"/>
        <n v="590"/>
        <n v="579"/>
        <n v="659"/>
        <n v="707"/>
        <n v="134"/>
        <n v="626"/>
        <n v="245"/>
        <n v="338"/>
        <n v="615"/>
        <n v="533"/>
        <n v="274"/>
        <n v="329"/>
        <n v="676"/>
        <n v="656"/>
        <n v="575"/>
        <n v="288"/>
        <n v="788"/>
        <n v="74"/>
        <n v="721"/>
        <n v="551"/>
        <n v="463"/>
        <n v="528"/>
        <n v="680"/>
        <n v="412"/>
        <n v="240"/>
        <n v="720"/>
        <n v="742"/>
        <n v="822"/>
        <n v="309"/>
        <n v="374"/>
        <n v="685"/>
        <n v="535"/>
        <n v="695"/>
        <n v="617"/>
        <n v="796"/>
        <n v="607"/>
        <n v="411"/>
        <n v="772"/>
        <n v="421"/>
        <n v="363"/>
        <n v="610"/>
        <n v="367"/>
        <n v="279"/>
        <n v="143"/>
        <n v="604"/>
        <n v="640"/>
        <n v="635"/>
        <n v="764"/>
        <n v="792"/>
        <n v="223"/>
        <n v="217"/>
        <n v="737"/>
        <n v="777"/>
        <n v="389"/>
        <n v="570"/>
        <n v="213"/>
        <n v="434"/>
        <n v="380"/>
        <n v="642"/>
        <n v="477"/>
        <n v="619"/>
        <n v="101"/>
        <n v="175"/>
        <n v="557"/>
        <n v="691"/>
        <n v="567"/>
        <n v="340"/>
        <n v="681"/>
        <n v="759"/>
        <n v="296"/>
        <n v="441"/>
        <n v="260"/>
        <n v="734"/>
        <n v="819"/>
        <n v="420"/>
        <n v="448"/>
        <n v="220"/>
        <n v="704"/>
        <n v="355"/>
        <n v="495"/>
        <n v="663"/>
        <n v="711"/>
        <n v="514"/>
        <n v="804"/>
        <n v="578"/>
        <n v="135"/>
        <n v="252"/>
        <n v="384"/>
        <n v="425"/>
        <n v="399"/>
        <n v="200"/>
        <n v="608"/>
        <n v="305"/>
        <n v="191"/>
        <n v="342"/>
        <n v="439"/>
        <n v="755"/>
        <n v="383"/>
        <n v="194"/>
        <n v="541"/>
        <n v="825"/>
        <n v="451"/>
        <n v="294"/>
        <n v="429"/>
        <n v="662"/>
        <n v="775"/>
        <n v="596"/>
        <n v="445"/>
        <n v="97"/>
        <n v="178"/>
        <n v="612"/>
        <n v="112"/>
        <n v="491"/>
        <n v="341"/>
        <n v="597"/>
        <n v="365"/>
        <n v="668"/>
        <n v="373"/>
        <n v="476"/>
        <n v="443"/>
        <n v="503"/>
        <n v="433"/>
        <n v="197"/>
        <n v="793"/>
        <n v="133"/>
        <n v="569"/>
        <n v="527"/>
        <n v="442"/>
        <n v="153"/>
        <n v="361"/>
        <n v="190"/>
        <n v="299"/>
        <n v="766"/>
        <n v="177"/>
        <n v="162"/>
        <n v="232"/>
        <n v="284"/>
        <n v="756"/>
        <n v="562"/>
        <n v="391"/>
        <n v="508"/>
        <n v="199"/>
        <n v="598"/>
        <n v="653"/>
        <n v="352"/>
        <n v="585"/>
        <n v="627"/>
        <n v="564"/>
        <n v="406"/>
        <n v="427"/>
        <n v="779"/>
        <n v="289"/>
        <n v="205"/>
        <n v="418"/>
        <n v="258"/>
        <n v="307"/>
        <n v="849"/>
        <n v="747"/>
        <n v="152"/>
        <n v="210"/>
        <n v="402"/>
        <n v="295"/>
        <n v="226"/>
        <n v="469"/>
        <n v="198"/>
        <n v="235"/>
        <n v="360"/>
        <n v="798"/>
        <n v="239"/>
        <n v="494"/>
        <n v="263"/>
        <n v="409"/>
        <n v="529"/>
        <n v="840"/>
        <n v="314"/>
        <n v="302"/>
        <n v="576"/>
        <n v="161"/>
        <n v="644"/>
        <n v="70"/>
        <n v="706"/>
        <n v="670"/>
        <n v="158"/>
        <n v="683"/>
        <n v="563"/>
        <n v="370"/>
        <n v="782"/>
        <n v="771"/>
        <n v="731"/>
        <n v="244"/>
        <n v="814"/>
        <n v="179"/>
        <n v="209"/>
        <n v="428"/>
        <n v="256"/>
        <n v="516"/>
        <n v="696"/>
        <n v="358"/>
        <n v="313"/>
        <n v="180"/>
        <n v="832"/>
        <n v="273"/>
        <n v="806"/>
        <n v="156"/>
        <n v="797"/>
        <n v="776"/>
        <n v="334"/>
        <n v="502"/>
        <n v="542"/>
        <n v="104"/>
        <n v="350"/>
        <n v="732"/>
        <n v="815"/>
        <n v="219"/>
        <n v="645"/>
        <n v="649"/>
        <n v="686"/>
        <n v="285"/>
        <n v="115"/>
        <n v="211"/>
        <n v="633"/>
        <n v="145"/>
        <n v="623"/>
        <n v="620"/>
        <n v="690"/>
        <n v="768"/>
        <n v="214"/>
        <n v="125"/>
        <n v="589"/>
        <n v="735"/>
        <n v="269"/>
        <n v="600"/>
        <n v="423"/>
        <n v="446"/>
        <n v="817"/>
        <n v="164"/>
        <n v="229"/>
        <n v="291"/>
        <n v="268"/>
        <n v="436"/>
        <n v="121"/>
        <n v="171"/>
        <n v="462"/>
        <n v="385"/>
        <n v="290"/>
        <n v="484"/>
        <n v="234"/>
        <n v="224"/>
        <n v="679"/>
        <n v="333"/>
        <n v="770"/>
        <n v="753"/>
        <n v="550"/>
        <n v="729"/>
        <n v="606"/>
        <n v="800"/>
        <n v="154"/>
        <n v="741"/>
        <n v="404"/>
        <n v="552"/>
        <n v="728"/>
        <n v="82"/>
        <n v="501"/>
        <n v="536"/>
        <n v="407"/>
        <n v="458"/>
        <n v="262"/>
        <n v="751"/>
        <n v="447"/>
        <n v="117"/>
        <n v="667"/>
        <n v="547"/>
        <n v="582"/>
        <n v="611"/>
        <n v="140"/>
        <n v="401"/>
        <n v="304"/>
        <n v="820"/>
        <n v="157"/>
        <n v="181"/>
        <n v="326"/>
        <n v="128"/>
        <n v="654"/>
        <n v="108"/>
        <n v="767"/>
        <n v="366"/>
        <n v="330"/>
        <n v="310"/>
        <n v="345"/>
        <n v="165"/>
        <n v="534"/>
        <n v="587"/>
        <n v="812"/>
        <n v="88"/>
        <n v="303"/>
        <n v="93"/>
        <n v="657"/>
        <n v="488"/>
        <n v="655"/>
        <n v="698"/>
        <n v="583"/>
        <n v="84"/>
        <n v="505"/>
        <n v="466"/>
        <n v="745"/>
        <n v="809"/>
        <n v="127"/>
        <n v="553"/>
        <n v="672"/>
        <n v="474"/>
        <n v="784"/>
        <n v="286"/>
        <n v="830"/>
        <n v="692"/>
        <n v="221"/>
      </sharedItems>
    </cacheField>
    <cacheField name="order_month" numFmtId="0">
      <sharedItems count="3">
        <s v="Mar"/>
        <s v="Jan"/>
        <s v="Feb"/>
      </sharedItems>
    </cacheField>
    <cacheField name="ordermonth"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2044903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s v="20-03-2021"/>
    <s v="CUST832"/>
    <x v="0"/>
    <x v="0"/>
    <x v="0"/>
    <s v="Rohit"/>
    <n v="491"/>
    <n v="20"/>
    <n v="0"/>
    <x v="0"/>
    <n v="57"/>
    <x v="0"/>
    <n v="1"/>
    <n v="491"/>
    <x v="0"/>
    <x v="0"/>
    <n v="3"/>
  </r>
  <r>
    <s v="ORD1002"/>
    <s v="16-03-2021"/>
    <s v="CUST863"/>
    <x v="1"/>
    <x v="1"/>
    <x v="1"/>
    <s v="Arjun"/>
    <n v="427"/>
    <n v="50"/>
    <n v="100"/>
    <x v="1"/>
    <n v="51"/>
    <x v="1"/>
    <n v="1"/>
    <n v="327"/>
    <x v="1"/>
    <x v="0"/>
    <n v="3"/>
  </r>
  <r>
    <s v="ORD1003"/>
    <s v="17-01-2021"/>
    <s v="CUST646"/>
    <x v="1"/>
    <x v="2"/>
    <x v="1"/>
    <s v="Rahul"/>
    <n v="482"/>
    <n v="30"/>
    <n v="0"/>
    <x v="2"/>
    <n v="56"/>
    <x v="0"/>
    <n v="1"/>
    <n v="482"/>
    <x v="2"/>
    <x v="1"/>
    <n v="1"/>
  </r>
  <r>
    <s v="ORD1004"/>
    <s v="08-01-2021"/>
    <s v="CUST1134"/>
    <x v="2"/>
    <x v="3"/>
    <x v="1"/>
    <s v="Imran"/>
    <n v="612"/>
    <n v="20"/>
    <n v="100"/>
    <x v="1"/>
    <n v="44"/>
    <x v="1"/>
    <n v="1"/>
    <n v="512"/>
    <x v="3"/>
    <x v="1"/>
    <n v="1"/>
  </r>
  <r>
    <s v="ORD1005"/>
    <s v="29-01-2021"/>
    <s v="CUST868"/>
    <x v="3"/>
    <x v="4"/>
    <x v="2"/>
    <s v="Amit"/>
    <n v="233"/>
    <n v="40"/>
    <n v="100"/>
    <x v="0"/>
    <n v="27"/>
    <x v="0"/>
    <n v="1"/>
    <n v="133"/>
    <x v="4"/>
    <x v="1"/>
    <n v="1"/>
  </r>
  <r>
    <s v="ORD1006"/>
    <s v="26-02-2021"/>
    <s v="CUST799"/>
    <x v="4"/>
    <x v="5"/>
    <x v="3"/>
    <s v="Rohit"/>
    <n v="531"/>
    <n v="50"/>
    <n v="100"/>
    <x v="1"/>
    <n v="28"/>
    <x v="0"/>
    <n v="1"/>
    <n v="431"/>
    <x v="5"/>
    <x v="2"/>
    <n v="2"/>
  </r>
  <r>
    <s v="ORD1007"/>
    <s v="18-01-2021"/>
    <s v="CUST1129"/>
    <x v="1"/>
    <x v="2"/>
    <x v="1"/>
    <s v="Vikas"/>
    <n v="461"/>
    <n v="50"/>
    <n v="0"/>
    <x v="2"/>
    <n v="26"/>
    <x v="0"/>
    <n v="1"/>
    <n v="461"/>
    <x v="0"/>
    <x v="1"/>
    <n v="1"/>
  </r>
  <r>
    <s v="ORD1008"/>
    <s v="04-01-2021"/>
    <s v="CUST935"/>
    <x v="2"/>
    <x v="3"/>
    <x v="1"/>
    <s v="Deepak"/>
    <n v="469"/>
    <n v="30"/>
    <n v="50"/>
    <x v="0"/>
    <n v="48"/>
    <x v="0"/>
    <n v="1"/>
    <n v="419"/>
    <x v="6"/>
    <x v="1"/>
    <n v="1"/>
  </r>
  <r>
    <s v="ORD1009"/>
    <s v="13-03-2021"/>
    <s v="CUST958"/>
    <x v="2"/>
    <x v="6"/>
    <x v="2"/>
    <s v="Amit"/>
    <n v="569"/>
    <n v="40"/>
    <n v="50"/>
    <x v="1"/>
    <n v="39"/>
    <x v="0"/>
    <n v="1"/>
    <n v="519"/>
    <x v="7"/>
    <x v="0"/>
    <n v="3"/>
  </r>
  <r>
    <s v="ORD1010"/>
    <s v="13-02-2021"/>
    <s v="CUST646"/>
    <x v="3"/>
    <x v="7"/>
    <x v="0"/>
    <s v="Rahul"/>
    <n v="787"/>
    <n v="20"/>
    <n v="20"/>
    <x v="1"/>
    <n v="30"/>
    <x v="0"/>
    <n v="1"/>
    <n v="767"/>
    <x v="8"/>
    <x v="2"/>
    <n v="2"/>
  </r>
  <r>
    <s v="ORD1011"/>
    <s v="12-01-2021"/>
    <s v="CUST667"/>
    <x v="1"/>
    <x v="2"/>
    <x v="1"/>
    <s v="Karan"/>
    <n v="558"/>
    <n v="30"/>
    <n v="0"/>
    <x v="0"/>
    <n v="48"/>
    <x v="0"/>
    <n v="1"/>
    <n v="558"/>
    <x v="9"/>
    <x v="1"/>
    <n v="1"/>
  </r>
  <r>
    <s v="ORD1012"/>
    <s v="05-02-2021"/>
    <s v="CUST598"/>
    <x v="1"/>
    <x v="8"/>
    <x v="2"/>
    <s v="Amit"/>
    <n v="733"/>
    <n v="40"/>
    <n v="0"/>
    <x v="1"/>
    <n v="46"/>
    <x v="0"/>
    <n v="1"/>
    <n v="733"/>
    <x v="10"/>
    <x v="2"/>
    <n v="2"/>
  </r>
  <r>
    <s v="ORD1013"/>
    <s v="11-02-2021"/>
    <s v="CUST952"/>
    <x v="2"/>
    <x v="6"/>
    <x v="2"/>
    <s v="Rahul"/>
    <n v="627"/>
    <n v="20"/>
    <n v="0"/>
    <x v="1"/>
    <n v="30"/>
    <x v="0"/>
    <n v="1"/>
    <n v="627"/>
    <x v="11"/>
    <x v="2"/>
    <n v="2"/>
  </r>
  <r>
    <s v="ORD1014"/>
    <s v="16-03-2021"/>
    <s v="CUST636"/>
    <x v="4"/>
    <x v="9"/>
    <x v="4"/>
    <s v="Amit"/>
    <n v="509"/>
    <n v="50"/>
    <n v="100"/>
    <x v="1"/>
    <n v="34"/>
    <x v="0"/>
    <n v="1"/>
    <n v="409"/>
    <x v="12"/>
    <x v="0"/>
    <n v="3"/>
  </r>
  <r>
    <s v="ORD1015"/>
    <s v="16-01-2021"/>
    <s v="CUST900"/>
    <x v="0"/>
    <x v="10"/>
    <x v="0"/>
    <s v="Imran"/>
    <n v="228"/>
    <n v="40"/>
    <n v="30"/>
    <x v="0"/>
    <n v="21"/>
    <x v="0"/>
    <n v="1"/>
    <n v="198"/>
    <x v="13"/>
    <x v="1"/>
    <n v="1"/>
  </r>
  <r>
    <s v="ORD1016"/>
    <s v="21-03-2021"/>
    <s v="CUST537"/>
    <x v="1"/>
    <x v="8"/>
    <x v="2"/>
    <s v="Rahul"/>
    <n v="241"/>
    <n v="40"/>
    <n v="0"/>
    <x v="0"/>
    <n v="37"/>
    <x v="0"/>
    <n v="1"/>
    <n v="241"/>
    <x v="14"/>
    <x v="0"/>
    <n v="3"/>
  </r>
  <r>
    <s v="ORD1017"/>
    <s v="05-02-2021"/>
    <s v="CUST1175"/>
    <x v="1"/>
    <x v="8"/>
    <x v="2"/>
    <s v="Rohit"/>
    <n v="617"/>
    <n v="50"/>
    <n v="30"/>
    <x v="2"/>
    <n v="40"/>
    <x v="0"/>
    <n v="1"/>
    <n v="587"/>
    <x v="15"/>
    <x v="2"/>
    <n v="2"/>
  </r>
  <r>
    <s v="ORD1018"/>
    <s v="22-03-2021"/>
    <s v="CUST1015"/>
    <x v="0"/>
    <x v="10"/>
    <x v="0"/>
    <s v="Arjun"/>
    <n v="739"/>
    <n v="50"/>
    <n v="0"/>
    <x v="0"/>
    <n v="46"/>
    <x v="0"/>
    <n v="1"/>
    <n v="739"/>
    <x v="16"/>
    <x v="0"/>
    <n v="3"/>
  </r>
  <r>
    <s v="ORD1019"/>
    <s v="12-03-2021"/>
    <s v="CUST1016"/>
    <x v="0"/>
    <x v="10"/>
    <x v="0"/>
    <s v="Imran"/>
    <n v="504"/>
    <n v="50"/>
    <n v="50"/>
    <x v="2"/>
    <n v="36"/>
    <x v="0"/>
    <n v="1"/>
    <n v="454"/>
    <x v="17"/>
    <x v="0"/>
    <n v="3"/>
  </r>
  <r>
    <s v="ORD1020"/>
    <s v="15-03-2021"/>
    <s v="CUST944"/>
    <x v="3"/>
    <x v="4"/>
    <x v="2"/>
    <s v="Karan"/>
    <n v="483"/>
    <n v="30"/>
    <n v="20"/>
    <x v="2"/>
    <n v="50"/>
    <x v="0"/>
    <n v="1"/>
    <n v="463"/>
    <x v="18"/>
    <x v="0"/>
    <n v="3"/>
  </r>
  <r>
    <s v="ORD1021"/>
    <s v="08-03-2021"/>
    <s v="CUST647"/>
    <x v="4"/>
    <x v="9"/>
    <x v="4"/>
    <s v="Manoj"/>
    <n v="253"/>
    <n v="40"/>
    <n v="50"/>
    <x v="2"/>
    <n v="29"/>
    <x v="0"/>
    <n v="1"/>
    <n v="203"/>
    <x v="19"/>
    <x v="0"/>
    <n v="3"/>
  </r>
  <r>
    <s v="ORD1022"/>
    <s v="24-01-2021"/>
    <s v="CUST622"/>
    <x v="2"/>
    <x v="11"/>
    <x v="0"/>
    <s v="Arjun"/>
    <n v="332"/>
    <n v="30"/>
    <n v="0"/>
    <x v="0"/>
    <n v="60"/>
    <x v="0"/>
    <n v="1"/>
    <n v="332"/>
    <x v="20"/>
    <x v="1"/>
    <n v="1"/>
  </r>
  <r>
    <s v="ORD1023"/>
    <s v="07-03-2021"/>
    <s v="CUST570"/>
    <x v="4"/>
    <x v="5"/>
    <x v="3"/>
    <s v="Manoj"/>
    <n v="173"/>
    <n v="40"/>
    <n v="20"/>
    <x v="2"/>
    <n v="23"/>
    <x v="0"/>
    <n v="1"/>
    <n v="153"/>
    <x v="21"/>
    <x v="0"/>
    <n v="3"/>
  </r>
  <r>
    <s v="ORD1024"/>
    <s v="11-02-2021"/>
    <s v="CUST890"/>
    <x v="4"/>
    <x v="5"/>
    <x v="3"/>
    <s v="Manoj"/>
    <n v="245"/>
    <n v="50"/>
    <n v="20"/>
    <x v="0"/>
    <n v="21"/>
    <x v="0"/>
    <n v="1"/>
    <n v="225"/>
    <x v="22"/>
    <x v="2"/>
    <n v="2"/>
  </r>
  <r>
    <s v="ORD1025"/>
    <s v="26-03-2021"/>
    <s v="CUST508"/>
    <x v="2"/>
    <x v="11"/>
    <x v="0"/>
    <s v="Manoj"/>
    <n v="614"/>
    <n v="50"/>
    <n v="50"/>
    <x v="2"/>
    <n v="20"/>
    <x v="0"/>
    <n v="1"/>
    <n v="564"/>
    <x v="23"/>
    <x v="0"/>
    <n v="3"/>
  </r>
  <r>
    <s v="ORD1026"/>
    <s v="28-02-2021"/>
    <s v="CUST621"/>
    <x v="3"/>
    <x v="7"/>
    <x v="0"/>
    <s v="Rohit"/>
    <n v="255"/>
    <n v="30"/>
    <n v="100"/>
    <x v="0"/>
    <n v="35"/>
    <x v="0"/>
    <n v="1"/>
    <n v="155"/>
    <x v="24"/>
    <x v="2"/>
    <n v="2"/>
  </r>
  <r>
    <s v="ORD1027"/>
    <s v="12-01-2021"/>
    <s v="CUST639"/>
    <x v="4"/>
    <x v="9"/>
    <x v="4"/>
    <s v="Karan"/>
    <n v="477"/>
    <n v="20"/>
    <n v="30"/>
    <x v="0"/>
    <n v="60"/>
    <x v="0"/>
    <n v="1"/>
    <n v="447"/>
    <x v="25"/>
    <x v="1"/>
    <n v="1"/>
  </r>
  <r>
    <s v="ORD1028"/>
    <s v="27-03-2021"/>
    <s v="CUST507"/>
    <x v="2"/>
    <x v="11"/>
    <x v="0"/>
    <s v="Rohit"/>
    <n v="404"/>
    <n v="20"/>
    <n v="100"/>
    <x v="2"/>
    <n v="22"/>
    <x v="0"/>
    <n v="1"/>
    <n v="304"/>
    <x v="26"/>
    <x v="0"/>
    <n v="3"/>
  </r>
  <r>
    <s v="ORD1029"/>
    <s v="10-02-2021"/>
    <s v="CUST1138"/>
    <x v="0"/>
    <x v="12"/>
    <x v="3"/>
    <s v="Rohit"/>
    <n v="181"/>
    <n v="20"/>
    <n v="50"/>
    <x v="0"/>
    <n v="40"/>
    <x v="0"/>
    <n v="1"/>
    <n v="131"/>
    <x v="27"/>
    <x v="2"/>
    <n v="2"/>
  </r>
  <r>
    <s v="ORD1030"/>
    <s v="11-03-2021"/>
    <s v="CUST931"/>
    <x v="4"/>
    <x v="5"/>
    <x v="3"/>
    <s v="Rahul"/>
    <n v="381"/>
    <n v="30"/>
    <n v="100"/>
    <x v="0"/>
    <n v="52"/>
    <x v="0"/>
    <n v="1"/>
    <n v="281"/>
    <x v="28"/>
    <x v="0"/>
    <n v="3"/>
  </r>
  <r>
    <s v="ORD1031"/>
    <s v="02-02-2021"/>
    <s v="CUST983"/>
    <x v="4"/>
    <x v="9"/>
    <x v="4"/>
    <s v="Manoj"/>
    <n v="698"/>
    <n v="30"/>
    <n v="20"/>
    <x v="1"/>
    <n v="54"/>
    <x v="1"/>
    <n v="1"/>
    <n v="678"/>
    <x v="29"/>
    <x v="2"/>
    <n v="2"/>
  </r>
  <r>
    <s v="ORD1032"/>
    <s v="02-02-2021"/>
    <s v="CUST768"/>
    <x v="0"/>
    <x v="0"/>
    <x v="0"/>
    <s v="Rahul"/>
    <n v="496"/>
    <n v="50"/>
    <n v="50"/>
    <x v="2"/>
    <n v="37"/>
    <x v="0"/>
    <n v="1"/>
    <n v="446"/>
    <x v="30"/>
    <x v="2"/>
    <n v="2"/>
  </r>
  <r>
    <s v="ORD1033"/>
    <s v="07-03-2021"/>
    <s v="CUST925"/>
    <x v="1"/>
    <x v="8"/>
    <x v="2"/>
    <s v="Imran"/>
    <n v="457"/>
    <n v="30"/>
    <n v="0"/>
    <x v="0"/>
    <n v="47"/>
    <x v="1"/>
    <n v="1"/>
    <n v="457"/>
    <x v="31"/>
    <x v="0"/>
    <n v="3"/>
  </r>
  <r>
    <s v="ORD1034"/>
    <s v="04-02-2021"/>
    <s v="CUST593"/>
    <x v="4"/>
    <x v="5"/>
    <x v="3"/>
    <s v="Karan"/>
    <n v="672"/>
    <n v="50"/>
    <n v="20"/>
    <x v="1"/>
    <n v="31"/>
    <x v="0"/>
    <n v="1"/>
    <n v="652"/>
    <x v="32"/>
    <x v="2"/>
    <n v="2"/>
  </r>
  <r>
    <s v="ORD1035"/>
    <s v="25-02-2021"/>
    <s v="CUST612"/>
    <x v="3"/>
    <x v="13"/>
    <x v="1"/>
    <s v="Rahul"/>
    <n v="251"/>
    <n v="50"/>
    <n v="30"/>
    <x v="2"/>
    <n v="21"/>
    <x v="0"/>
    <n v="1"/>
    <n v="221"/>
    <x v="33"/>
    <x v="2"/>
    <n v="2"/>
  </r>
  <r>
    <s v="ORD1036"/>
    <s v="24-02-2021"/>
    <s v="CUST1158"/>
    <x v="4"/>
    <x v="14"/>
    <x v="0"/>
    <s v="Rahul"/>
    <n v="730"/>
    <n v="40"/>
    <n v="30"/>
    <x v="2"/>
    <n v="55"/>
    <x v="0"/>
    <n v="1"/>
    <n v="700"/>
    <x v="34"/>
    <x v="2"/>
    <n v="2"/>
  </r>
  <r>
    <s v="ORD1037"/>
    <s v="01-01-2021"/>
    <s v="CUST997"/>
    <x v="3"/>
    <x v="7"/>
    <x v="0"/>
    <s v="Amit"/>
    <n v="726"/>
    <n v="50"/>
    <n v="30"/>
    <x v="1"/>
    <n v="28"/>
    <x v="0"/>
    <n v="1"/>
    <n v="696"/>
    <x v="35"/>
    <x v="1"/>
    <n v="1"/>
  </r>
  <r>
    <s v="ORD1038"/>
    <s v="24-01-2021"/>
    <s v="CUST879"/>
    <x v="3"/>
    <x v="7"/>
    <x v="0"/>
    <s v="Vikas"/>
    <n v="418"/>
    <n v="40"/>
    <n v="50"/>
    <x v="2"/>
    <n v="47"/>
    <x v="0"/>
    <n v="1"/>
    <n v="368"/>
    <x v="36"/>
    <x v="1"/>
    <n v="1"/>
  </r>
  <r>
    <s v="ORD1039"/>
    <s v="08-01-2021"/>
    <s v="CUST655"/>
    <x v="0"/>
    <x v="0"/>
    <x v="0"/>
    <s v="Amit"/>
    <n v="496"/>
    <n v="50"/>
    <n v="20"/>
    <x v="2"/>
    <n v="57"/>
    <x v="0"/>
    <n v="1"/>
    <n v="476"/>
    <x v="37"/>
    <x v="1"/>
    <n v="1"/>
  </r>
  <r>
    <s v="ORD1040"/>
    <s v="01-01-2021"/>
    <s v="CUST1059"/>
    <x v="2"/>
    <x v="6"/>
    <x v="2"/>
    <s v="Amit"/>
    <n v="237"/>
    <n v="50"/>
    <n v="30"/>
    <x v="1"/>
    <n v="46"/>
    <x v="0"/>
    <n v="1"/>
    <n v="207"/>
    <x v="38"/>
    <x v="1"/>
    <n v="1"/>
  </r>
  <r>
    <s v="ORD1041"/>
    <s v="01-01-2021"/>
    <s v="CUST798"/>
    <x v="3"/>
    <x v="4"/>
    <x v="2"/>
    <s v="Deepak"/>
    <n v="551"/>
    <n v="30"/>
    <n v="0"/>
    <x v="0"/>
    <n v="51"/>
    <x v="0"/>
    <n v="1"/>
    <n v="551"/>
    <x v="39"/>
    <x v="1"/>
    <n v="1"/>
  </r>
  <r>
    <s v="ORD1042"/>
    <s v="27-03-2021"/>
    <s v="CUST760"/>
    <x v="0"/>
    <x v="0"/>
    <x v="0"/>
    <s v="Rahul"/>
    <n v="671"/>
    <n v="40"/>
    <n v="50"/>
    <x v="0"/>
    <n v="43"/>
    <x v="0"/>
    <n v="1"/>
    <n v="621"/>
    <x v="40"/>
    <x v="0"/>
    <n v="3"/>
  </r>
  <r>
    <s v="ORD1043"/>
    <s v="03-02-2021"/>
    <s v="CUST976"/>
    <x v="1"/>
    <x v="2"/>
    <x v="1"/>
    <s v="Karan"/>
    <n v="710"/>
    <n v="50"/>
    <n v="0"/>
    <x v="1"/>
    <n v="47"/>
    <x v="0"/>
    <n v="1"/>
    <n v="710"/>
    <x v="41"/>
    <x v="2"/>
    <n v="2"/>
  </r>
  <r>
    <s v="ORD1044"/>
    <s v="11-03-2021"/>
    <s v="CUST733"/>
    <x v="3"/>
    <x v="7"/>
    <x v="0"/>
    <s v="Amit"/>
    <n v="691"/>
    <n v="40"/>
    <n v="30"/>
    <x v="1"/>
    <n v="31"/>
    <x v="0"/>
    <n v="1"/>
    <n v="661"/>
    <x v="42"/>
    <x v="0"/>
    <n v="3"/>
  </r>
  <r>
    <s v="ORD1045"/>
    <s v="29-01-2021"/>
    <s v="CUST887"/>
    <x v="4"/>
    <x v="5"/>
    <x v="3"/>
    <s v="Amit"/>
    <n v="768"/>
    <n v="20"/>
    <n v="30"/>
    <x v="2"/>
    <n v="47"/>
    <x v="0"/>
    <n v="1"/>
    <n v="738"/>
    <x v="43"/>
    <x v="1"/>
    <n v="1"/>
  </r>
  <r>
    <s v="ORD1046"/>
    <s v="14-02-2021"/>
    <s v="CUST512"/>
    <x v="1"/>
    <x v="1"/>
    <x v="1"/>
    <s v="Suresh"/>
    <n v="794"/>
    <n v="50"/>
    <n v="50"/>
    <x v="1"/>
    <n v="27"/>
    <x v="0"/>
    <n v="1"/>
    <n v="744"/>
    <x v="44"/>
    <x v="2"/>
    <n v="2"/>
  </r>
  <r>
    <s v="ORD1047"/>
    <s v="07-02-2021"/>
    <s v="CUST1017"/>
    <x v="0"/>
    <x v="0"/>
    <x v="0"/>
    <s v="Deepak"/>
    <n v="510"/>
    <n v="50"/>
    <n v="100"/>
    <x v="0"/>
    <n v="22"/>
    <x v="0"/>
    <n v="1"/>
    <n v="410"/>
    <x v="45"/>
    <x v="2"/>
    <n v="2"/>
  </r>
  <r>
    <s v="ORD1048"/>
    <s v="22-02-2021"/>
    <s v="CUST963"/>
    <x v="0"/>
    <x v="12"/>
    <x v="3"/>
    <s v="Rohit"/>
    <n v="745"/>
    <n v="20"/>
    <n v="100"/>
    <x v="0"/>
    <n v="51"/>
    <x v="0"/>
    <n v="1"/>
    <n v="645"/>
    <x v="46"/>
    <x v="2"/>
    <n v="2"/>
  </r>
  <r>
    <s v="ORD1049"/>
    <s v="02-02-2021"/>
    <s v="CUST659"/>
    <x v="4"/>
    <x v="5"/>
    <x v="3"/>
    <s v="Karan"/>
    <n v="664"/>
    <n v="50"/>
    <n v="30"/>
    <x v="2"/>
    <n v="20"/>
    <x v="0"/>
    <n v="1"/>
    <n v="634"/>
    <x v="47"/>
    <x v="2"/>
    <n v="2"/>
  </r>
  <r>
    <s v="ORD1050"/>
    <s v="09-03-2021"/>
    <s v="CUST1033"/>
    <x v="3"/>
    <x v="7"/>
    <x v="0"/>
    <s v="Karan"/>
    <n v="406"/>
    <n v="40"/>
    <n v="100"/>
    <x v="1"/>
    <n v="37"/>
    <x v="0"/>
    <n v="1"/>
    <n v="306"/>
    <x v="48"/>
    <x v="0"/>
    <n v="3"/>
  </r>
  <r>
    <s v="ORD1051"/>
    <s v="23-02-2021"/>
    <s v="CUST525"/>
    <x v="1"/>
    <x v="8"/>
    <x v="2"/>
    <s v="Deepak"/>
    <n v="694"/>
    <n v="40"/>
    <n v="20"/>
    <x v="0"/>
    <n v="32"/>
    <x v="0"/>
    <n v="1"/>
    <n v="674"/>
    <x v="49"/>
    <x v="2"/>
    <n v="2"/>
  </r>
  <r>
    <s v="ORD1052"/>
    <s v="24-03-2021"/>
    <s v="CUST810"/>
    <x v="2"/>
    <x v="6"/>
    <x v="2"/>
    <s v="Amit"/>
    <n v="412"/>
    <n v="40"/>
    <n v="20"/>
    <x v="0"/>
    <n v="24"/>
    <x v="0"/>
    <n v="1"/>
    <n v="392"/>
    <x v="50"/>
    <x v="0"/>
    <n v="3"/>
  </r>
  <r>
    <s v="ORD1053"/>
    <s v="05-02-2021"/>
    <s v="CUST711"/>
    <x v="3"/>
    <x v="13"/>
    <x v="1"/>
    <s v="Suresh"/>
    <n v="796"/>
    <n v="40"/>
    <n v="20"/>
    <x v="1"/>
    <n v="51"/>
    <x v="0"/>
    <n v="1"/>
    <n v="776"/>
    <x v="51"/>
    <x v="2"/>
    <n v="2"/>
  </r>
  <r>
    <s v="ORD1054"/>
    <s v="02-02-2021"/>
    <s v="CUST677"/>
    <x v="0"/>
    <x v="0"/>
    <x v="0"/>
    <s v="Manoj"/>
    <n v="787"/>
    <n v="40"/>
    <n v="20"/>
    <x v="0"/>
    <n v="60"/>
    <x v="0"/>
    <n v="1"/>
    <n v="767"/>
    <x v="52"/>
    <x v="2"/>
    <n v="2"/>
  </r>
  <r>
    <s v="ORD1055"/>
    <s v="20-01-2021"/>
    <s v="CUST817"/>
    <x v="3"/>
    <x v="4"/>
    <x v="2"/>
    <s v="Vikas"/>
    <n v="726"/>
    <n v="20"/>
    <n v="100"/>
    <x v="0"/>
    <n v="43"/>
    <x v="0"/>
    <n v="1"/>
    <n v="626"/>
    <x v="53"/>
    <x v="1"/>
    <n v="1"/>
  </r>
  <r>
    <s v="ORD1056"/>
    <s v="25-02-2021"/>
    <s v="CUST508"/>
    <x v="1"/>
    <x v="8"/>
    <x v="2"/>
    <s v="Deepak"/>
    <n v="586"/>
    <n v="30"/>
    <n v="30"/>
    <x v="2"/>
    <n v="46"/>
    <x v="0"/>
    <n v="1"/>
    <n v="556"/>
    <x v="54"/>
    <x v="2"/>
    <n v="2"/>
  </r>
  <r>
    <s v="ORD1057"/>
    <s v="09-03-2021"/>
    <s v="CUST730"/>
    <x v="0"/>
    <x v="10"/>
    <x v="0"/>
    <s v="Manoj"/>
    <n v="456"/>
    <n v="20"/>
    <n v="50"/>
    <x v="1"/>
    <n v="38"/>
    <x v="0"/>
    <n v="1"/>
    <n v="406"/>
    <x v="55"/>
    <x v="0"/>
    <n v="3"/>
  </r>
  <r>
    <s v="ORD1058"/>
    <s v="05-01-2021"/>
    <s v="CUST863"/>
    <x v="0"/>
    <x v="0"/>
    <x v="0"/>
    <s v="Manoj"/>
    <n v="386"/>
    <n v="40"/>
    <n v="30"/>
    <x v="1"/>
    <n v="22"/>
    <x v="0"/>
    <n v="1"/>
    <n v="356"/>
    <x v="56"/>
    <x v="1"/>
    <n v="1"/>
  </r>
  <r>
    <s v="ORD1059"/>
    <s v="14-01-2021"/>
    <s v="CUST1160"/>
    <x v="3"/>
    <x v="7"/>
    <x v="0"/>
    <s v="Arjun"/>
    <n v="254"/>
    <n v="40"/>
    <n v="30"/>
    <x v="1"/>
    <n v="43"/>
    <x v="0"/>
    <n v="1"/>
    <n v="224"/>
    <x v="57"/>
    <x v="1"/>
    <n v="1"/>
  </r>
  <r>
    <s v="ORD1060"/>
    <s v="18-01-2021"/>
    <s v="CUST570"/>
    <x v="2"/>
    <x v="6"/>
    <x v="2"/>
    <s v="Rohit"/>
    <n v="277"/>
    <n v="30"/>
    <n v="20"/>
    <x v="1"/>
    <n v="43"/>
    <x v="0"/>
    <n v="1"/>
    <n v="257"/>
    <x v="58"/>
    <x v="1"/>
    <n v="1"/>
  </r>
  <r>
    <s v="ORD1061"/>
    <s v="26-03-2021"/>
    <s v="CUST896"/>
    <x v="0"/>
    <x v="10"/>
    <x v="0"/>
    <s v="Arjun"/>
    <n v="374"/>
    <n v="30"/>
    <n v="50"/>
    <x v="0"/>
    <n v="34"/>
    <x v="0"/>
    <n v="1"/>
    <n v="324"/>
    <x v="59"/>
    <x v="0"/>
    <n v="3"/>
  </r>
  <r>
    <s v="ORD1062"/>
    <s v="28-01-2021"/>
    <s v="CUST591"/>
    <x v="0"/>
    <x v="10"/>
    <x v="0"/>
    <s v="Arjun"/>
    <n v="634"/>
    <n v="50"/>
    <n v="20"/>
    <x v="0"/>
    <n v="45"/>
    <x v="0"/>
    <n v="1"/>
    <n v="614"/>
    <x v="60"/>
    <x v="1"/>
    <n v="1"/>
  </r>
  <r>
    <s v="ORD1063"/>
    <s v="04-02-2021"/>
    <s v="CUST656"/>
    <x v="4"/>
    <x v="14"/>
    <x v="0"/>
    <s v="Manoj"/>
    <n v="708"/>
    <n v="50"/>
    <n v="20"/>
    <x v="2"/>
    <n v="47"/>
    <x v="0"/>
    <n v="1"/>
    <n v="688"/>
    <x v="61"/>
    <x v="2"/>
    <n v="2"/>
  </r>
  <r>
    <s v="ORD1064"/>
    <s v="12-02-2021"/>
    <s v="CUST1025"/>
    <x v="2"/>
    <x v="6"/>
    <x v="2"/>
    <s v="Suresh"/>
    <n v="440"/>
    <n v="50"/>
    <n v="20"/>
    <x v="1"/>
    <n v="23"/>
    <x v="0"/>
    <n v="1"/>
    <n v="420"/>
    <x v="62"/>
    <x v="2"/>
    <n v="2"/>
  </r>
  <r>
    <s v="ORD1065"/>
    <s v="04-01-2021"/>
    <s v="CUST500"/>
    <x v="4"/>
    <x v="5"/>
    <x v="3"/>
    <s v="Deepak"/>
    <n v="293"/>
    <n v="40"/>
    <n v="100"/>
    <x v="0"/>
    <n v="39"/>
    <x v="0"/>
    <n v="1"/>
    <n v="193"/>
    <x v="63"/>
    <x v="1"/>
    <n v="1"/>
  </r>
  <r>
    <s v="ORD1066"/>
    <s v="17-03-2021"/>
    <s v="CUST1084"/>
    <x v="4"/>
    <x v="5"/>
    <x v="3"/>
    <s v="Deepak"/>
    <n v="516"/>
    <n v="40"/>
    <n v="50"/>
    <x v="0"/>
    <n v="28"/>
    <x v="0"/>
    <n v="1"/>
    <n v="466"/>
    <x v="64"/>
    <x v="0"/>
    <n v="3"/>
  </r>
  <r>
    <s v="ORD1067"/>
    <s v="10-01-2021"/>
    <s v="CUST1041"/>
    <x v="3"/>
    <x v="7"/>
    <x v="0"/>
    <s v="Amit"/>
    <n v="439"/>
    <n v="30"/>
    <n v="100"/>
    <x v="0"/>
    <n v="55"/>
    <x v="0"/>
    <n v="1"/>
    <n v="339"/>
    <x v="65"/>
    <x v="1"/>
    <n v="1"/>
  </r>
  <r>
    <s v="ORD1068"/>
    <s v="04-02-2021"/>
    <s v="CUST727"/>
    <x v="3"/>
    <x v="4"/>
    <x v="2"/>
    <s v="Arjun"/>
    <n v="165"/>
    <n v="50"/>
    <n v="0"/>
    <x v="0"/>
    <n v="36"/>
    <x v="0"/>
    <n v="1"/>
    <n v="165"/>
    <x v="66"/>
    <x v="2"/>
    <n v="2"/>
  </r>
  <r>
    <s v="ORD1069"/>
    <s v="13-02-2021"/>
    <s v="CUST765"/>
    <x v="0"/>
    <x v="0"/>
    <x v="0"/>
    <s v="Amit"/>
    <n v="247"/>
    <n v="50"/>
    <n v="20"/>
    <x v="0"/>
    <n v="57"/>
    <x v="0"/>
    <n v="1"/>
    <n v="227"/>
    <x v="67"/>
    <x v="2"/>
    <n v="2"/>
  </r>
  <r>
    <s v="ORD1070"/>
    <s v="04-02-2021"/>
    <s v="CUST596"/>
    <x v="3"/>
    <x v="4"/>
    <x v="2"/>
    <s v="Imran"/>
    <n v="485"/>
    <n v="20"/>
    <n v="50"/>
    <x v="2"/>
    <n v="56"/>
    <x v="0"/>
    <n v="1"/>
    <n v="435"/>
    <x v="68"/>
    <x v="2"/>
    <n v="2"/>
  </r>
  <r>
    <s v="ORD1071"/>
    <s v="02-02-2021"/>
    <s v="CUST566"/>
    <x v="1"/>
    <x v="8"/>
    <x v="2"/>
    <s v="Amit"/>
    <n v="528"/>
    <n v="50"/>
    <n v="30"/>
    <x v="1"/>
    <n v="56"/>
    <x v="0"/>
    <n v="1"/>
    <n v="498"/>
    <x v="69"/>
    <x v="2"/>
    <n v="2"/>
  </r>
  <r>
    <s v="ORD1072"/>
    <s v="17-01-2021"/>
    <s v="CUST805"/>
    <x v="2"/>
    <x v="11"/>
    <x v="0"/>
    <s v="Rohit"/>
    <n v="159"/>
    <n v="40"/>
    <n v="50"/>
    <x v="1"/>
    <n v="33"/>
    <x v="0"/>
    <n v="1"/>
    <n v="109"/>
    <x v="70"/>
    <x v="1"/>
    <n v="1"/>
  </r>
  <r>
    <s v="ORD1073"/>
    <s v="02-02-2021"/>
    <s v="CUST988"/>
    <x v="1"/>
    <x v="2"/>
    <x v="1"/>
    <s v="Vikas"/>
    <n v="788"/>
    <n v="50"/>
    <n v="30"/>
    <x v="0"/>
    <n v="41"/>
    <x v="0"/>
    <n v="1"/>
    <n v="758"/>
    <x v="71"/>
    <x v="2"/>
    <n v="2"/>
  </r>
  <r>
    <s v="ORD1074"/>
    <s v="01-03-2021"/>
    <s v="CUST871"/>
    <x v="4"/>
    <x v="9"/>
    <x v="4"/>
    <s v="Suresh"/>
    <n v="351"/>
    <n v="40"/>
    <n v="20"/>
    <x v="0"/>
    <n v="23"/>
    <x v="0"/>
    <n v="1"/>
    <n v="331"/>
    <x v="72"/>
    <x v="0"/>
    <n v="3"/>
  </r>
  <r>
    <s v="ORD1075"/>
    <s v="06-02-2021"/>
    <s v="CUST627"/>
    <x v="4"/>
    <x v="14"/>
    <x v="0"/>
    <s v="Manoj"/>
    <n v="777"/>
    <n v="50"/>
    <n v="100"/>
    <x v="1"/>
    <n v="51"/>
    <x v="0"/>
    <n v="1"/>
    <n v="677"/>
    <x v="73"/>
    <x v="2"/>
    <n v="2"/>
  </r>
  <r>
    <s v="ORD1076"/>
    <s v="31-03-2021"/>
    <s v="CUST701"/>
    <x v="1"/>
    <x v="1"/>
    <x v="1"/>
    <s v="Rahul"/>
    <n v="339"/>
    <n v="20"/>
    <n v="100"/>
    <x v="1"/>
    <n v="40"/>
    <x v="0"/>
    <n v="1"/>
    <n v="239"/>
    <x v="74"/>
    <x v="0"/>
    <n v="3"/>
  </r>
  <r>
    <s v="ORD1077"/>
    <s v="01-03-2021"/>
    <s v="CUST1072"/>
    <x v="0"/>
    <x v="0"/>
    <x v="0"/>
    <s v="Karan"/>
    <n v="481"/>
    <n v="30"/>
    <n v="30"/>
    <x v="1"/>
    <n v="22"/>
    <x v="0"/>
    <n v="1"/>
    <n v="451"/>
    <x v="5"/>
    <x v="0"/>
    <n v="3"/>
  </r>
  <r>
    <s v="ORD1078"/>
    <s v="31-01-2021"/>
    <s v="CUST1008"/>
    <x v="4"/>
    <x v="9"/>
    <x v="4"/>
    <s v="Manoj"/>
    <n v="218"/>
    <n v="20"/>
    <n v="20"/>
    <x v="2"/>
    <n v="53"/>
    <x v="0"/>
    <n v="1"/>
    <n v="198"/>
    <x v="75"/>
    <x v="1"/>
    <n v="1"/>
  </r>
  <r>
    <s v="ORD1079"/>
    <s v="31-03-2021"/>
    <s v="CUST1182"/>
    <x v="1"/>
    <x v="8"/>
    <x v="2"/>
    <s v="Suresh"/>
    <n v="604"/>
    <n v="40"/>
    <n v="20"/>
    <x v="0"/>
    <n v="42"/>
    <x v="0"/>
    <n v="1"/>
    <n v="584"/>
    <x v="76"/>
    <x v="0"/>
    <n v="3"/>
  </r>
  <r>
    <s v="ORD1080"/>
    <s v="12-01-2021"/>
    <s v="CUST902"/>
    <x v="2"/>
    <x v="3"/>
    <x v="1"/>
    <s v="Imran"/>
    <n v="725"/>
    <n v="40"/>
    <n v="100"/>
    <x v="2"/>
    <n v="54"/>
    <x v="0"/>
    <n v="1"/>
    <n v="625"/>
    <x v="46"/>
    <x v="1"/>
    <n v="1"/>
  </r>
  <r>
    <s v="ORD1081"/>
    <s v="26-02-2021"/>
    <s v="CUST676"/>
    <x v="3"/>
    <x v="7"/>
    <x v="0"/>
    <s v="Deepak"/>
    <n v="609"/>
    <n v="20"/>
    <n v="30"/>
    <x v="2"/>
    <n v="28"/>
    <x v="0"/>
    <n v="1"/>
    <n v="579"/>
    <x v="77"/>
    <x v="2"/>
    <n v="2"/>
  </r>
  <r>
    <s v="ORD1082"/>
    <s v="24-01-2021"/>
    <s v="CUST769"/>
    <x v="3"/>
    <x v="4"/>
    <x v="2"/>
    <s v="Suresh"/>
    <n v="747"/>
    <n v="50"/>
    <n v="100"/>
    <x v="0"/>
    <n v="20"/>
    <x v="0"/>
    <n v="1"/>
    <n v="647"/>
    <x v="78"/>
    <x v="1"/>
    <n v="1"/>
  </r>
  <r>
    <s v="ORD1083"/>
    <s v="17-03-2021"/>
    <s v="CUST1096"/>
    <x v="1"/>
    <x v="8"/>
    <x v="2"/>
    <s v="Imran"/>
    <n v="516"/>
    <n v="50"/>
    <n v="0"/>
    <x v="2"/>
    <n v="33"/>
    <x v="1"/>
    <n v="1"/>
    <n v="516"/>
    <x v="79"/>
    <x v="0"/>
    <n v="3"/>
  </r>
  <r>
    <s v="ORD1084"/>
    <s v="09-03-2021"/>
    <s v="CUST1189"/>
    <x v="2"/>
    <x v="3"/>
    <x v="1"/>
    <s v="Rahul"/>
    <n v="570"/>
    <n v="20"/>
    <n v="50"/>
    <x v="1"/>
    <n v="20"/>
    <x v="0"/>
    <n v="1"/>
    <n v="520"/>
    <x v="80"/>
    <x v="0"/>
    <n v="3"/>
  </r>
  <r>
    <s v="ORD1085"/>
    <s v="11-01-2021"/>
    <s v="CUST566"/>
    <x v="4"/>
    <x v="9"/>
    <x v="4"/>
    <s v="Deepak"/>
    <n v="559"/>
    <n v="50"/>
    <n v="0"/>
    <x v="2"/>
    <n v="34"/>
    <x v="0"/>
    <n v="1"/>
    <n v="559"/>
    <x v="81"/>
    <x v="1"/>
    <n v="1"/>
  </r>
  <r>
    <s v="ORD1086"/>
    <s v="01-01-2021"/>
    <s v="CUST1063"/>
    <x v="1"/>
    <x v="8"/>
    <x v="2"/>
    <s v="Manoj"/>
    <n v="332"/>
    <n v="40"/>
    <n v="100"/>
    <x v="2"/>
    <n v="31"/>
    <x v="1"/>
    <n v="1"/>
    <n v="232"/>
    <x v="82"/>
    <x v="1"/>
    <n v="1"/>
  </r>
  <r>
    <s v="ORD1087"/>
    <s v="06-01-2021"/>
    <s v="CUST902"/>
    <x v="0"/>
    <x v="10"/>
    <x v="0"/>
    <s v="Suresh"/>
    <n v="243"/>
    <n v="40"/>
    <n v="30"/>
    <x v="1"/>
    <n v="35"/>
    <x v="0"/>
    <n v="1"/>
    <n v="213"/>
    <x v="83"/>
    <x v="1"/>
    <n v="1"/>
  </r>
  <r>
    <s v="ORD1088"/>
    <s v="14-03-2021"/>
    <s v="CUST796"/>
    <x v="1"/>
    <x v="8"/>
    <x v="2"/>
    <s v="Deepak"/>
    <n v="440"/>
    <n v="50"/>
    <n v="30"/>
    <x v="1"/>
    <n v="51"/>
    <x v="0"/>
    <n v="1"/>
    <n v="410"/>
    <x v="45"/>
    <x v="0"/>
    <n v="3"/>
  </r>
  <r>
    <s v="ORD1089"/>
    <s v="05-01-2021"/>
    <s v="CUST700"/>
    <x v="4"/>
    <x v="5"/>
    <x v="3"/>
    <s v="Suresh"/>
    <n v="549"/>
    <n v="40"/>
    <n v="50"/>
    <x v="1"/>
    <n v="54"/>
    <x v="0"/>
    <n v="1"/>
    <n v="499"/>
    <x v="84"/>
    <x v="1"/>
    <n v="1"/>
  </r>
  <r>
    <s v="ORD1090"/>
    <s v="07-02-2021"/>
    <s v="CUST993"/>
    <x v="2"/>
    <x v="6"/>
    <x v="2"/>
    <s v="Karan"/>
    <n v="326"/>
    <n v="30"/>
    <n v="20"/>
    <x v="1"/>
    <n v="52"/>
    <x v="0"/>
    <n v="1"/>
    <n v="306"/>
    <x v="85"/>
    <x v="2"/>
    <n v="2"/>
  </r>
  <r>
    <s v="ORD1091"/>
    <s v="21-01-2021"/>
    <s v="CUST983"/>
    <x v="1"/>
    <x v="1"/>
    <x v="1"/>
    <s v="Rohit"/>
    <n v="721"/>
    <n v="40"/>
    <n v="0"/>
    <x v="2"/>
    <n v="24"/>
    <x v="0"/>
    <n v="1"/>
    <n v="721"/>
    <x v="86"/>
    <x v="1"/>
    <n v="1"/>
  </r>
  <r>
    <s v="ORD1092"/>
    <s v="14-03-2021"/>
    <s v="CUST659"/>
    <x v="4"/>
    <x v="14"/>
    <x v="0"/>
    <s v="Karan"/>
    <n v="370"/>
    <n v="40"/>
    <n v="0"/>
    <x v="0"/>
    <n v="38"/>
    <x v="0"/>
    <n v="1"/>
    <n v="370"/>
    <x v="87"/>
    <x v="0"/>
    <n v="3"/>
  </r>
  <r>
    <s v="ORD1093"/>
    <s v="20-03-2021"/>
    <s v="CUST721"/>
    <x v="4"/>
    <x v="14"/>
    <x v="0"/>
    <s v="Karan"/>
    <n v="581"/>
    <n v="40"/>
    <n v="20"/>
    <x v="0"/>
    <n v="47"/>
    <x v="0"/>
    <n v="1"/>
    <n v="561"/>
    <x v="88"/>
    <x v="0"/>
    <n v="3"/>
  </r>
  <r>
    <s v="ORD1094"/>
    <s v="01-01-2021"/>
    <s v="CUST1175"/>
    <x v="4"/>
    <x v="9"/>
    <x v="4"/>
    <s v="Rohit"/>
    <n v="648"/>
    <n v="30"/>
    <n v="0"/>
    <x v="0"/>
    <n v="34"/>
    <x v="0"/>
    <n v="1"/>
    <n v="648"/>
    <x v="89"/>
    <x v="1"/>
    <n v="1"/>
  </r>
  <r>
    <s v="ORD1095"/>
    <s v="19-03-2021"/>
    <s v="CUST583"/>
    <x v="0"/>
    <x v="0"/>
    <x v="0"/>
    <s v="Amit"/>
    <n v="575"/>
    <n v="50"/>
    <n v="20"/>
    <x v="1"/>
    <n v="50"/>
    <x v="0"/>
    <n v="1"/>
    <n v="555"/>
    <x v="90"/>
    <x v="0"/>
    <n v="3"/>
  </r>
  <r>
    <s v="ORD1096"/>
    <s v="26-02-2021"/>
    <s v="CUST908"/>
    <x v="0"/>
    <x v="0"/>
    <x v="0"/>
    <s v="Deepak"/>
    <n v="409"/>
    <n v="40"/>
    <n v="30"/>
    <x v="0"/>
    <n v="37"/>
    <x v="0"/>
    <n v="1"/>
    <n v="379"/>
    <x v="91"/>
    <x v="2"/>
    <n v="2"/>
  </r>
  <r>
    <s v="ORD1097"/>
    <s v="08-02-2021"/>
    <s v="CUST645"/>
    <x v="3"/>
    <x v="4"/>
    <x v="2"/>
    <s v="Vikas"/>
    <n v="799"/>
    <n v="40"/>
    <n v="100"/>
    <x v="1"/>
    <n v="46"/>
    <x v="0"/>
    <n v="1"/>
    <n v="699"/>
    <x v="92"/>
    <x v="2"/>
    <n v="2"/>
  </r>
  <r>
    <s v="ORD1098"/>
    <s v="08-03-2021"/>
    <s v="CUST890"/>
    <x v="1"/>
    <x v="1"/>
    <x v="1"/>
    <s v="Imran"/>
    <n v="509"/>
    <n v="30"/>
    <n v="20"/>
    <x v="2"/>
    <n v="22"/>
    <x v="1"/>
    <n v="1"/>
    <n v="489"/>
    <x v="93"/>
    <x v="0"/>
    <n v="3"/>
  </r>
  <r>
    <s v="ORD1099"/>
    <s v="26-01-2021"/>
    <s v="CUST871"/>
    <x v="4"/>
    <x v="14"/>
    <x v="0"/>
    <s v="Arjun"/>
    <n v="454"/>
    <n v="20"/>
    <n v="50"/>
    <x v="1"/>
    <n v="23"/>
    <x v="0"/>
    <n v="1"/>
    <n v="404"/>
    <x v="94"/>
    <x v="1"/>
    <n v="1"/>
  </r>
  <r>
    <s v="ORD1100"/>
    <s v="16-02-2021"/>
    <s v="CUST533"/>
    <x v="1"/>
    <x v="8"/>
    <x v="2"/>
    <s v="Suresh"/>
    <n v="394"/>
    <n v="20"/>
    <n v="50"/>
    <x v="0"/>
    <n v="41"/>
    <x v="0"/>
    <n v="1"/>
    <n v="344"/>
    <x v="95"/>
    <x v="2"/>
    <n v="2"/>
  </r>
  <r>
    <s v="ORD1101"/>
    <s v="28-03-2021"/>
    <s v="CUST845"/>
    <x v="1"/>
    <x v="1"/>
    <x v="1"/>
    <s v="Imran"/>
    <n v="460"/>
    <n v="20"/>
    <n v="30"/>
    <x v="2"/>
    <n v="23"/>
    <x v="0"/>
    <n v="1"/>
    <n v="430"/>
    <x v="96"/>
    <x v="0"/>
    <n v="3"/>
  </r>
  <r>
    <s v="ORD1102"/>
    <s v="19-03-2021"/>
    <s v="CUST1113"/>
    <x v="0"/>
    <x v="12"/>
    <x v="3"/>
    <s v="Karan"/>
    <n v="167"/>
    <n v="40"/>
    <n v="20"/>
    <x v="0"/>
    <n v="40"/>
    <x v="0"/>
    <n v="1"/>
    <n v="147"/>
    <x v="97"/>
    <x v="0"/>
    <n v="3"/>
  </r>
  <r>
    <s v="ORD1103"/>
    <s v="27-01-2021"/>
    <s v="CUST508"/>
    <x v="1"/>
    <x v="2"/>
    <x v="1"/>
    <s v="Deepak"/>
    <n v="730"/>
    <n v="40"/>
    <n v="30"/>
    <x v="0"/>
    <n v="53"/>
    <x v="0"/>
    <n v="1"/>
    <n v="700"/>
    <x v="34"/>
    <x v="1"/>
    <n v="1"/>
  </r>
  <r>
    <s v="ORD1104"/>
    <s v="08-01-2021"/>
    <s v="CUST745"/>
    <x v="3"/>
    <x v="4"/>
    <x v="2"/>
    <s v="Arjun"/>
    <n v="374"/>
    <n v="30"/>
    <n v="50"/>
    <x v="0"/>
    <n v="28"/>
    <x v="0"/>
    <n v="1"/>
    <n v="324"/>
    <x v="59"/>
    <x v="1"/>
    <n v="1"/>
  </r>
  <r>
    <s v="ORD1105"/>
    <s v="16-03-2021"/>
    <s v="CUST805"/>
    <x v="0"/>
    <x v="0"/>
    <x v="0"/>
    <s v="Arjun"/>
    <n v="316"/>
    <n v="30"/>
    <n v="30"/>
    <x v="1"/>
    <n v="42"/>
    <x v="0"/>
    <n v="1"/>
    <n v="286"/>
    <x v="98"/>
    <x v="0"/>
    <n v="3"/>
  </r>
  <r>
    <s v="ORD1106"/>
    <s v="15-02-2021"/>
    <s v="CUST803"/>
    <x v="3"/>
    <x v="7"/>
    <x v="0"/>
    <s v="Suresh"/>
    <n v="428"/>
    <n v="50"/>
    <n v="0"/>
    <x v="2"/>
    <n v="28"/>
    <x v="0"/>
    <n v="1"/>
    <n v="428"/>
    <x v="99"/>
    <x v="2"/>
    <n v="2"/>
  </r>
  <r>
    <s v="ORD1107"/>
    <s v="11-01-2021"/>
    <s v="CUST543"/>
    <x v="2"/>
    <x v="11"/>
    <x v="0"/>
    <s v="Rahul"/>
    <n v="357"/>
    <n v="20"/>
    <n v="0"/>
    <x v="0"/>
    <n v="24"/>
    <x v="0"/>
    <n v="1"/>
    <n v="357"/>
    <x v="1"/>
    <x v="1"/>
    <n v="1"/>
  </r>
  <r>
    <s v="ORD1108"/>
    <s v="09-03-2021"/>
    <s v="CUST631"/>
    <x v="3"/>
    <x v="13"/>
    <x v="1"/>
    <s v="Rahul"/>
    <n v="380"/>
    <n v="50"/>
    <n v="0"/>
    <x v="0"/>
    <n v="32"/>
    <x v="0"/>
    <n v="1"/>
    <n v="380"/>
    <x v="100"/>
    <x v="0"/>
    <n v="3"/>
  </r>
  <r>
    <s v="ORD1109"/>
    <s v="31-01-2021"/>
    <s v="CUST1130"/>
    <x v="0"/>
    <x v="12"/>
    <x v="3"/>
    <s v="Manoj"/>
    <n v="447"/>
    <n v="40"/>
    <n v="50"/>
    <x v="0"/>
    <n v="33"/>
    <x v="0"/>
    <n v="1"/>
    <n v="397"/>
    <x v="101"/>
    <x v="1"/>
    <n v="1"/>
  </r>
  <r>
    <s v="ORD1110"/>
    <s v="15-02-2021"/>
    <s v="CUST533"/>
    <x v="1"/>
    <x v="8"/>
    <x v="2"/>
    <s v="Rahul"/>
    <n v="477"/>
    <n v="30"/>
    <n v="50"/>
    <x v="0"/>
    <n v="34"/>
    <x v="0"/>
    <n v="1"/>
    <n v="427"/>
    <x v="102"/>
    <x v="2"/>
    <n v="2"/>
  </r>
  <r>
    <s v="ORD1111"/>
    <s v="11-01-2021"/>
    <s v="CUST1068"/>
    <x v="4"/>
    <x v="9"/>
    <x v="4"/>
    <s v="Amit"/>
    <n v="202"/>
    <n v="30"/>
    <n v="30"/>
    <x v="2"/>
    <n v="27"/>
    <x v="0"/>
    <n v="1"/>
    <n v="172"/>
    <x v="103"/>
    <x v="1"/>
    <n v="1"/>
  </r>
  <r>
    <s v="ORD1112"/>
    <s v="03-01-2021"/>
    <s v="CUST648"/>
    <x v="0"/>
    <x v="10"/>
    <x v="0"/>
    <s v="Manoj"/>
    <n v="770"/>
    <n v="40"/>
    <n v="20"/>
    <x v="0"/>
    <n v="27"/>
    <x v="1"/>
    <n v="1"/>
    <n v="750"/>
    <x v="104"/>
    <x v="1"/>
    <n v="1"/>
  </r>
  <r>
    <s v="ORD1113"/>
    <s v="26-03-2021"/>
    <s v="CUST512"/>
    <x v="0"/>
    <x v="12"/>
    <x v="3"/>
    <s v="Suresh"/>
    <n v="252"/>
    <n v="20"/>
    <n v="30"/>
    <x v="0"/>
    <n v="34"/>
    <x v="0"/>
    <n v="1"/>
    <n v="222"/>
    <x v="105"/>
    <x v="0"/>
    <n v="3"/>
  </r>
  <r>
    <s v="ORD1114"/>
    <s v="03-03-2021"/>
    <s v="CUST1081"/>
    <x v="2"/>
    <x v="11"/>
    <x v="0"/>
    <s v="Karan"/>
    <n v="360"/>
    <n v="40"/>
    <n v="100"/>
    <x v="0"/>
    <n v="30"/>
    <x v="0"/>
    <n v="1"/>
    <n v="260"/>
    <x v="106"/>
    <x v="0"/>
    <n v="3"/>
  </r>
  <r>
    <s v="ORD1115"/>
    <s v="18-03-2021"/>
    <s v="CUST918"/>
    <x v="0"/>
    <x v="0"/>
    <x v="0"/>
    <s v="Karan"/>
    <n v="545"/>
    <n v="40"/>
    <n v="100"/>
    <x v="2"/>
    <n v="51"/>
    <x v="0"/>
    <n v="1"/>
    <n v="445"/>
    <x v="107"/>
    <x v="0"/>
    <n v="3"/>
  </r>
  <r>
    <s v="ORD1116"/>
    <s v="28-01-2021"/>
    <s v="CUST961"/>
    <x v="1"/>
    <x v="8"/>
    <x v="2"/>
    <s v="Imran"/>
    <n v="427"/>
    <n v="20"/>
    <n v="30"/>
    <x v="2"/>
    <n v="37"/>
    <x v="0"/>
    <n v="1"/>
    <n v="397"/>
    <x v="108"/>
    <x v="1"/>
    <n v="1"/>
  </r>
  <r>
    <s v="ORD1117"/>
    <s v="01-03-2021"/>
    <s v="CUST1115"/>
    <x v="2"/>
    <x v="6"/>
    <x v="2"/>
    <s v="Karan"/>
    <n v="166"/>
    <n v="20"/>
    <n v="50"/>
    <x v="0"/>
    <n v="31"/>
    <x v="0"/>
    <n v="1"/>
    <n v="116"/>
    <x v="109"/>
    <x v="0"/>
    <n v="3"/>
  </r>
  <r>
    <s v="ORD1118"/>
    <s v="27-02-2021"/>
    <s v="CUST800"/>
    <x v="4"/>
    <x v="9"/>
    <x v="4"/>
    <s v="Karan"/>
    <n v="326"/>
    <n v="40"/>
    <n v="100"/>
    <x v="1"/>
    <n v="25"/>
    <x v="0"/>
    <n v="1"/>
    <n v="226"/>
    <x v="110"/>
    <x v="2"/>
    <n v="2"/>
  </r>
  <r>
    <s v="ORD1119"/>
    <s v="22-01-2021"/>
    <s v="CUST981"/>
    <x v="1"/>
    <x v="8"/>
    <x v="2"/>
    <s v="Suresh"/>
    <n v="523"/>
    <n v="50"/>
    <n v="0"/>
    <x v="1"/>
    <n v="37"/>
    <x v="0"/>
    <n v="1"/>
    <n v="523"/>
    <x v="111"/>
    <x v="1"/>
    <n v="1"/>
  </r>
  <r>
    <s v="ORD1120"/>
    <s v="25-01-2021"/>
    <s v="CUST814"/>
    <x v="3"/>
    <x v="7"/>
    <x v="0"/>
    <s v="Rohit"/>
    <n v="208"/>
    <n v="30"/>
    <n v="50"/>
    <x v="2"/>
    <n v="25"/>
    <x v="0"/>
    <n v="1"/>
    <n v="158"/>
    <x v="112"/>
    <x v="1"/>
    <n v="1"/>
  </r>
  <r>
    <s v="ORD1121"/>
    <s v="10-02-2021"/>
    <s v="CUST1040"/>
    <x v="1"/>
    <x v="2"/>
    <x v="1"/>
    <s v="Rahul"/>
    <n v="177"/>
    <n v="50"/>
    <n v="20"/>
    <x v="0"/>
    <n v="54"/>
    <x v="0"/>
    <n v="1"/>
    <n v="157"/>
    <x v="113"/>
    <x v="2"/>
    <n v="2"/>
  </r>
  <r>
    <s v="ORD1122"/>
    <s v="29-01-2021"/>
    <s v="CUST969"/>
    <x v="0"/>
    <x v="12"/>
    <x v="3"/>
    <s v="Suresh"/>
    <n v="380"/>
    <n v="50"/>
    <n v="30"/>
    <x v="1"/>
    <n v="54"/>
    <x v="0"/>
    <n v="1"/>
    <n v="350"/>
    <x v="114"/>
    <x v="1"/>
    <n v="1"/>
  </r>
  <r>
    <s v="ORD1123"/>
    <s v="16-02-2021"/>
    <s v="CUST756"/>
    <x v="2"/>
    <x v="6"/>
    <x v="2"/>
    <s v="Rohit"/>
    <n v="732"/>
    <n v="40"/>
    <n v="50"/>
    <x v="0"/>
    <n v="40"/>
    <x v="0"/>
    <n v="1"/>
    <n v="682"/>
    <x v="115"/>
    <x v="2"/>
    <n v="2"/>
  </r>
  <r>
    <s v="ORD1124"/>
    <s v="25-01-2021"/>
    <s v="CUST774"/>
    <x v="4"/>
    <x v="14"/>
    <x v="0"/>
    <s v="Amit"/>
    <n v="428"/>
    <n v="40"/>
    <n v="0"/>
    <x v="0"/>
    <n v="36"/>
    <x v="0"/>
    <n v="1"/>
    <n v="428"/>
    <x v="116"/>
    <x v="1"/>
    <n v="1"/>
  </r>
  <r>
    <s v="ORD1125"/>
    <s v="24-03-2021"/>
    <s v="CUST920"/>
    <x v="2"/>
    <x v="6"/>
    <x v="2"/>
    <s v="Manoj"/>
    <n v="250"/>
    <n v="20"/>
    <n v="20"/>
    <x v="1"/>
    <n v="53"/>
    <x v="0"/>
    <n v="1"/>
    <n v="230"/>
    <x v="117"/>
    <x v="0"/>
    <n v="3"/>
  </r>
  <r>
    <s v="ORD1126"/>
    <s v="25-01-2021"/>
    <s v="CUST600"/>
    <x v="4"/>
    <x v="5"/>
    <x v="3"/>
    <s v="Arjun"/>
    <n v="798"/>
    <n v="20"/>
    <n v="100"/>
    <x v="0"/>
    <n v="57"/>
    <x v="0"/>
    <n v="1"/>
    <n v="698"/>
    <x v="118"/>
    <x v="1"/>
    <n v="1"/>
  </r>
  <r>
    <s v="ORD1127"/>
    <s v="18-03-2021"/>
    <s v="CUST629"/>
    <x v="0"/>
    <x v="10"/>
    <x v="0"/>
    <s v="Deepak"/>
    <n v="646"/>
    <n v="50"/>
    <n v="30"/>
    <x v="1"/>
    <n v="35"/>
    <x v="0"/>
    <n v="1"/>
    <n v="616"/>
    <x v="119"/>
    <x v="0"/>
    <n v="3"/>
  </r>
  <r>
    <s v="ORD1128"/>
    <s v="17-03-2021"/>
    <s v="CUST1002"/>
    <x v="3"/>
    <x v="7"/>
    <x v="0"/>
    <s v="Imran"/>
    <n v="510"/>
    <n v="50"/>
    <n v="50"/>
    <x v="1"/>
    <n v="45"/>
    <x v="0"/>
    <n v="1"/>
    <n v="460"/>
    <x v="120"/>
    <x v="0"/>
    <n v="3"/>
  </r>
  <r>
    <s v="ORD1129"/>
    <s v="15-02-2021"/>
    <s v="CUST893"/>
    <x v="1"/>
    <x v="2"/>
    <x v="1"/>
    <s v="Deepak"/>
    <n v="232"/>
    <n v="50"/>
    <n v="0"/>
    <x v="0"/>
    <n v="30"/>
    <x v="0"/>
    <n v="1"/>
    <n v="232"/>
    <x v="121"/>
    <x v="2"/>
    <n v="2"/>
  </r>
  <r>
    <s v="ORD1130"/>
    <s v="08-02-2021"/>
    <s v="CUST680"/>
    <x v="4"/>
    <x v="5"/>
    <x v="3"/>
    <s v="Vikas"/>
    <n v="453"/>
    <n v="50"/>
    <n v="30"/>
    <x v="2"/>
    <n v="29"/>
    <x v="0"/>
    <n v="1"/>
    <n v="423"/>
    <x v="122"/>
    <x v="2"/>
    <n v="2"/>
  </r>
  <r>
    <s v="ORD1131"/>
    <s v="19-01-2021"/>
    <s v="CUST1094"/>
    <x v="1"/>
    <x v="1"/>
    <x v="1"/>
    <s v="Rohit"/>
    <n v="264"/>
    <n v="40"/>
    <n v="50"/>
    <x v="2"/>
    <n v="40"/>
    <x v="0"/>
    <n v="1"/>
    <n v="214"/>
    <x v="123"/>
    <x v="1"/>
    <n v="1"/>
  </r>
  <r>
    <s v="ORD1132"/>
    <s v="19-02-2021"/>
    <s v="CUST1043"/>
    <x v="0"/>
    <x v="10"/>
    <x v="0"/>
    <s v="Imran"/>
    <n v="646"/>
    <n v="40"/>
    <n v="50"/>
    <x v="2"/>
    <n v="49"/>
    <x v="0"/>
    <n v="1"/>
    <n v="596"/>
    <x v="124"/>
    <x v="2"/>
    <n v="2"/>
  </r>
  <r>
    <s v="ORD1133"/>
    <s v="13-02-2021"/>
    <s v="CUST521"/>
    <x v="4"/>
    <x v="9"/>
    <x v="4"/>
    <s v="Rohit"/>
    <n v="303"/>
    <n v="30"/>
    <n v="100"/>
    <x v="0"/>
    <n v="23"/>
    <x v="0"/>
    <n v="1"/>
    <n v="203"/>
    <x v="63"/>
    <x v="2"/>
    <n v="2"/>
  </r>
  <r>
    <s v="ORD1134"/>
    <s v="22-03-2021"/>
    <s v="CUST848"/>
    <x v="3"/>
    <x v="7"/>
    <x v="0"/>
    <s v="Rahul"/>
    <n v="664"/>
    <n v="30"/>
    <n v="30"/>
    <x v="1"/>
    <n v="59"/>
    <x v="0"/>
    <n v="1"/>
    <n v="634"/>
    <x v="60"/>
    <x v="0"/>
    <n v="3"/>
  </r>
  <r>
    <s v="ORD1135"/>
    <s v="11-02-2021"/>
    <s v="CUST844"/>
    <x v="3"/>
    <x v="13"/>
    <x v="1"/>
    <s v="Rahul"/>
    <n v="424"/>
    <n v="40"/>
    <n v="50"/>
    <x v="2"/>
    <n v="50"/>
    <x v="0"/>
    <n v="1"/>
    <n v="374"/>
    <x v="125"/>
    <x v="2"/>
    <n v="2"/>
  </r>
  <r>
    <s v="ORD1136"/>
    <s v="11-03-2021"/>
    <s v="CUST1173"/>
    <x v="3"/>
    <x v="13"/>
    <x v="1"/>
    <s v="Karan"/>
    <n v="769"/>
    <n v="50"/>
    <n v="50"/>
    <x v="2"/>
    <n v="37"/>
    <x v="0"/>
    <n v="1"/>
    <n v="719"/>
    <x v="126"/>
    <x v="0"/>
    <n v="3"/>
  </r>
  <r>
    <s v="ORD1137"/>
    <s v="05-03-2021"/>
    <s v="CUST809"/>
    <x v="1"/>
    <x v="8"/>
    <x v="2"/>
    <s v="Suresh"/>
    <n v="431"/>
    <n v="50"/>
    <n v="50"/>
    <x v="2"/>
    <n v="48"/>
    <x v="0"/>
    <n v="1"/>
    <n v="381"/>
    <x v="127"/>
    <x v="0"/>
    <n v="3"/>
  </r>
  <r>
    <s v="ORD1138"/>
    <s v="01-01-2021"/>
    <s v="CUST912"/>
    <x v="2"/>
    <x v="6"/>
    <x v="2"/>
    <s v="Amit"/>
    <n v="238"/>
    <n v="30"/>
    <n v="30"/>
    <x v="2"/>
    <n v="52"/>
    <x v="0"/>
    <n v="1"/>
    <n v="208"/>
    <x v="13"/>
    <x v="1"/>
    <n v="1"/>
  </r>
  <r>
    <s v="ORD1139"/>
    <s v="13-03-2021"/>
    <s v="CUST963"/>
    <x v="1"/>
    <x v="2"/>
    <x v="1"/>
    <s v="Rohit"/>
    <n v="652"/>
    <n v="20"/>
    <n v="100"/>
    <x v="1"/>
    <n v="47"/>
    <x v="0"/>
    <n v="1"/>
    <n v="552"/>
    <x v="128"/>
    <x v="0"/>
    <n v="3"/>
  </r>
  <r>
    <s v="ORD1140"/>
    <s v="01-03-2021"/>
    <s v="CUST994"/>
    <x v="3"/>
    <x v="7"/>
    <x v="0"/>
    <s v="Manoj"/>
    <n v="656"/>
    <n v="40"/>
    <n v="50"/>
    <x v="0"/>
    <n v="38"/>
    <x v="1"/>
    <n v="1"/>
    <n v="606"/>
    <x v="53"/>
    <x v="0"/>
    <n v="3"/>
  </r>
  <r>
    <s v="ORD1141"/>
    <s v="21-01-2021"/>
    <s v="CUST677"/>
    <x v="3"/>
    <x v="7"/>
    <x v="0"/>
    <s v="Rahul"/>
    <n v="222"/>
    <n v="20"/>
    <n v="100"/>
    <x v="2"/>
    <n v="36"/>
    <x v="0"/>
    <n v="1"/>
    <n v="122"/>
    <x v="129"/>
    <x v="1"/>
    <n v="1"/>
  </r>
  <r>
    <s v="ORD1142"/>
    <s v="06-03-2021"/>
    <s v="CUST1050"/>
    <x v="3"/>
    <x v="4"/>
    <x v="2"/>
    <s v="Rohit"/>
    <n v="434"/>
    <n v="30"/>
    <n v="0"/>
    <x v="0"/>
    <n v="40"/>
    <x v="0"/>
    <n v="1"/>
    <n v="434"/>
    <x v="130"/>
    <x v="0"/>
    <n v="3"/>
  </r>
  <r>
    <s v="ORD1143"/>
    <s v="01-03-2021"/>
    <s v="CUST940"/>
    <x v="1"/>
    <x v="8"/>
    <x v="2"/>
    <s v="Amit"/>
    <n v="587"/>
    <n v="20"/>
    <n v="30"/>
    <x v="0"/>
    <n v="47"/>
    <x v="0"/>
    <n v="1"/>
    <n v="557"/>
    <x v="131"/>
    <x v="0"/>
    <n v="3"/>
  </r>
  <r>
    <s v="ORD1144"/>
    <s v="17-02-2021"/>
    <s v="CUST1006"/>
    <x v="2"/>
    <x v="6"/>
    <x v="2"/>
    <s v="Imran"/>
    <n v="406"/>
    <n v="40"/>
    <n v="30"/>
    <x v="1"/>
    <n v="52"/>
    <x v="0"/>
    <n v="1"/>
    <n v="376"/>
    <x v="132"/>
    <x v="2"/>
    <n v="2"/>
  </r>
  <r>
    <s v="ORD1145"/>
    <s v="06-03-2021"/>
    <s v="CUST720"/>
    <x v="0"/>
    <x v="12"/>
    <x v="3"/>
    <s v="Karan"/>
    <n v="301"/>
    <n v="30"/>
    <n v="30"/>
    <x v="0"/>
    <n v="60"/>
    <x v="0"/>
    <n v="1"/>
    <n v="271"/>
    <x v="133"/>
    <x v="0"/>
    <n v="3"/>
  </r>
  <r>
    <s v="ORD1146"/>
    <s v="01-02-2021"/>
    <s v="CUST1038"/>
    <x v="0"/>
    <x v="12"/>
    <x v="3"/>
    <s v="Rohit"/>
    <n v="375"/>
    <n v="50"/>
    <n v="50"/>
    <x v="1"/>
    <n v="25"/>
    <x v="0"/>
    <n v="1"/>
    <n v="325"/>
    <x v="134"/>
    <x v="2"/>
    <n v="2"/>
  </r>
  <r>
    <s v="ORD1147"/>
    <s v="27-01-2021"/>
    <s v="CUST1000"/>
    <x v="0"/>
    <x v="12"/>
    <x v="3"/>
    <s v="Rahul"/>
    <n v="189"/>
    <n v="50"/>
    <n v="100"/>
    <x v="0"/>
    <n v="27"/>
    <x v="0"/>
    <n v="1"/>
    <n v="89"/>
    <x v="135"/>
    <x v="1"/>
    <n v="1"/>
  </r>
  <r>
    <s v="ORD1148"/>
    <s v="06-03-2021"/>
    <s v="CUST786"/>
    <x v="4"/>
    <x v="14"/>
    <x v="0"/>
    <s v="Manoj"/>
    <n v="408"/>
    <n v="20"/>
    <n v="50"/>
    <x v="1"/>
    <n v="55"/>
    <x v="0"/>
    <n v="1"/>
    <n v="358"/>
    <x v="136"/>
    <x v="0"/>
    <n v="3"/>
  </r>
  <r>
    <s v="ORD1149"/>
    <s v="13-02-2021"/>
    <s v="CUST1165"/>
    <x v="1"/>
    <x v="1"/>
    <x v="1"/>
    <s v="Karan"/>
    <n v="611"/>
    <n v="40"/>
    <n v="30"/>
    <x v="1"/>
    <n v="60"/>
    <x v="0"/>
    <n v="1"/>
    <n v="581"/>
    <x v="137"/>
    <x v="2"/>
    <n v="2"/>
  </r>
  <r>
    <s v="ORD1150"/>
    <s v="17-03-2021"/>
    <s v="CUST788"/>
    <x v="4"/>
    <x v="5"/>
    <x v="3"/>
    <s v="Karan"/>
    <n v="640"/>
    <n v="40"/>
    <n v="50"/>
    <x v="1"/>
    <n v="40"/>
    <x v="0"/>
    <n v="1"/>
    <n v="590"/>
    <x v="138"/>
    <x v="0"/>
    <n v="3"/>
  </r>
  <r>
    <s v="ORD1151"/>
    <s v="07-02-2021"/>
    <s v="CUST640"/>
    <x v="3"/>
    <x v="7"/>
    <x v="0"/>
    <s v="Rohit"/>
    <n v="526"/>
    <n v="20"/>
    <n v="20"/>
    <x v="1"/>
    <n v="21"/>
    <x v="0"/>
    <n v="1"/>
    <n v="506"/>
    <x v="37"/>
    <x v="2"/>
    <n v="2"/>
  </r>
  <r>
    <s v="ORD1152"/>
    <s v="26-02-2021"/>
    <s v="CUST504"/>
    <x v="2"/>
    <x v="6"/>
    <x v="2"/>
    <s v="Suresh"/>
    <n v="367"/>
    <n v="40"/>
    <n v="30"/>
    <x v="0"/>
    <n v="60"/>
    <x v="0"/>
    <n v="1"/>
    <n v="337"/>
    <x v="1"/>
    <x v="2"/>
    <n v="2"/>
  </r>
  <r>
    <s v="ORD1153"/>
    <s v="29-03-2021"/>
    <s v="CUST734"/>
    <x v="2"/>
    <x v="3"/>
    <x v="1"/>
    <s v="Vikas"/>
    <n v="774"/>
    <n v="30"/>
    <n v="30"/>
    <x v="1"/>
    <n v="32"/>
    <x v="0"/>
    <n v="1"/>
    <n v="744"/>
    <x v="139"/>
    <x v="0"/>
    <n v="3"/>
  </r>
  <r>
    <s v="ORD1154"/>
    <s v="02-03-2021"/>
    <s v="CUST1101"/>
    <x v="1"/>
    <x v="2"/>
    <x v="1"/>
    <s v="Vikas"/>
    <n v="282"/>
    <n v="40"/>
    <n v="30"/>
    <x v="1"/>
    <n v="33"/>
    <x v="0"/>
    <n v="1"/>
    <n v="252"/>
    <x v="140"/>
    <x v="0"/>
    <n v="3"/>
  </r>
  <r>
    <s v="ORD1155"/>
    <s v="12-02-2021"/>
    <s v="CUST507"/>
    <x v="1"/>
    <x v="8"/>
    <x v="2"/>
    <s v="Rahul"/>
    <n v="388"/>
    <n v="20"/>
    <n v="30"/>
    <x v="1"/>
    <n v="53"/>
    <x v="0"/>
    <n v="1"/>
    <n v="358"/>
    <x v="136"/>
    <x v="2"/>
    <n v="2"/>
  </r>
  <r>
    <s v="ORD1156"/>
    <s v="08-01-2021"/>
    <s v="CUST1050"/>
    <x v="3"/>
    <x v="13"/>
    <x v="1"/>
    <s v="Imran"/>
    <n v="177"/>
    <n v="50"/>
    <n v="0"/>
    <x v="0"/>
    <n v="51"/>
    <x v="0"/>
    <n v="1"/>
    <n v="177"/>
    <x v="141"/>
    <x v="1"/>
    <n v="1"/>
  </r>
  <r>
    <s v="ORD1157"/>
    <s v="28-02-2021"/>
    <s v="CUST1119"/>
    <x v="3"/>
    <x v="7"/>
    <x v="0"/>
    <s v="Rohit"/>
    <n v="705"/>
    <n v="30"/>
    <n v="30"/>
    <x v="0"/>
    <n v="42"/>
    <x v="0"/>
    <n v="1"/>
    <n v="675"/>
    <x v="142"/>
    <x v="2"/>
    <n v="2"/>
  </r>
  <r>
    <s v="ORD1158"/>
    <s v="01-02-2021"/>
    <s v="CUST943"/>
    <x v="2"/>
    <x v="6"/>
    <x v="2"/>
    <s v="Vikas"/>
    <n v="165"/>
    <n v="40"/>
    <n v="50"/>
    <x v="0"/>
    <n v="27"/>
    <x v="0"/>
    <n v="1"/>
    <n v="115"/>
    <x v="143"/>
    <x v="2"/>
    <n v="2"/>
  </r>
  <r>
    <s v="ORD1159"/>
    <s v="12-01-2021"/>
    <s v="CUST567"/>
    <x v="4"/>
    <x v="9"/>
    <x v="4"/>
    <s v="Vikas"/>
    <n v="505"/>
    <n v="40"/>
    <n v="30"/>
    <x v="1"/>
    <n v="21"/>
    <x v="1"/>
    <n v="1"/>
    <n v="475"/>
    <x v="144"/>
    <x v="1"/>
    <n v="1"/>
  </r>
  <r>
    <s v="ORD1160"/>
    <s v="27-01-2021"/>
    <s v="CUST789"/>
    <x v="2"/>
    <x v="6"/>
    <x v="2"/>
    <s v="Arjun"/>
    <n v="736"/>
    <n v="30"/>
    <n v="50"/>
    <x v="0"/>
    <n v="49"/>
    <x v="0"/>
    <n v="1"/>
    <n v="686"/>
    <x v="145"/>
    <x v="1"/>
    <n v="1"/>
  </r>
  <r>
    <s v="ORD1161"/>
    <s v="27-01-2021"/>
    <s v="CUST640"/>
    <x v="0"/>
    <x v="10"/>
    <x v="0"/>
    <s v="Karan"/>
    <n v="567"/>
    <n v="40"/>
    <n v="100"/>
    <x v="1"/>
    <n v="44"/>
    <x v="0"/>
    <n v="1"/>
    <n v="467"/>
    <x v="146"/>
    <x v="1"/>
    <n v="1"/>
  </r>
  <r>
    <s v="ORD1162"/>
    <s v="04-01-2021"/>
    <s v="CUST933"/>
    <x v="2"/>
    <x v="11"/>
    <x v="0"/>
    <s v="Rohit"/>
    <n v="199"/>
    <n v="50"/>
    <n v="0"/>
    <x v="0"/>
    <n v="44"/>
    <x v="0"/>
    <n v="1"/>
    <n v="199"/>
    <x v="147"/>
    <x v="1"/>
    <n v="1"/>
  </r>
  <r>
    <s v="ORD1163"/>
    <s v="09-02-2021"/>
    <s v="CUST737"/>
    <x v="0"/>
    <x v="0"/>
    <x v="0"/>
    <s v="Rahul"/>
    <n v="375"/>
    <n v="30"/>
    <n v="30"/>
    <x v="0"/>
    <n v="54"/>
    <x v="0"/>
    <n v="1"/>
    <n v="345"/>
    <x v="134"/>
    <x v="2"/>
    <n v="2"/>
  </r>
  <r>
    <s v="ORD1164"/>
    <s v="20-02-2021"/>
    <s v="CUST943"/>
    <x v="0"/>
    <x v="0"/>
    <x v="0"/>
    <s v="Deepak"/>
    <n v="261"/>
    <n v="20"/>
    <n v="20"/>
    <x v="2"/>
    <n v="25"/>
    <x v="0"/>
    <n v="1"/>
    <n v="241"/>
    <x v="148"/>
    <x v="2"/>
    <n v="2"/>
  </r>
  <r>
    <s v="ORD1165"/>
    <s v="28-01-2021"/>
    <s v="CUST852"/>
    <x v="1"/>
    <x v="8"/>
    <x v="2"/>
    <s v="Deepak"/>
    <n v="427"/>
    <n v="30"/>
    <n v="100"/>
    <x v="0"/>
    <n v="32"/>
    <x v="0"/>
    <n v="1"/>
    <n v="327"/>
    <x v="149"/>
    <x v="1"/>
    <n v="1"/>
  </r>
  <r>
    <s v="ORD1166"/>
    <s v="19-03-2021"/>
    <s v="CUST978"/>
    <x v="1"/>
    <x v="8"/>
    <x v="2"/>
    <s v="Amit"/>
    <n v="424"/>
    <n v="20"/>
    <n v="0"/>
    <x v="2"/>
    <n v="32"/>
    <x v="0"/>
    <n v="1"/>
    <n v="424"/>
    <x v="150"/>
    <x v="0"/>
    <n v="3"/>
  </r>
  <r>
    <s v="ORD1167"/>
    <s v="06-02-2021"/>
    <s v="CUST819"/>
    <x v="2"/>
    <x v="6"/>
    <x v="2"/>
    <s v="Vikas"/>
    <n v="571"/>
    <n v="50"/>
    <n v="30"/>
    <x v="1"/>
    <n v="50"/>
    <x v="1"/>
    <n v="1"/>
    <n v="541"/>
    <x v="151"/>
    <x v="2"/>
    <n v="2"/>
  </r>
  <r>
    <s v="ORD1168"/>
    <s v="08-03-2021"/>
    <s v="CUST938"/>
    <x v="4"/>
    <x v="14"/>
    <x v="0"/>
    <s v="Deepak"/>
    <n v="507"/>
    <n v="50"/>
    <n v="100"/>
    <x v="1"/>
    <n v="48"/>
    <x v="0"/>
    <n v="1"/>
    <n v="407"/>
    <x v="102"/>
    <x v="0"/>
    <n v="3"/>
  </r>
  <r>
    <s v="ORD1169"/>
    <s v="24-02-2021"/>
    <s v="CUST845"/>
    <x v="2"/>
    <x v="3"/>
    <x v="1"/>
    <s v="Amit"/>
    <n v="611"/>
    <n v="50"/>
    <n v="30"/>
    <x v="1"/>
    <n v="38"/>
    <x v="0"/>
    <n v="1"/>
    <n v="581"/>
    <x v="152"/>
    <x v="2"/>
    <n v="2"/>
  </r>
  <r>
    <s v="ORD1170"/>
    <s v="19-01-2021"/>
    <s v="CUST757"/>
    <x v="4"/>
    <x v="14"/>
    <x v="0"/>
    <s v="Vikas"/>
    <n v="480"/>
    <n v="50"/>
    <n v="50"/>
    <x v="1"/>
    <n v="38"/>
    <x v="0"/>
    <n v="1"/>
    <n v="430"/>
    <x v="153"/>
    <x v="1"/>
    <n v="1"/>
  </r>
  <r>
    <s v="ORD1171"/>
    <s v="14-01-2021"/>
    <s v="CUST1101"/>
    <x v="0"/>
    <x v="10"/>
    <x v="0"/>
    <s v="Karan"/>
    <n v="588"/>
    <n v="40"/>
    <n v="0"/>
    <x v="1"/>
    <n v="39"/>
    <x v="0"/>
    <n v="1"/>
    <n v="588"/>
    <x v="154"/>
    <x v="1"/>
    <n v="1"/>
  </r>
  <r>
    <s v="ORD1172"/>
    <s v="23-03-2021"/>
    <s v="CUST1059"/>
    <x v="3"/>
    <x v="4"/>
    <x v="2"/>
    <s v="Manoj"/>
    <n v="266"/>
    <n v="40"/>
    <n v="30"/>
    <x v="2"/>
    <n v="52"/>
    <x v="0"/>
    <n v="1"/>
    <n v="236"/>
    <x v="155"/>
    <x v="0"/>
    <n v="3"/>
  </r>
  <r>
    <s v="ORD1173"/>
    <s v="26-01-2021"/>
    <s v="CUST1138"/>
    <x v="0"/>
    <x v="12"/>
    <x v="3"/>
    <s v="Arjun"/>
    <n v="361"/>
    <n v="20"/>
    <n v="30"/>
    <x v="0"/>
    <n v="21"/>
    <x v="0"/>
    <n v="1"/>
    <n v="331"/>
    <x v="156"/>
    <x v="1"/>
    <n v="1"/>
  </r>
  <r>
    <s v="ORD1174"/>
    <s v="29-03-2021"/>
    <s v="CUST1142"/>
    <x v="4"/>
    <x v="5"/>
    <x v="3"/>
    <s v="Deepak"/>
    <n v="677"/>
    <n v="20"/>
    <n v="20"/>
    <x v="2"/>
    <n v="39"/>
    <x v="0"/>
    <n v="1"/>
    <n v="657"/>
    <x v="157"/>
    <x v="0"/>
    <n v="3"/>
  </r>
  <r>
    <s v="ORD1175"/>
    <s v="30-01-2021"/>
    <s v="CUST929"/>
    <x v="3"/>
    <x v="13"/>
    <x v="1"/>
    <s v="Karan"/>
    <n v="481"/>
    <n v="30"/>
    <n v="30"/>
    <x v="0"/>
    <n v="41"/>
    <x v="0"/>
    <n v="1"/>
    <n v="451"/>
    <x v="5"/>
    <x v="1"/>
    <n v="1"/>
  </r>
  <r>
    <s v="ORD1176"/>
    <s v="28-02-2021"/>
    <s v="CUST1124"/>
    <x v="4"/>
    <x v="9"/>
    <x v="4"/>
    <s v="Imran"/>
    <n v="666"/>
    <n v="20"/>
    <n v="100"/>
    <x v="2"/>
    <n v="45"/>
    <x v="0"/>
    <n v="1"/>
    <n v="566"/>
    <x v="54"/>
    <x v="2"/>
    <n v="2"/>
  </r>
  <r>
    <s v="ORD1177"/>
    <s v="26-03-2021"/>
    <s v="CUST679"/>
    <x v="3"/>
    <x v="4"/>
    <x v="2"/>
    <s v="Manoj"/>
    <n v="543"/>
    <n v="50"/>
    <n v="20"/>
    <x v="2"/>
    <n v="27"/>
    <x v="1"/>
    <n v="1"/>
    <n v="523"/>
    <x v="111"/>
    <x v="0"/>
    <n v="3"/>
  </r>
  <r>
    <s v="ORD1178"/>
    <s v="09-03-2021"/>
    <s v="CUST844"/>
    <x v="0"/>
    <x v="12"/>
    <x v="3"/>
    <s v="Amit"/>
    <n v="307"/>
    <n v="50"/>
    <n v="100"/>
    <x v="0"/>
    <n v="26"/>
    <x v="1"/>
    <n v="1"/>
    <n v="207"/>
    <x v="38"/>
    <x v="0"/>
    <n v="3"/>
  </r>
  <r>
    <s v="ORD1179"/>
    <s v="11-02-2021"/>
    <s v="CUST988"/>
    <x v="4"/>
    <x v="9"/>
    <x v="4"/>
    <s v="Imran"/>
    <n v="482"/>
    <n v="30"/>
    <n v="20"/>
    <x v="2"/>
    <n v="47"/>
    <x v="0"/>
    <n v="1"/>
    <n v="462"/>
    <x v="158"/>
    <x v="2"/>
    <n v="2"/>
  </r>
  <r>
    <s v="ORD1180"/>
    <s v="23-03-2021"/>
    <s v="CUST787"/>
    <x v="1"/>
    <x v="2"/>
    <x v="1"/>
    <s v="Rohit"/>
    <n v="441"/>
    <n v="20"/>
    <n v="0"/>
    <x v="0"/>
    <n v="37"/>
    <x v="0"/>
    <n v="1"/>
    <n v="441"/>
    <x v="159"/>
    <x v="0"/>
    <n v="3"/>
  </r>
  <r>
    <s v="ORD1181"/>
    <s v="07-02-2021"/>
    <s v="CUST986"/>
    <x v="0"/>
    <x v="10"/>
    <x v="0"/>
    <s v="Rohit"/>
    <n v="707"/>
    <n v="50"/>
    <n v="0"/>
    <x v="0"/>
    <n v="20"/>
    <x v="0"/>
    <n v="1"/>
    <n v="707"/>
    <x v="160"/>
    <x v="2"/>
    <n v="2"/>
  </r>
  <r>
    <s v="ORD1182"/>
    <s v="26-02-2021"/>
    <s v="CUST1039"/>
    <x v="2"/>
    <x v="11"/>
    <x v="0"/>
    <s v="Rohit"/>
    <n v="276"/>
    <n v="30"/>
    <n v="100"/>
    <x v="0"/>
    <n v="52"/>
    <x v="1"/>
    <n v="1"/>
    <n v="176"/>
    <x v="161"/>
    <x v="2"/>
    <n v="2"/>
  </r>
  <r>
    <s v="ORD1183"/>
    <s v="21-01-2021"/>
    <s v="CUST1021"/>
    <x v="0"/>
    <x v="10"/>
    <x v="0"/>
    <s v="Rohit"/>
    <n v="390"/>
    <n v="50"/>
    <n v="30"/>
    <x v="1"/>
    <n v="54"/>
    <x v="0"/>
    <n v="1"/>
    <n v="360"/>
    <x v="87"/>
    <x v="1"/>
    <n v="1"/>
  </r>
  <r>
    <s v="ORD1184"/>
    <s v="08-01-2021"/>
    <s v="CUST1046"/>
    <x v="3"/>
    <x v="4"/>
    <x v="2"/>
    <s v="Imran"/>
    <n v="369"/>
    <n v="40"/>
    <n v="50"/>
    <x v="2"/>
    <n v="58"/>
    <x v="0"/>
    <n v="1"/>
    <n v="319"/>
    <x v="162"/>
    <x v="1"/>
    <n v="1"/>
  </r>
  <r>
    <s v="ORD1185"/>
    <s v="30-03-2021"/>
    <s v="CUST891"/>
    <x v="3"/>
    <x v="4"/>
    <x v="2"/>
    <s v="Manoj"/>
    <n v="368"/>
    <n v="30"/>
    <n v="30"/>
    <x v="2"/>
    <n v="41"/>
    <x v="0"/>
    <n v="1"/>
    <n v="338"/>
    <x v="163"/>
    <x v="0"/>
    <n v="3"/>
  </r>
  <r>
    <s v="ORD1186"/>
    <s v="15-01-2021"/>
    <s v="CUST760"/>
    <x v="1"/>
    <x v="1"/>
    <x v="1"/>
    <s v="Deepak"/>
    <n v="788"/>
    <n v="50"/>
    <n v="30"/>
    <x v="1"/>
    <n v="26"/>
    <x v="0"/>
    <n v="1"/>
    <n v="758"/>
    <x v="71"/>
    <x v="1"/>
    <n v="1"/>
  </r>
  <r>
    <s v="ORD1187"/>
    <s v="18-03-2021"/>
    <s v="CUST615"/>
    <x v="3"/>
    <x v="7"/>
    <x v="0"/>
    <s v="Deepak"/>
    <n v="429"/>
    <n v="30"/>
    <n v="100"/>
    <x v="2"/>
    <n v="57"/>
    <x v="0"/>
    <n v="1"/>
    <n v="329"/>
    <x v="162"/>
    <x v="0"/>
    <n v="3"/>
  </r>
  <r>
    <s v="ORD1188"/>
    <s v="02-03-2021"/>
    <s v="CUST635"/>
    <x v="2"/>
    <x v="3"/>
    <x v="1"/>
    <s v="Deepak"/>
    <n v="202"/>
    <n v="30"/>
    <n v="100"/>
    <x v="0"/>
    <n v="35"/>
    <x v="0"/>
    <n v="1"/>
    <n v="102"/>
    <x v="164"/>
    <x v="0"/>
    <n v="3"/>
  </r>
  <r>
    <s v="ORD1189"/>
    <s v="10-01-2021"/>
    <s v="CUST793"/>
    <x v="1"/>
    <x v="2"/>
    <x v="1"/>
    <s v="Vikas"/>
    <n v="763"/>
    <n v="20"/>
    <n v="20"/>
    <x v="1"/>
    <n v="48"/>
    <x v="0"/>
    <n v="1"/>
    <n v="743"/>
    <x v="165"/>
    <x v="1"/>
    <n v="1"/>
  </r>
  <r>
    <s v="ORD1190"/>
    <s v="11-01-2021"/>
    <s v="CUST922"/>
    <x v="0"/>
    <x v="12"/>
    <x v="3"/>
    <s v="Imran"/>
    <n v="471"/>
    <n v="50"/>
    <n v="0"/>
    <x v="1"/>
    <n v="22"/>
    <x v="0"/>
    <n v="1"/>
    <n v="471"/>
    <x v="166"/>
    <x v="1"/>
    <n v="1"/>
  </r>
  <r>
    <s v="ORD1191"/>
    <s v="13-01-2021"/>
    <s v="CUST928"/>
    <x v="3"/>
    <x v="4"/>
    <x v="2"/>
    <s v="Deepak"/>
    <n v="618"/>
    <n v="50"/>
    <n v="20"/>
    <x v="1"/>
    <n v="58"/>
    <x v="0"/>
    <n v="1"/>
    <n v="598"/>
    <x v="167"/>
    <x v="1"/>
    <n v="1"/>
  </r>
  <r>
    <s v="ORD1192"/>
    <s v="05-02-2021"/>
    <s v="CUST671"/>
    <x v="4"/>
    <x v="14"/>
    <x v="0"/>
    <s v="Manoj"/>
    <n v="724"/>
    <n v="50"/>
    <n v="20"/>
    <x v="1"/>
    <n v="38"/>
    <x v="0"/>
    <n v="1"/>
    <n v="704"/>
    <x v="168"/>
    <x v="2"/>
    <n v="2"/>
  </r>
  <r>
    <s v="ORD1193"/>
    <s v="15-01-2021"/>
    <s v="CUST869"/>
    <x v="2"/>
    <x v="11"/>
    <x v="0"/>
    <s v="Amit"/>
    <n v="395"/>
    <n v="40"/>
    <n v="20"/>
    <x v="1"/>
    <n v="58"/>
    <x v="0"/>
    <n v="1"/>
    <n v="375"/>
    <x v="169"/>
    <x v="1"/>
    <n v="1"/>
  </r>
  <r>
    <s v="ORD1194"/>
    <s v="31-01-2021"/>
    <s v="CUST537"/>
    <x v="4"/>
    <x v="5"/>
    <x v="3"/>
    <s v="Rohit"/>
    <n v="153"/>
    <n v="50"/>
    <n v="20"/>
    <x v="1"/>
    <n v="28"/>
    <x v="0"/>
    <n v="1"/>
    <n v="133"/>
    <x v="170"/>
    <x v="1"/>
    <n v="1"/>
  </r>
  <r>
    <s v="ORD1195"/>
    <s v="07-03-2021"/>
    <s v="CUST569"/>
    <x v="2"/>
    <x v="3"/>
    <x v="1"/>
    <s v="Deepak"/>
    <n v="440"/>
    <n v="50"/>
    <n v="30"/>
    <x v="1"/>
    <n v="60"/>
    <x v="0"/>
    <n v="1"/>
    <n v="410"/>
    <x v="45"/>
    <x v="0"/>
    <n v="3"/>
  </r>
  <r>
    <s v="ORD1196"/>
    <s v="13-02-2021"/>
    <s v="CUST662"/>
    <x v="3"/>
    <x v="13"/>
    <x v="1"/>
    <s v="Imran"/>
    <n v="482"/>
    <n v="50"/>
    <n v="100"/>
    <x v="0"/>
    <n v="23"/>
    <x v="0"/>
    <n v="1"/>
    <n v="382"/>
    <x v="50"/>
    <x v="2"/>
    <n v="2"/>
  </r>
  <r>
    <s v="ORD1197"/>
    <s v="10-02-2021"/>
    <s v="CUST636"/>
    <x v="0"/>
    <x v="10"/>
    <x v="0"/>
    <s v="Imran"/>
    <n v="637"/>
    <n v="20"/>
    <n v="20"/>
    <x v="1"/>
    <n v="28"/>
    <x v="0"/>
    <n v="1"/>
    <n v="617"/>
    <x v="15"/>
    <x v="2"/>
    <n v="2"/>
  </r>
  <r>
    <s v="ORD1198"/>
    <s v="02-02-2021"/>
    <s v="CUST546"/>
    <x v="0"/>
    <x v="0"/>
    <x v="0"/>
    <s v="Deepak"/>
    <n v="628"/>
    <n v="40"/>
    <n v="30"/>
    <x v="1"/>
    <n v="54"/>
    <x v="1"/>
    <n v="1"/>
    <n v="598"/>
    <x v="171"/>
    <x v="2"/>
    <n v="2"/>
  </r>
  <r>
    <s v="ORD1199"/>
    <s v="11-02-2021"/>
    <s v="CUST747"/>
    <x v="3"/>
    <x v="4"/>
    <x v="2"/>
    <s v="Arjun"/>
    <n v="178"/>
    <n v="40"/>
    <n v="100"/>
    <x v="2"/>
    <n v="40"/>
    <x v="0"/>
    <n v="1"/>
    <n v="78"/>
    <x v="172"/>
    <x v="2"/>
    <n v="2"/>
  </r>
  <r>
    <s v="ORD1200"/>
    <s v="28-02-2021"/>
    <s v="CUST1140"/>
    <x v="1"/>
    <x v="1"/>
    <x v="1"/>
    <s v="Suresh"/>
    <n v="219"/>
    <n v="20"/>
    <n v="50"/>
    <x v="2"/>
    <n v="28"/>
    <x v="1"/>
    <n v="1"/>
    <n v="169"/>
    <x v="173"/>
    <x v="2"/>
    <n v="2"/>
  </r>
  <r>
    <s v="ORD1201"/>
    <s v="06-02-2021"/>
    <s v="CUST969"/>
    <x v="0"/>
    <x v="0"/>
    <x v="0"/>
    <s v="Vikas"/>
    <n v="624"/>
    <n v="20"/>
    <n v="50"/>
    <x v="1"/>
    <n v="22"/>
    <x v="0"/>
    <n v="1"/>
    <n v="574"/>
    <x v="174"/>
    <x v="2"/>
    <n v="2"/>
  </r>
  <r>
    <s v="ORD1202"/>
    <s v="27-03-2021"/>
    <s v="CUST548"/>
    <x v="4"/>
    <x v="5"/>
    <x v="3"/>
    <s v="Rahul"/>
    <n v="616"/>
    <n v="20"/>
    <n v="20"/>
    <x v="0"/>
    <n v="57"/>
    <x v="0"/>
    <n v="1"/>
    <n v="596"/>
    <x v="175"/>
    <x v="0"/>
    <n v="3"/>
  </r>
  <r>
    <s v="ORD1203"/>
    <s v="14-03-2021"/>
    <s v="CUST545"/>
    <x v="3"/>
    <x v="7"/>
    <x v="0"/>
    <s v="Arjun"/>
    <n v="150"/>
    <n v="50"/>
    <n v="30"/>
    <x v="0"/>
    <n v="57"/>
    <x v="0"/>
    <n v="1"/>
    <n v="120"/>
    <x v="176"/>
    <x v="0"/>
    <n v="3"/>
  </r>
  <r>
    <s v="ORD1204"/>
    <s v="23-02-2021"/>
    <s v="CUST637"/>
    <x v="1"/>
    <x v="1"/>
    <x v="1"/>
    <s v="Rahul"/>
    <n v="534"/>
    <n v="30"/>
    <n v="20"/>
    <x v="1"/>
    <n v="21"/>
    <x v="0"/>
    <n v="1"/>
    <n v="514"/>
    <x v="177"/>
    <x v="2"/>
    <n v="2"/>
  </r>
  <r>
    <s v="ORD1205"/>
    <s v="22-01-2021"/>
    <s v="CUST637"/>
    <x v="0"/>
    <x v="0"/>
    <x v="0"/>
    <s v="Deepak"/>
    <n v="766"/>
    <n v="30"/>
    <n v="50"/>
    <x v="1"/>
    <n v="25"/>
    <x v="0"/>
    <n v="1"/>
    <n v="716"/>
    <x v="35"/>
    <x v="1"/>
    <n v="1"/>
  </r>
  <r>
    <s v="ORD1206"/>
    <s v="18-02-2021"/>
    <s v="CUST1010"/>
    <x v="4"/>
    <x v="9"/>
    <x v="4"/>
    <s v="Arjun"/>
    <n v="703"/>
    <n v="50"/>
    <n v="20"/>
    <x v="0"/>
    <n v="58"/>
    <x v="0"/>
    <n v="1"/>
    <n v="683"/>
    <x v="178"/>
    <x v="2"/>
    <n v="2"/>
  </r>
  <r>
    <s v="ORD1207"/>
    <s v="11-03-2021"/>
    <s v="CUST742"/>
    <x v="2"/>
    <x v="6"/>
    <x v="2"/>
    <s v="Deepak"/>
    <n v="248"/>
    <n v="20"/>
    <n v="100"/>
    <x v="1"/>
    <n v="21"/>
    <x v="0"/>
    <n v="1"/>
    <n v="148"/>
    <x v="179"/>
    <x v="0"/>
    <n v="3"/>
  </r>
  <r>
    <s v="ORD1208"/>
    <s v="06-03-2021"/>
    <s v="CUST1189"/>
    <x v="2"/>
    <x v="3"/>
    <x v="1"/>
    <s v="Deepak"/>
    <n v="388"/>
    <n v="30"/>
    <n v="30"/>
    <x v="1"/>
    <n v="33"/>
    <x v="0"/>
    <n v="1"/>
    <n v="358"/>
    <x v="180"/>
    <x v="0"/>
    <n v="3"/>
  </r>
  <r>
    <s v="ORD1209"/>
    <s v="29-03-2021"/>
    <s v="CUST672"/>
    <x v="2"/>
    <x v="3"/>
    <x v="1"/>
    <s v="Manoj"/>
    <n v="364"/>
    <n v="20"/>
    <n v="30"/>
    <x v="2"/>
    <n v="57"/>
    <x v="0"/>
    <n v="1"/>
    <n v="334"/>
    <x v="59"/>
    <x v="0"/>
    <n v="3"/>
  </r>
  <r>
    <s v="ORD1210"/>
    <s v="15-02-2021"/>
    <s v="CUST603"/>
    <x v="0"/>
    <x v="12"/>
    <x v="3"/>
    <s v="Arjun"/>
    <n v="342"/>
    <n v="50"/>
    <n v="20"/>
    <x v="1"/>
    <n v="20"/>
    <x v="1"/>
    <n v="1"/>
    <n v="322"/>
    <x v="181"/>
    <x v="2"/>
    <n v="2"/>
  </r>
  <r>
    <s v="ORD1211"/>
    <s v="20-01-2021"/>
    <s v="CUST844"/>
    <x v="4"/>
    <x v="9"/>
    <x v="4"/>
    <s v="Manoj"/>
    <n v="283"/>
    <n v="30"/>
    <n v="30"/>
    <x v="2"/>
    <n v="30"/>
    <x v="0"/>
    <n v="1"/>
    <n v="253"/>
    <x v="182"/>
    <x v="1"/>
    <n v="1"/>
  </r>
  <r>
    <s v="ORD1212"/>
    <s v="25-01-2021"/>
    <s v="CUST941"/>
    <x v="1"/>
    <x v="2"/>
    <x v="1"/>
    <s v="Rahul"/>
    <n v="713"/>
    <n v="40"/>
    <n v="30"/>
    <x v="2"/>
    <n v="26"/>
    <x v="0"/>
    <n v="1"/>
    <n v="683"/>
    <x v="183"/>
    <x v="1"/>
    <n v="1"/>
  </r>
  <r>
    <s v="ORD1213"/>
    <s v="02-01-2021"/>
    <s v="CUST1018"/>
    <x v="4"/>
    <x v="14"/>
    <x v="0"/>
    <s v="Rahul"/>
    <n v="238"/>
    <n v="20"/>
    <n v="30"/>
    <x v="1"/>
    <n v="37"/>
    <x v="1"/>
    <n v="1"/>
    <n v="208"/>
    <x v="184"/>
    <x v="1"/>
    <n v="1"/>
  </r>
  <r>
    <s v="ORD1214"/>
    <s v="04-01-2021"/>
    <s v="CUST1098"/>
    <x v="1"/>
    <x v="1"/>
    <x v="1"/>
    <s v="Arjun"/>
    <n v="629"/>
    <n v="20"/>
    <n v="100"/>
    <x v="1"/>
    <n v="48"/>
    <x v="0"/>
    <n v="1"/>
    <n v="529"/>
    <x v="185"/>
    <x v="1"/>
    <n v="1"/>
  </r>
  <r>
    <s v="ORD1215"/>
    <s v="22-02-2021"/>
    <s v="CUST959"/>
    <x v="2"/>
    <x v="6"/>
    <x v="2"/>
    <s v="Imran"/>
    <n v="707"/>
    <n v="30"/>
    <n v="20"/>
    <x v="0"/>
    <n v="33"/>
    <x v="0"/>
    <n v="1"/>
    <n v="687"/>
    <x v="186"/>
    <x v="2"/>
    <n v="2"/>
  </r>
  <r>
    <s v="ORD1216"/>
    <s v="18-02-2021"/>
    <s v="CUST882"/>
    <x v="0"/>
    <x v="10"/>
    <x v="0"/>
    <s v="Rohit"/>
    <n v="256"/>
    <n v="30"/>
    <n v="100"/>
    <x v="1"/>
    <n v="23"/>
    <x v="0"/>
    <n v="1"/>
    <n v="156"/>
    <x v="187"/>
    <x v="2"/>
    <n v="2"/>
  </r>
  <r>
    <s v="ORD1217"/>
    <s v="31-03-2021"/>
    <s v="CUST1093"/>
    <x v="2"/>
    <x v="11"/>
    <x v="0"/>
    <s v="Deepak"/>
    <n v="704"/>
    <n v="40"/>
    <n v="0"/>
    <x v="1"/>
    <n v="34"/>
    <x v="0"/>
    <n v="1"/>
    <n v="704"/>
    <x v="188"/>
    <x v="0"/>
    <n v="3"/>
  </r>
  <r>
    <s v="ORD1218"/>
    <s v="25-01-2021"/>
    <s v="CUST821"/>
    <x v="3"/>
    <x v="7"/>
    <x v="0"/>
    <s v="Vikas"/>
    <n v="506"/>
    <n v="50"/>
    <n v="100"/>
    <x v="1"/>
    <n v="25"/>
    <x v="0"/>
    <n v="1"/>
    <n v="406"/>
    <x v="189"/>
    <x v="1"/>
    <n v="1"/>
  </r>
  <r>
    <s v="ORD1219"/>
    <s v="25-02-2021"/>
    <s v="CUST937"/>
    <x v="3"/>
    <x v="13"/>
    <x v="1"/>
    <s v="Amit"/>
    <n v="440"/>
    <n v="20"/>
    <n v="20"/>
    <x v="0"/>
    <n v="53"/>
    <x v="0"/>
    <n v="1"/>
    <n v="420"/>
    <x v="190"/>
    <x v="2"/>
    <n v="2"/>
  </r>
  <r>
    <s v="ORD1220"/>
    <s v="23-01-2021"/>
    <s v="CUST900"/>
    <x v="1"/>
    <x v="1"/>
    <x v="1"/>
    <s v="Rohit"/>
    <n v="461"/>
    <n v="50"/>
    <n v="0"/>
    <x v="1"/>
    <n v="24"/>
    <x v="0"/>
    <n v="1"/>
    <n v="461"/>
    <x v="0"/>
    <x v="1"/>
    <n v="1"/>
  </r>
  <r>
    <s v="ORD1221"/>
    <s v="07-02-2021"/>
    <s v="CUST1035"/>
    <x v="4"/>
    <x v="9"/>
    <x v="4"/>
    <s v="Arjun"/>
    <n v="481"/>
    <n v="40"/>
    <n v="0"/>
    <x v="2"/>
    <n v="58"/>
    <x v="0"/>
    <n v="1"/>
    <n v="481"/>
    <x v="166"/>
    <x v="2"/>
    <n v="2"/>
  </r>
  <r>
    <s v="ORD1222"/>
    <s v="26-02-2021"/>
    <s v="CUST1118"/>
    <x v="3"/>
    <x v="13"/>
    <x v="1"/>
    <s v="Rohit"/>
    <n v="699"/>
    <n v="40"/>
    <n v="50"/>
    <x v="2"/>
    <n v="42"/>
    <x v="1"/>
    <n v="1"/>
    <n v="649"/>
    <x v="191"/>
    <x v="2"/>
    <n v="2"/>
  </r>
  <r>
    <s v="ORD1223"/>
    <s v="13-03-2021"/>
    <s v="CUST513"/>
    <x v="4"/>
    <x v="5"/>
    <x v="3"/>
    <s v="Rahul"/>
    <n v="720"/>
    <n v="50"/>
    <n v="20"/>
    <x v="0"/>
    <n v="56"/>
    <x v="0"/>
    <n v="1"/>
    <n v="700"/>
    <x v="192"/>
    <x v="0"/>
    <n v="3"/>
  </r>
  <r>
    <s v="ORD1224"/>
    <s v="28-02-2021"/>
    <s v="CUST967"/>
    <x v="3"/>
    <x v="4"/>
    <x v="2"/>
    <s v="Karan"/>
    <n v="626"/>
    <n v="30"/>
    <n v="100"/>
    <x v="2"/>
    <n v="35"/>
    <x v="0"/>
    <n v="1"/>
    <n v="526"/>
    <x v="193"/>
    <x v="2"/>
    <n v="2"/>
  </r>
  <r>
    <s v="ORD1225"/>
    <s v="25-01-2021"/>
    <s v="CUST722"/>
    <x v="1"/>
    <x v="2"/>
    <x v="1"/>
    <s v="Rahul"/>
    <n v="740"/>
    <n v="50"/>
    <n v="30"/>
    <x v="1"/>
    <n v="22"/>
    <x v="0"/>
    <n v="1"/>
    <n v="710"/>
    <x v="41"/>
    <x v="1"/>
    <n v="1"/>
  </r>
  <r>
    <s v="ORD1226"/>
    <s v="29-01-2021"/>
    <s v="CUST1151"/>
    <x v="3"/>
    <x v="7"/>
    <x v="0"/>
    <s v="Vikas"/>
    <n v="550"/>
    <n v="30"/>
    <n v="0"/>
    <x v="1"/>
    <n v="39"/>
    <x v="0"/>
    <n v="1"/>
    <n v="550"/>
    <x v="194"/>
    <x v="1"/>
    <n v="1"/>
  </r>
  <r>
    <s v="ORD1227"/>
    <s v="31-01-2021"/>
    <s v="CUST1103"/>
    <x v="0"/>
    <x v="10"/>
    <x v="0"/>
    <s v="Vikas"/>
    <n v="292"/>
    <n v="40"/>
    <n v="20"/>
    <x v="2"/>
    <n v="44"/>
    <x v="0"/>
    <n v="1"/>
    <n v="272"/>
    <x v="195"/>
    <x v="1"/>
    <n v="1"/>
  </r>
  <r>
    <s v="ORD1228"/>
    <s v="22-01-2021"/>
    <s v="CUST713"/>
    <x v="2"/>
    <x v="3"/>
    <x v="1"/>
    <s v="Imran"/>
    <n v="611"/>
    <n v="30"/>
    <n v="0"/>
    <x v="1"/>
    <n v="49"/>
    <x v="0"/>
    <n v="1"/>
    <n v="611"/>
    <x v="196"/>
    <x v="1"/>
    <n v="1"/>
  </r>
  <r>
    <s v="ORD1229"/>
    <s v="13-03-2021"/>
    <s v="CUST659"/>
    <x v="4"/>
    <x v="14"/>
    <x v="0"/>
    <s v="Manoj"/>
    <n v="226"/>
    <n v="20"/>
    <n v="100"/>
    <x v="2"/>
    <n v="41"/>
    <x v="0"/>
    <n v="1"/>
    <n v="126"/>
    <x v="197"/>
    <x v="0"/>
    <n v="3"/>
  </r>
  <r>
    <s v="ORD1230"/>
    <s v="05-01-2021"/>
    <s v="CUST1186"/>
    <x v="2"/>
    <x v="3"/>
    <x v="1"/>
    <s v="Karan"/>
    <n v="532"/>
    <n v="30"/>
    <n v="30"/>
    <x v="1"/>
    <n v="50"/>
    <x v="0"/>
    <n v="1"/>
    <n v="502"/>
    <x v="3"/>
    <x v="1"/>
    <n v="1"/>
  </r>
  <r>
    <s v="ORD1231"/>
    <s v="21-02-2021"/>
    <s v="CUST910"/>
    <x v="3"/>
    <x v="4"/>
    <x v="2"/>
    <s v="Suresh"/>
    <n v="256"/>
    <n v="20"/>
    <n v="30"/>
    <x v="0"/>
    <n v="34"/>
    <x v="0"/>
    <n v="1"/>
    <n v="226"/>
    <x v="198"/>
    <x v="2"/>
    <n v="2"/>
  </r>
  <r>
    <s v="ORD1232"/>
    <s v="25-02-2021"/>
    <s v="CUST1113"/>
    <x v="0"/>
    <x v="12"/>
    <x v="3"/>
    <s v="Rohit"/>
    <n v="317"/>
    <n v="50"/>
    <n v="30"/>
    <x v="1"/>
    <n v="44"/>
    <x v="0"/>
    <n v="1"/>
    <n v="287"/>
    <x v="199"/>
    <x v="2"/>
    <n v="2"/>
  </r>
  <r>
    <s v="ORD1233"/>
    <s v="22-01-2021"/>
    <s v="CUST561"/>
    <x v="0"/>
    <x v="12"/>
    <x v="3"/>
    <s v="Suresh"/>
    <n v="613"/>
    <n v="40"/>
    <n v="50"/>
    <x v="1"/>
    <n v="55"/>
    <x v="0"/>
    <n v="1"/>
    <n v="563"/>
    <x v="200"/>
    <x v="1"/>
    <n v="1"/>
  </r>
  <r>
    <s v="ORD1234"/>
    <s v="25-03-2021"/>
    <s v="CUST1149"/>
    <x v="2"/>
    <x v="11"/>
    <x v="0"/>
    <s v="Vikas"/>
    <n v="457"/>
    <n v="40"/>
    <n v="0"/>
    <x v="0"/>
    <n v="25"/>
    <x v="0"/>
    <n v="1"/>
    <n v="457"/>
    <x v="201"/>
    <x v="0"/>
    <n v="3"/>
  </r>
  <r>
    <s v="ORD1235"/>
    <s v="30-03-2021"/>
    <s v="CUST1070"/>
    <x v="2"/>
    <x v="11"/>
    <x v="0"/>
    <s v="Rahul"/>
    <n v="490"/>
    <n v="30"/>
    <n v="0"/>
    <x v="0"/>
    <n v="42"/>
    <x v="0"/>
    <n v="1"/>
    <n v="490"/>
    <x v="202"/>
    <x v="0"/>
    <n v="3"/>
  </r>
  <r>
    <s v="ORD1236"/>
    <s v="20-03-2021"/>
    <s v="CUST955"/>
    <x v="3"/>
    <x v="7"/>
    <x v="0"/>
    <s v="Arjun"/>
    <n v="250"/>
    <n v="30"/>
    <n v="0"/>
    <x v="2"/>
    <n v="43"/>
    <x v="0"/>
    <n v="1"/>
    <n v="250"/>
    <x v="203"/>
    <x v="0"/>
    <n v="3"/>
  </r>
  <r>
    <s v="ORD1237"/>
    <s v="25-02-2021"/>
    <s v="CUST911"/>
    <x v="3"/>
    <x v="13"/>
    <x v="1"/>
    <s v="Amit"/>
    <n v="391"/>
    <n v="20"/>
    <n v="30"/>
    <x v="0"/>
    <n v="37"/>
    <x v="0"/>
    <n v="1"/>
    <n v="361"/>
    <x v="204"/>
    <x v="2"/>
    <n v="2"/>
  </r>
  <r>
    <s v="ORD1238"/>
    <s v="21-01-2021"/>
    <s v="CUST1186"/>
    <x v="1"/>
    <x v="8"/>
    <x v="2"/>
    <s v="Vikas"/>
    <n v="186"/>
    <n v="30"/>
    <n v="0"/>
    <x v="0"/>
    <n v="23"/>
    <x v="0"/>
    <n v="1"/>
    <n v="186"/>
    <x v="205"/>
    <x v="1"/>
    <n v="1"/>
  </r>
  <r>
    <s v="ORD1239"/>
    <s v="14-02-2021"/>
    <s v="CUST917"/>
    <x v="3"/>
    <x v="7"/>
    <x v="0"/>
    <s v="Imran"/>
    <n v="656"/>
    <n v="40"/>
    <n v="50"/>
    <x v="1"/>
    <n v="57"/>
    <x v="0"/>
    <n v="1"/>
    <n v="606"/>
    <x v="53"/>
    <x v="2"/>
    <n v="2"/>
  </r>
  <r>
    <s v="ORD1240"/>
    <s v="04-03-2021"/>
    <s v="CUST1192"/>
    <x v="1"/>
    <x v="1"/>
    <x v="1"/>
    <s v="Amit"/>
    <n v="463"/>
    <n v="40"/>
    <n v="30"/>
    <x v="2"/>
    <n v="38"/>
    <x v="0"/>
    <n v="1"/>
    <n v="433"/>
    <x v="122"/>
    <x v="0"/>
    <n v="3"/>
  </r>
  <r>
    <s v="ORD1241"/>
    <s v="07-01-2021"/>
    <s v="CUST561"/>
    <x v="1"/>
    <x v="8"/>
    <x v="2"/>
    <s v="Vikas"/>
    <n v="465"/>
    <n v="50"/>
    <n v="50"/>
    <x v="1"/>
    <n v="34"/>
    <x v="0"/>
    <n v="1"/>
    <n v="415"/>
    <x v="206"/>
    <x v="1"/>
    <n v="1"/>
  </r>
  <r>
    <s v="ORD1242"/>
    <s v="25-01-2021"/>
    <s v="CUST580"/>
    <x v="1"/>
    <x v="8"/>
    <x v="2"/>
    <s v="Imran"/>
    <n v="576"/>
    <n v="30"/>
    <n v="100"/>
    <x v="1"/>
    <n v="22"/>
    <x v="0"/>
    <n v="1"/>
    <n v="476"/>
    <x v="64"/>
    <x v="1"/>
    <n v="1"/>
  </r>
  <r>
    <s v="ORD1243"/>
    <s v="17-03-2021"/>
    <s v="CUST970"/>
    <x v="3"/>
    <x v="7"/>
    <x v="0"/>
    <s v="Manoj"/>
    <n v="243"/>
    <n v="50"/>
    <n v="0"/>
    <x v="1"/>
    <n v="34"/>
    <x v="0"/>
    <n v="1"/>
    <n v="243"/>
    <x v="207"/>
    <x v="0"/>
    <n v="3"/>
  </r>
  <r>
    <s v="ORD1244"/>
    <s v="14-02-2021"/>
    <s v="CUST666"/>
    <x v="0"/>
    <x v="12"/>
    <x v="3"/>
    <s v="Imran"/>
    <n v="573"/>
    <n v="50"/>
    <n v="100"/>
    <x v="2"/>
    <n v="43"/>
    <x v="0"/>
    <n v="1"/>
    <n v="473"/>
    <x v="208"/>
    <x v="2"/>
    <n v="2"/>
  </r>
  <r>
    <s v="ORD1245"/>
    <s v="12-01-2021"/>
    <s v="CUST756"/>
    <x v="3"/>
    <x v="7"/>
    <x v="0"/>
    <s v="Imran"/>
    <n v="297"/>
    <n v="30"/>
    <n v="0"/>
    <x v="2"/>
    <n v="21"/>
    <x v="0"/>
    <n v="1"/>
    <n v="297"/>
    <x v="209"/>
    <x v="1"/>
    <n v="1"/>
  </r>
  <r>
    <s v="ORD1246"/>
    <s v="25-02-2021"/>
    <s v="CUST505"/>
    <x v="3"/>
    <x v="4"/>
    <x v="2"/>
    <s v="Vikas"/>
    <n v="404"/>
    <n v="40"/>
    <n v="100"/>
    <x v="2"/>
    <n v="42"/>
    <x v="0"/>
    <n v="1"/>
    <n v="304"/>
    <x v="210"/>
    <x v="2"/>
    <n v="2"/>
  </r>
  <r>
    <s v="ORD1247"/>
    <s v="23-01-2021"/>
    <s v="CUST536"/>
    <x v="0"/>
    <x v="0"/>
    <x v="0"/>
    <s v="Imran"/>
    <n v="662"/>
    <n v="50"/>
    <n v="0"/>
    <x v="0"/>
    <n v="41"/>
    <x v="0"/>
    <n v="1"/>
    <n v="662"/>
    <x v="211"/>
    <x v="1"/>
    <n v="1"/>
  </r>
  <r>
    <s v="ORD1248"/>
    <s v="03-02-2021"/>
    <s v="CUST562"/>
    <x v="0"/>
    <x v="10"/>
    <x v="0"/>
    <s v="Imran"/>
    <n v="531"/>
    <n v="50"/>
    <n v="50"/>
    <x v="0"/>
    <n v="55"/>
    <x v="0"/>
    <n v="1"/>
    <n v="481"/>
    <x v="212"/>
    <x v="2"/>
    <n v="2"/>
  </r>
  <r>
    <s v="ORD1249"/>
    <s v="12-02-2021"/>
    <s v="CUST1071"/>
    <x v="2"/>
    <x v="6"/>
    <x v="2"/>
    <s v="Imran"/>
    <n v="433"/>
    <n v="20"/>
    <n v="50"/>
    <x v="2"/>
    <n v="55"/>
    <x v="0"/>
    <n v="1"/>
    <n v="383"/>
    <x v="213"/>
    <x v="2"/>
    <n v="2"/>
  </r>
  <r>
    <s v="ORD1250"/>
    <s v="10-03-2021"/>
    <s v="CUST1138"/>
    <x v="0"/>
    <x v="10"/>
    <x v="0"/>
    <s v="Amit"/>
    <n v="314"/>
    <n v="40"/>
    <n v="100"/>
    <x v="1"/>
    <n v="30"/>
    <x v="0"/>
    <n v="1"/>
    <n v="214"/>
    <x v="123"/>
    <x v="0"/>
    <n v="3"/>
  </r>
  <r>
    <s v="ORD1251"/>
    <s v="27-01-2021"/>
    <s v="CUST861"/>
    <x v="1"/>
    <x v="8"/>
    <x v="2"/>
    <s v="Amit"/>
    <n v="216"/>
    <n v="40"/>
    <n v="20"/>
    <x v="0"/>
    <n v="47"/>
    <x v="0"/>
    <n v="1"/>
    <n v="196"/>
    <x v="214"/>
    <x v="1"/>
    <n v="1"/>
  </r>
  <r>
    <s v="ORD1252"/>
    <s v="28-02-2021"/>
    <s v="CUST736"/>
    <x v="4"/>
    <x v="5"/>
    <x v="3"/>
    <s v="Rahul"/>
    <n v="247"/>
    <n v="20"/>
    <n v="100"/>
    <x v="0"/>
    <n v="54"/>
    <x v="0"/>
    <n v="1"/>
    <n v="147"/>
    <x v="215"/>
    <x v="2"/>
    <n v="2"/>
  </r>
  <r>
    <s v="ORD1253"/>
    <s v="18-01-2021"/>
    <s v="CUST785"/>
    <x v="4"/>
    <x v="5"/>
    <x v="3"/>
    <s v="Suresh"/>
    <n v="267"/>
    <n v="30"/>
    <n v="50"/>
    <x v="0"/>
    <n v="44"/>
    <x v="0"/>
    <n v="1"/>
    <n v="217"/>
    <x v="216"/>
    <x v="1"/>
    <n v="1"/>
  </r>
  <r>
    <s v="ORD1254"/>
    <s v="28-02-2021"/>
    <s v="CUST642"/>
    <x v="3"/>
    <x v="13"/>
    <x v="1"/>
    <s v="Arjun"/>
    <n v="280"/>
    <n v="40"/>
    <n v="0"/>
    <x v="0"/>
    <n v="59"/>
    <x v="0"/>
    <n v="1"/>
    <n v="280"/>
    <x v="217"/>
    <x v="2"/>
    <n v="2"/>
  </r>
  <r>
    <s v="ORD1255"/>
    <s v="20-03-2021"/>
    <s v="CUST905"/>
    <x v="0"/>
    <x v="0"/>
    <x v="0"/>
    <s v="Vikas"/>
    <n v="476"/>
    <n v="30"/>
    <n v="20"/>
    <x v="0"/>
    <n v="32"/>
    <x v="0"/>
    <n v="1"/>
    <n v="456"/>
    <x v="218"/>
    <x v="0"/>
    <n v="3"/>
  </r>
  <r>
    <s v="ORD1256"/>
    <s v="14-02-2021"/>
    <s v="CUST609"/>
    <x v="0"/>
    <x v="10"/>
    <x v="0"/>
    <s v="Imran"/>
    <n v="683"/>
    <n v="40"/>
    <n v="30"/>
    <x v="2"/>
    <n v="44"/>
    <x v="0"/>
    <n v="1"/>
    <n v="653"/>
    <x v="219"/>
    <x v="2"/>
    <n v="2"/>
  </r>
  <r>
    <s v="ORD1257"/>
    <s v="10-03-2021"/>
    <s v="CUST838"/>
    <x v="4"/>
    <x v="14"/>
    <x v="0"/>
    <s v="Karan"/>
    <n v="263"/>
    <n v="20"/>
    <n v="100"/>
    <x v="0"/>
    <n v="29"/>
    <x v="0"/>
    <n v="1"/>
    <n v="163"/>
    <x v="170"/>
    <x v="0"/>
    <n v="3"/>
  </r>
  <r>
    <s v="ORD1258"/>
    <s v="30-01-2021"/>
    <s v="CUST618"/>
    <x v="3"/>
    <x v="13"/>
    <x v="1"/>
    <s v="Vikas"/>
    <n v="682"/>
    <n v="40"/>
    <n v="20"/>
    <x v="1"/>
    <n v="46"/>
    <x v="0"/>
    <n v="1"/>
    <n v="662"/>
    <x v="32"/>
    <x v="1"/>
    <n v="1"/>
  </r>
  <r>
    <s v="ORD1259"/>
    <s v="21-01-2021"/>
    <s v="CUST1133"/>
    <x v="0"/>
    <x v="10"/>
    <x v="0"/>
    <s v="Deepak"/>
    <n v="426"/>
    <n v="50"/>
    <n v="20"/>
    <x v="0"/>
    <n v="36"/>
    <x v="0"/>
    <n v="1"/>
    <n v="406"/>
    <x v="189"/>
    <x v="1"/>
    <n v="1"/>
  </r>
  <r>
    <s v="ORD1260"/>
    <s v="21-01-2021"/>
    <s v="CUST1151"/>
    <x v="2"/>
    <x v="3"/>
    <x v="1"/>
    <s v="Imran"/>
    <n v="251"/>
    <n v="20"/>
    <n v="30"/>
    <x v="0"/>
    <n v="30"/>
    <x v="0"/>
    <n v="1"/>
    <n v="221"/>
    <x v="220"/>
    <x v="1"/>
    <n v="1"/>
  </r>
  <r>
    <s v="ORD1261"/>
    <s v="16-03-2021"/>
    <s v="CUST1004"/>
    <x v="0"/>
    <x v="10"/>
    <x v="0"/>
    <s v="Imran"/>
    <n v="357"/>
    <n v="50"/>
    <n v="20"/>
    <x v="1"/>
    <n v="21"/>
    <x v="0"/>
    <n v="1"/>
    <n v="337"/>
    <x v="221"/>
    <x v="0"/>
    <n v="3"/>
  </r>
  <r>
    <s v="ORD1262"/>
    <s v="28-02-2021"/>
    <s v="CUST835"/>
    <x v="2"/>
    <x v="6"/>
    <x v="2"/>
    <s v="Imran"/>
    <n v="462"/>
    <n v="50"/>
    <n v="0"/>
    <x v="0"/>
    <n v="55"/>
    <x v="1"/>
    <n v="1"/>
    <n v="462"/>
    <x v="2"/>
    <x v="2"/>
    <n v="2"/>
  </r>
  <r>
    <s v="ORD1263"/>
    <s v="05-03-2021"/>
    <s v="CUST606"/>
    <x v="2"/>
    <x v="3"/>
    <x v="1"/>
    <s v="Amit"/>
    <n v="307"/>
    <n v="30"/>
    <n v="100"/>
    <x v="1"/>
    <n v="38"/>
    <x v="0"/>
    <n v="1"/>
    <n v="207"/>
    <x v="222"/>
    <x v="0"/>
    <n v="3"/>
  </r>
  <r>
    <s v="ORD1264"/>
    <s v="04-03-2021"/>
    <s v="CUST945"/>
    <x v="1"/>
    <x v="8"/>
    <x v="2"/>
    <s v="Vikas"/>
    <n v="559"/>
    <n v="20"/>
    <n v="30"/>
    <x v="0"/>
    <n v="28"/>
    <x v="0"/>
    <n v="1"/>
    <n v="529"/>
    <x v="185"/>
    <x v="0"/>
    <n v="3"/>
  </r>
  <r>
    <s v="ORD1265"/>
    <s v="31-01-2021"/>
    <s v="CUST1162"/>
    <x v="2"/>
    <x v="3"/>
    <x v="1"/>
    <s v="Manoj"/>
    <n v="716"/>
    <n v="40"/>
    <n v="30"/>
    <x v="1"/>
    <n v="39"/>
    <x v="0"/>
    <n v="1"/>
    <n v="686"/>
    <x v="223"/>
    <x v="1"/>
    <n v="1"/>
  </r>
  <r>
    <s v="ORD1266"/>
    <s v="07-03-2021"/>
    <s v="CUST622"/>
    <x v="2"/>
    <x v="3"/>
    <x v="1"/>
    <s v="Vikas"/>
    <n v="316"/>
    <n v="40"/>
    <n v="0"/>
    <x v="1"/>
    <n v="33"/>
    <x v="0"/>
    <n v="1"/>
    <n v="316"/>
    <x v="224"/>
    <x v="0"/>
    <n v="3"/>
  </r>
  <r>
    <s v="ORD1267"/>
    <s v="04-02-2021"/>
    <s v="CUST1165"/>
    <x v="3"/>
    <x v="4"/>
    <x v="2"/>
    <s v="Manoj"/>
    <n v="488"/>
    <n v="30"/>
    <n v="0"/>
    <x v="1"/>
    <n v="48"/>
    <x v="0"/>
    <n v="1"/>
    <n v="488"/>
    <x v="225"/>
    <x v="2"/>
    <n v="2"/>
  </r>
  <r>
    <s v="ORD1268"/>
    <s v="26-01-2021"/>
    <s v="CUST1134"/>
    <x v="4"/>
    <x v="9"/>
    <x v="4"/>
    <s v="Imran"/>
    <n v="345"/>
    <n v="30"/>
    <n v="50"/>
    <x v="0"/>
    <n v="23"/>
    <x v="0"/>
    <n v="1"/>
    <n v="295"/>
    <x v="226"/>
    <x v="1"/>
    <n v="1"/>
  </r>
  <r>
    <s v="ORD1269"/>
    <s v="04-02-2021"/>
    <s v="CUST822"/>
    <x v="0"/>
    <x v="0"/>
    <x v="0"/>
    <s v="Vikas"/>
    <n v="591"/>
    <n v="20"/>
    <n v="50"/>
    <x v="1"/>
    <n v="46"/>
    <x v="0"/>
    <n v="1"/>
    <n v="541"/>
    <x v="227"/>
    <x v="2"/>
    <n v="2"/>
  </r>
  <r>
    <s v="ORD1270"/>
    <s v="12-03-2021"/>
    <s v="CUST1163"/>
    <x v="1"/>
    <x v="2"/>
    <x v="1"/>
    <s v="Karan"/>
    <n v="730"/>
    <n v="30"/>
    <n v="20"/>
    <x v="1"/>
    <n v="20"/>
    <x v="1"/>
    <n v="1"/>
    <n v="710"/>
    <x v="34"/>
    <x v="0"/>
    <n v="3"/>
  </r>
  <r>
    <s v="ORD1271"/>
    <s v="17-02-2021"/>
    <s v="CUST781"/>
    <x v="0"/>
    <x v="12"/>
    <x v="3"/>
    <s v="Suresh"/>
    <n v="714"/>
    <n v="40"/>
    <n v="30"/>
    <x v="0"/>
    <n v="37"/>
    <x v="0"/>
    <n v="1"/>
    <n v="684"/>
    <x v="228"/>
    <x v="2"/>
    <n v="2"/>
  </r>
  <r>
    <s v="ORD1272"/>
    <s v="07-01-2021"/>
    <s v="CUST529"/>
    <x v="3"/>
    <x v="4"/>
    <x v="2"/>
    <s v="Suresh"/>
    <n v="719"/>
    <n v="40"/>
    <n v="50"/>
    <x v="0"/>
    <n v="50"/>
    <x v="0"/>
    <n v="1"/>
    <n v="669"/>
    <x v="229"/>
    <x v="1"/>
    <n v="1"/>
  </r>
  <r>
    <s v="ORD1273"/>
    <s v="17-02-2021"/>
    <s v="CUST715"/>
    <x v="0"/>
    <x v="0"/>
    <x v="0"/>
    <s v="Vikas"/>
    <n v="410"/>
    <n v="50"/>
    <n v="0"/>
    <x v="0"/>
    <n v="41"/>
    <x v="0"/>
    <n v="1"/>
    <n v="410"/>
    <x v="45"/>
    <x v="2"/>
    <n v="2"/>
  </r>
  <r>
    <s v="ORD1274"/>
    <s v="19-01-2021"/>
    <s v="CUST611"/>
    <x v="1"/>
    <x v="1"/>
    <x v="1"/>
    <s v="Rahul"/>
    <n v="485"/>
    <n v="40"/>
    <n v="50"/>
    <x v="0"/>
    <n v="36"/>
    <x v="0"/>
    <n v="1"/>
    <n v="435"/>
    <x v="230"/>
    <x v="1"/>
    <n v="1"/>
  </r>
  <r>
    <s v="ORD1275"/>
    <s v="14-03-2021"/>
    <s v="CUST949"/>
    <x v="1"/>
    <x v="2"/>
    <x v="1"/>
    <s v="Manoj"/>
    <n v="648"/>
    <n v="40"/>
    <n v="30"/>
    <x v="1"/>
    <n v="48"/>
    <x v="0"/>
    <n v="1"/>
    <n v="618"/>
    <x v="231"/>
    <x v="0"/>
    <n v="3"/>
  </r>
  <r>
    <s v="ORD1276"/>
    <s v="25-01-2021"/>
    <s v="CUST953"/>
    <x v="3"/>
    <x v="4"/>
    <x v="2"/>
    <s v="Deepak"/>
    <n v="189"/>
    <n v="30"/>
    <n v="30"/>
    <x v="0"/>
    <n v="22"/>
    <x v="0"/>
    <n v="1"/>
    <n v="159"/>
    <x v="173"/>
    <x v="1"/>
    <n v="1"/>
  </r>
  <r>
    <s v="ORD1277"/>
    <s v="09-02-2021"/>
    <s v="CUST1112"/>
    <x v="3"/>
    <x v="13"/>
    <x v="1"/>
    <s v="Manoj"/>
    <n v="398"/>
    <n v="50"/>
    <n v="50"/>
    <x v="1"/>
    <n v="41"/>
    <x v="0"/>
    <n v="1"/>
    <n v="348"/>
    <x v="232"/>
    <x v="2"/>
    <n v="2"/>
  </r>
  <r>
    <s v="ORD1278"/>
    <s v="01-03-2021"/>
    <s v="CUST742"/>
    <x v="0"/>
    <x v="12"/>
    <x v="3"/>
    <s v="Manoj"/>
    <n v="397"/>
    <n v="30"/>
    <n v="30"/>
    <x v="2"/>
    <n v="35"/>
    <x v="0"/>
    <n v="1"/>
    <n v="367"/>
    <x v="233"/>
    <x v="0"/>
    <n v="3"/>
  </r>
  <r>
    <s v="ORD1279"/>
    <s v="18-03-2021"/>
    <s v="CUST1015"/>
    <x v="0"/>
    <x v="0"/>
    <x v="0"/>
    <s v="Imran"/>
    <n v="641"/>
    <n v="40"/>
    <n v="30"/>
    <x v="0"/>
    <n v="20"/>
    <x v="0"/>
    <n v="1"/>
    <n v="611"/>
    <x v="234"/>
    <x v="0"/>
    <n v="3"/>
  </r>
  <r>
    <s v="ORD1280"/>
    <s v="24-01-2021"/>
    <s v="CUST1018"/>
    <x v="2"/>
    <x v="3"/>
    <x v="1"/>
    <s v="Amit"/>
    <n v="634"/>
    <n v="40"/>
    <n v="50"/>
    <x v="1"/>
    <n v="41"/>
    <x v="1"/>
    <n v="1"/>
    <n v="584"/>
    <x v="76"/>
    <x v="1"/>
    <n v="1"/>
  </r>
  <r>
    <s v="ORD1281"/>
    <s v="21-03-2021"/>
    <s v="CUST922"/>
    <x v="4"/>
    <x v="9"/>
    <x v="4"/>
    <s v="Imran"/>
    <n v="259"/>
    <n v="30"/>
    <n v="100"/>
    <x v="0"/>
    <n v="58"/>
    <x v="0"/>
    <n v="1"/>
    <n v="159"/>
    <x v="173"/>
    <x v="0"/>
    <n v="3"/>
  </r>
  <r>
    <s v="ORD1282"/>
    <s v="22-01-2021"/>
    <s v="CUST1035"/>
    <x v="3"/>
    <x v="7"/>
    <x v="0"/>
    <s v="Suresh"/>
    <n v="639"/>
    <n v="20"/>
    <n v="50"/>
    <x v="0"/>
    <n v="38"/>
    <x v="0"/>
    <n v="1"/>
    <n v="589"/>
    <x v="81"/>
    <x v="1"/>
    <n v="1"/>
  </r>
  <r>
    <s v="ORD1283"/>
    <s v="09-01-2021"/>
    <s v="CUST1093"/>
    <x v="4"/>
    <x v="5"/>
    <x v="3"/>
    <s v="Rahul"/>
    <n v="236"/>
    <n v="40"/>
    <n v="100"/>
    <x v="2"/>
    <n v="40"/>
    <x v="0"/>
    <n v="1"/>
    <n v="136"/>
    <x v="235"/>
    <x v="1"/>
    <n v="1"/>
  </r>
  <r>
    <s v="ORD1284"/>
    <s v="16-03-2021"/>
    <s v="CUST544"/>
    <x v="4"/>
    <x v="14"/>
    <x v="0"/>
    <s v="Manoj"/>
    <n v="571"/>
    <n v="40"/>
    <n v="50"/>
    <x v="2"/>
    <n v="46"/>
    <x v="0"/>
    <n v="1"/>
    <n v="521"/>
    <x v="227"/>
    <x v="0"/>
    <n v="3"/>
  </r>
  <r>
    <s v="ORD1285"/>
    <s v="19-03-2021"/>
    <s v="CUST745"/>
    <x v="4"/>
    <x v="9"/>
    <x v="4"/>
    <s v="Suresh"/>
    <n v="328"/>
    <n v="20"/>
    <n v="0"/>
    <x v="2"/>
    <n v="48"/>
    <x v="0"/>
    <n v="1"/>
    <n v="328"/>
    <x v="236"/>
    <x v="0"/>
    <n v="3"/>
  </r>
  <r>
    <s v="ORD1286"/>
    <s v="20-03-2021"/>
    <s v="CUST1192"/>
    <x v="2"/>
    <x v="6"/>
    <x v="2"/>
    <s v="Rohit"/>
    <n v="337"/>
    <n v="20"/>
    <n v="100"/>
    <x v="0"/>
    <n v="40"/>
    <x v="0"/>
    <n v="1"/>
    <n v="237"/>
    <x v="38"/>
    <x v="0"/>
    <n v="3"/>
  </r>
  <r>
    <s v="ORD1287"/>
    <s v="27-01-2021"/>
    <s v="CUST787"/>
    <x v="0"/>
    <x v="10"/>
    <x v="0"/>
    <s v="Vikas"/>
    <n v="185"/>
    <n v="40"/>
    <n v="0"/>
    <x v="1"/>
    <n v="30"/>
    <x v="0"/>
    <n v="1"/>
    <n v="185"/>
    <x v="237"/>
    <x v="1"/>
    <n v="1"/>
  </r>
  <r>
    <s v="ORD1288"/>
    <s v="16-01-2021"/>
    <s v="CUST699"/>
    <x v="0"/>
    <x v="10"/>
    <x v="0"/>
    <s v="Rohit"/>
    <n v="791"/>
    <n v="30"/>
    <n v="30"/>
    <x v="1"/>
    <n v="43"/>
    <x v="0"/>
    <n v="1"/>
    <n v="761"/>
    <x v="238"/>
    <x v="1"/>
    <n v="1"/>
  </r>
  <r>
    <s v="ORD1289"/>
    <s v="08-03-2021"/>
    <s v="CUST931"/>
    <x v="0"/>
    <x v="0"/>
    <x v="0"/>
    <s v="Imran"/>
    <n v="766"/>
    <n v="50"/>
    <n v="0"/>
    <x v="2"/>
    <n v="51"/>
    <x v="0"/>
    <n v="1"/>
    <n v="766"/>
    <x v="51"/>
    <x v="0"/>
    <n v="3"/>
  </r>
  <r>
    <s v="ORD1290"/>
    <s v="01-03-2021"/>
    <s v="CUST887"/>
    <x v="4"/>
    <x v="9"/>
    <x v="4"/>
    <s v="Imran"/>
    <n v="572"/>
    <n v="50"/>
    <n v="0"/>
    <x v="1"/>
    <n v="29"/>
    <x v="0"/>
    <n v="1"/>
    <n v="572"/>
    <x v="239"/>
    <x v="0"/>
    <n v="3"/>
  </r>
  <r>
    <s v="ORD1291"/>
    <s v="28-02-2021"/>
    <s v="CUST1123"/>
    <x v="2"/>
    <x v="3"/>
    <x v="1"/>
    <s v="Rahul"/>
    <n v="277"/>
    <n v="20"/>
    <n v="50"/>
    <x v="0"/>
    <n v="21"/>
    <x v="0"/>
    <n v="1"/>
    <n v="227"/>
    <x v="216"/>
    <x v="2"/>
    <n v="2"/>
  </r>
  <r>
    <s v="ORD1292"/>
    <s v="21-03-2021"/>
    <s v="CUST704"/>
    <x v="3"/>
    <x v="13"/>
    <x v="1"/>
    <s v="Karan"/>
    <n v="402"/>
    <n v="20"/>
    <n v="100"/>
    <x v="0"/>
    <n v="29"/>
    <x v="1"/>
    <n v="1"/>
    <n v="302"/>
    <x v="240"/>
    <x v="0"/>
    <n v="3"/>
  </r>
  <r>
    <s v="ORD1293"/>
    <s v="01-02-2021"/>
    <s v="CUST710"/>
    <x v="1"/>
    <x v="2"/>
    <x v="1"/>
    <s v="Imran"/>
    <n v="403"/>
    <n v="50"/>
    <n v="100"/>
    <x v="1"/>
    <n v="23"/>
    <x v="0"/>
    <n v="1"/>
    <n v="303"/>
    <x v="241"/>
    <x v="2"/>
    <n v="2"/>
  </r>
  <r>
    <s v="ORD1294"/>
    <s v="10-02-2021"/>
    <s v="CUST1142"/>
    <x v="1"/>
    <x v="8"/>
    <x v="2"/>
    <s v="Amit"/>
    <n v="462"/>
    <n v="30"/>
    <n v="100"/>
    <x v="2"/>
    <n v="25"/>
    <x v="0"/>
    <n v="1"/>
    <n v="362"/>
    <x v="242"/>
    <x v="2"/>
    <n v="2"/>
  </r>
  <r>
    <s v="ORD1295"/>
    <s v="17-02-2021"/>
    <s v="CUST577"/>
    <x v="4"/>
    <x v="14"/>
    <x v="0"/>
    <s v="Arjun"/>
    <n v="490"/>
    <n v="20"/>
    <n v="20"/>
    <x v="0"/>
    <n v="58"/>
    <x v="0"/>
    <n v="1"/>
    <n v="470"/>
    <x v="243"/>
    <x v="2"/>
    <n v="2"/>
  </r>
  <r>
    <s v="ORD1296"/>
    <s v="25-03-2021"/>
    <s v="CUST786"/>
    <x v="1"/>
    <x v="1"/>
    <x v="1"/>
    <s v="Imran"/>
    <n v="571"/>
    <n v="20"/>
    <n v="20"/>
    <x v="0"/>
    <n v="55"/>
    <x v="0"/>
    <n v="1"/>
    <n v="551"/>
    <x v="244"/>
    <x v="0"/>
    <n v="3"/>
  </r>
  <r>
    <s v="ORD1297"/>
    <s v="05-01-2021"/>
    <s v="CUST671"/>
    <x v="1"/>
    <x v="2"/>
    <x v="1"/>
    <s v="Deepak"/>
    <n v="440"/>
    <n v="50"/>
    <n v="20"/>
    <x v="2"/>
    <n v="37"/>
    <x v="0"/>
    <n v="1"/>
    <n v="420"/>
    <x v="62"/>
    <x v="1"/>
    <n v="1"/>
  </r>
  <r>
    <s v="ORD1298"/>
    <s v="18-02-2021"/>
    <s v="CUST1188"/>
    <x v="4"/>
    <x v="9"/>
    <x v="4"/>
    <s v="Arjun"/>
    <n v="531"/>
    <n v="50"/>
    <n v="0"/>
    <x v="1"/>
    <n v="46"/>
    <x v="0"/>
    <n v="1"/>
    <n v="531"/>
    <x v="39"/>
    <x v="2"/>
    <n v="2"/>
  </r>
  <r>
    <s v="ORD1299"/>
    <s v="20-03-2021"/>
    <s v="CUST736"/>
    <x v="1"/>
    <x v="2"/>
    <x v="1"/>
    <s v="Manoj"/>
    <n v="719"/>
    <n v="30"/>
    <n v="50"/>
    <x v="1"/>
    <n v="23"/>
    <x v="0"/>
    <n v="1"/>
    <n v="669"/>
    <x v="245"/>
    <x v="0"/>
    <n v="3"/>
  </r>
  <r>
    <s v="ORD1300"/>
    <s v="18-02-2021"/>
    <s v="CUST1195"/>
    <x v="3"/>
    <x v="4"/>
    <x v="2"/>
    <s v="Rahul"/>
    <n v="470"/>
    <n v="30"/>
    <n v="50"/>
    <x v="0"/>
    <n v="45"/>
    <x v="0"/>
    <n v="1"/>
    <n v="420"/>
    <x v="96"/>
    <x v="2"/>
    <n v="2"/>
  </r>
  <r>
    <s v="ORD1301"/>
    <s v="02-03-2021"/>
    <s v="CUST556"/>
    <x v="4"/>
    <x v="5"/>
    <x v="3"/>
    <s v="Vikas"/>
    <n v="343"/>
    <n v="50"/>
    <n v="50"/>
    <x v="0"/>
    <n v="26"/>
    <x v="0"/>
    <n v="1"/>
    <n v="293"/>
    <x v="246"/>
    <x v="0"/>
    <n v="3"/>
  </r>
  <r>
    <s v="ORD1302"/>
    <s v="20-01-2021"/>
    <s v="CUST759"/>
    <x v="0"/>
    <x v="12"/>
    <x v="3"/>
    <s v="Vikas"/>
    <n v="543"/>
    <n v="40"/>
    <n v="100"/>
    <x v="0"/>
    <n v="32"/>
    <x v="0"/>
    <n v="1"/>
    <n v="443"/>
    <x v="247"/>
    <x v="1"/>
    <n v="1"/>
  </r>
  <r>
    <s v="ORD1303"/>
    <s v="05-01-2021"/>
    <s v="CUST1023"/>
    <x v="2"/>
    <x v="11"/>
    <x v="0"/>
    <s v="Imran"/>
    <n v="705"/>
    <n v="20"/>
    <n v="0"/>
    <x v="0"/>
    <n v="58"/>
    <x v="0"/>
    <n v="1"/>
    <n v="705"/>
    <x v="248"/>
    <x v="1"/>
    <n v="1"/>
  </r>
  <r>
    <s v="ORD1304"/>
    <s v="07-01-2021"/>
    <s v="CUST960"/>
    <x v="4"/>
    <x v="9"/>
    <x v="4"/>
    <s v="Rohit"/>
    <n v="340"/>
    <n v="30"/>
    <n v="100"/>
    <x v="2"/>
    <n v="25"/>
    <x v="0"/>
    <n v="1"/>
    <n v="240"/>
    <x v="249"/>
    <x v="1"/>
    <n v="1"/>
  </r>
  <r>
    <s v="ORD1305"/>
    <s v="09-01-2021"/>
    <s v="CUST971"/>
    <x v="0"/>
    <x v="0"/>
    <x v="0"/>
    <s v="Rahul"/>
    <n v="786"/>
    <n v="20"/>
    <n v="20"/>
    <x v="0"/>
    <n v="57"/>
    <x v="0"/>
    <n v="1"/>
    <n v="766"/>
    <x v="250"/>
    <x v="1"/>
    <n v="1"/>
  </r>
  <r>
    <s v="ORD1306"/>
    <s v="23-03-2021"/>
    <s v="CUST758"/>
    <x v="3"/>
    <x v="7"/>
    <x v="0"/>
    <s v="Manoj"/>
    <n v="483"/>
    <n v="20"/>
    <n v="50"/>
    <x v="2"/>
    <n v="40"/>
    <x v="0"/>
    <n v="1"/>
    <n v="433"/>
    <x v="251"/>
    <x v="0"/>
    <n v="3"/>
  </r>
  <r>
    <s v="ORD1307"/>
    <s v="26-01-2021"/>
    <s v="CUST991"/>
    <x v="1"/>
    <x v="2"/>
    <x v="1"/>
    <s v="Manoj"/>
    <n v="351"/>
    <n v="20"/>
    <n v="0"/>
    <x v="2"/>
    <n v="50"/>
    <x v="0"/>
    <n v="1"/>
    <n v="351"/>
    <x v="72"/>
    <x v="1"/>
    <n v="1"/>
  </r>
  <r>
    <s v="ORD1308"/>
    <s v="18-02-2021"/>
    <s v="CUST601"/>
    <x v="2"/>
    <x v="3"/>
    <x v="1"/>
    <s v="Imran"/>
    <n v="710"/>
    <n v="50"/>
    <n v="100"/>
    <x v="1"/>
    <n v="28"/>
    <x v="0"/>
    <n v="1"/>
    <n v="610"/>
    <x v="252"/>
    <x v="2"/>
    <n v="2"/>
  </r>
  <r>
    <s v="ORD1309"/>
    <s v="03-02-2021"/>
    <s v="CUST831"/>
    <x v="2"/>
    <x v="11"/>
    <x v="0"/>
    <s v="Deepak"/>
    <n v="734"/>
    <n v="50"/>
    <n v="30"/>
    <x v="2"/>
    <n v="50"/>
    <x v="0"/>
    <n v="1"/>
    <n v="704"/>
    <x v="168"/>
    <x v="2"/>
    <n v="2"/>
  </r>
  <r>
    <s v="ORD1310"/>
    <s v="18-01-2021"/>
    <s v="CUST632"/>
    <x v="2"/>
    <x v="6"/>
    <x v="2"/>
    <s v="Rohit"/>
    <n v="230"/>
    <n v="20"/>
    <n v="20"/>
    <x v="2"/>
    <n v="60"/>
    <x v="0"/>
    <n v="1"/>
    <n v="210"/>
    <x v="253"/>
    <x v="1"/>
    <n v="1"/>
  </r>
  <r>
    <s v="ORD1311"/>
    <s v="10-02-2021"/>
    <s v="CUST619"/>
    <x v="2"/>
    <x v="3"/>
    <x v="1"/>
    <s v="Deepak"/>
    <n v="762"/>
    <n v="50"/>
    <n v="50"/>
    <x v="1"/>
    <n v="28"/>
    <x v="0"/>
    <n v="1"/>
    <n v="712"/>
    <x v="254"/>
    <x v="2"/>
    <n v="2"/>
  </r>
  <r>
    <s v="ORD1312"/>
    <s v="02-02-2021"/>
    <s v="CUST802"/>
    <x v="1"/>
    <x v="2"/>
    <x v="1"/>
    <s v="Rohit"/>
    <n v="565"/>
    <n v="50"/>
    <n v="50"/>
    <x v="2"/>
    <n v="26"/>
    <x v="0"/>
    <n v="1"/>
    <n v="515"/>
    <x v="255"/>
    <x v="2"/>
    <n v="2"/>
  </r>
  <r>
    <s v="ORD1313"/>
    <s v="08-01-2021"/>
    <s v="CUST783"/>
    <x v="3"/>
    <x v="7"/>
    <x v="0"/>
    <s v="Amit"/>
    <n v="539"/>
    <n v="30"/>
    <n v="30"/>
    <x v="2"/>
    <n v="25"/>
    <x v="0"/>
    <n v="1"/>
    <n v="509"/>
    <x v="84"/>
    <x v="1"/>
    <n v="1"/>
  </r>
  <r>
    <s v="ORD1314"/>
    <s v="15-01-2021"/>
    <s v="CUST1152"/>
    <x v="4"/>
    <x v="9"/>
    <x v="4"/>
    <s v="Karan"/>
    <n v="195"/>
    <n v="50"/>
    <n v="20"/>
    <x v="0"/>
    <n v="60"/>
    <x v="0"/>
    <n v="1"/>
    <n v="175"/>
    <x v="237"/>
    <x v="1"/>
    <n v="1"/>
  </r>
  <r>
    <s v="ORD1315"/>
    <s v="03-01-2021"/>
    <s v="CUST951"/>
    <x v="3"/>
    <x v="4"/>
    <x v="2"/>
    <s v="Rohit"/>
    <n v="201"/>
    <n v="50"/>
    <n v="0"/>
    <x v="0"/>
    <n v="49"/>
    <x v="0"/>
    <n v="1"/>
    <n v="201"/>
    <x v="256"/>
    <x v="1"/>
    <n v="1"/>
  </r>
  <r>
    <s v="ORD1316"/>
    <s v="14-03-2021"/>
    <s v="CUST1189"/>
    <x v="0"/>
    <x v="10"/>
    <x v="0"/>
    <s v="Arjun"/>
    <n v="649"/>
    <n v="40"/>
    <n v="20"/>
    <x v="1"/>
    <n v="35"/>
    <x v="0"/>
    <n v="1"/>
    <n v="629"/>
    <x v="257"/>
    <x v="0"/>
    <n v="3"/>
  </r>
  <r>
    <s v="ORD1317"/>
    <s v="04-01-2021"/>
    <s v="CUST1148"/>
    <x v="4"/>
    <x v="5"/>
    <x v="3"/>
    <s v="Rohit"/>
    <n v="307"/>
    <n v="40"/>
    <n v="30"/>
    <x v="0"/>
    <n v="55"/>
    <x v="0"/>
    <n v="1"/>
    <n v="277"/>
    <x v="258"/>
    <x v="1"/>
    <n v="1"/>
  </r>
  <r>
    <s v="ORD1318"/>
    <s v="08-01-2021"/>
    <s v="CUST1099"/>
    <x v="0"/>
    <x v="12"/>
    <x v="3"/>
    <s v="Amit"/>
    <n v="492"/>
    <n v="30"/>
    <n v="30"/>
    <x v="0"/>
    <n v="30"/>
    <x v="0"/>
    <n v="1"/>
    <n v="462"/>
    <x v="158"/>
    <x v="1"/>
    <n v="1"/>
  </r>
  <r>
    <s v="ORD1319"/>
    <s v="11-02-2021"/>
    <s v="CUST1168"/>
    <x v="2"/>
    <x v="3"/>
    <x v="1"/>
    <s v="Deepak"/>
    <n v="435"/>
    <n v="30"/>
    <n v="0"/>
    <x v="2"/>
    <n v="23"/>
    <x v="0"/>
    <n v="1"/>
    <n v="435"/>
    <x v="206"/>
    <x v="2"/>
    <n v="2"/>
  </r>
  <r>
    <s v="ORD1320"/>
    <s v="29-03-2021"/>
    <s v="CUST595"/>
    <x v="0"/>
    <x v="12"/>
    <x v="3"/>
    <s v="Manoj"/>
    <n v="172"/>
    <n v="30"/>
    <n v="20"/>
    <x v="2"/>
    <n v="48"/>
    <x v="0"/>
    <n v="1"/>
    <n v="152"/>
    <x v="259"/>
    <x v="0"/>
    <n v="3"/>
  </r>
  <r>
    <s v="ORD1321"/>
    <s v="14-02-2021"/>
    <s v="CUST647"/>
    <x v="1"/>
    <x v="2"/>
    <x v="1"/>
    <s v="Vikas"/>
    <n v="545"/>
    <n v="50"/>
    <n v="0"/>
    <x v="1"/>
    <n v="51"/>
    <x v="0"/>
    <n v="1"/>
    <n v="545"/>
    <x v="260"/>
    <x v="2"/>
    <n v="2"/>
  </r>
  <r>
    <s v="ORD1322"/>
    <s v="16-03-2021"/>
    <s v="CUST623"/>
    <x v="1"/>
    <x v="2"/>
    <x v="1"/>
    <s v="Suresh"/>
    <n v="385"/>
    <n v="40"/>
    <n v="20"/>
    <x v="2"/>
    <n v="60"/>
    <x v="0"/>
    <n v="1"/>
    <n v="365"/>
    <x v="261"/>
    <x v="0"/>
    <n v="3"/>
  </r>
  <r>
    <s v="ORD1323"/>
    <s v="17-03-2021"/>
    <s v="CUST1003"/>
    <x v="0"/>
    <x v="12"/>
    <x v="3"/>
    <s v="Vikas"/>
    <n v="335"/>
    <n v="50"/>
    <n v="50"/>
    <x v="2"/>
    <n v="38"/>
    <x v="0"/>
    <n v="1"/>
    <n v="285"/>
    <x v="262"/>
    <x v="0"/>
    <n v="3"/>
  </r>
  <r>
    <s v="ORD1324"/>
    <s v="08-02-2021"/>
    <s v="CUST1111"/>
    <x v="1"/>
    <x v="8"/>
    <x v="2"/>
    <s v="Arjun"/>
    <n v="293"/>
    <n v="50"/>
    <n v="100"/>
    <x v="2"/>
    <n v="23"/>
    <x v="0"/>
    <n v="1"/>
    <n v="193"/>
    <x v="19"/>
    <x v="2"/>
    <n v="2"/>
  </r>
  <r>
    <s v="ORD1325"/>
    <s v="09-01-2021"/>
    <s v="CUST646"/>
    <x v="0"/>
    <x v="0"/>
    <x v="0"/>
    <s v="Deepak"/>
    <n v="639"/>
    <n v="30"/>
    <n v="30"/>
    <x v="0"/>
    <n v="58"/>
    <x v="1"/>
    <n v="1"/>
    <n v="609"/>
    <x v="263"/>
    <x v="1"/>
    <n v="1"/>
  </r>
  <r>
    <s v="ORD1326"/>
    <s v="06-02-2021"/>
    <s v="CUST884"/>
    <x v="3"/>
    <x v="7"/>
    <x v="0"/>
    <s v="Suresh"/>
    <n v="390"/>
    <n v="30"/>
    <n v="20"/>
    <x v="2"/>
    <n v="36"/>
    <x v="0"/>
    <n v="1"/>
    <n v="370"/>
    <x v="114"/>
    <x v="2"/>
    <n v="2"/>
  </r>
  <r>
    <s v="ORD1327"/>
    <s v="13-03-2021"/>
    <s v="CUST640"/>
    <x v="1"/>
    <x v="8"/>
    <x v="2"/>
    <s v="Deepak"/>
    <n v="214"/>
    <n v="40"/>
    <n v="50"/>
    <x v="2"/>
    <n v="27"/>
    <x v="0"/>
    <n v="1"/>
    <n v="164"/>
    <x v="264"/>
    <x v="0"/>
    <n v="3"/>
  </r>
  <r>
    <s v="ORD1328"/>
    <s v="03-03-2021"/>
    <s v="CUST924"/>
    <x v="2"/>
    <x v="3"/>
    <x v="1"/>
    <s v="Deepak"/>
    <n v="593"/>
    <n v="50"/>
    <n v="30"/>
    <x v="2"/>
    <n v="41"/>
    <x v="0"/>
    <n v="1"/>
    <n v="563"/>
    <x v="265"/>
    <x v="0"/>
    <n v="3"/>
  </r>
  <r>
    <s v="ORD1329"/>
    <s v="15-02-2021"/>
    <s v="CUST500"/>
    <x v="0"/>
    <x v="10"/>
    <x v="0"/>
    <s v="Rohit"/>
    <n v="715"/>
    <n v="50"/>
    <n v="0"/>
    <x v="1"/>
    <n v="46"/>
    <x v="0"/>
    <n v="1"/>
    <n v="715"/>
    <x v="266"/>
    <x v="2"/>
    <n v="2"/>
  </r>
  <r>
    <s v="ORD1330"/>
    <s v="09-02-2021"/>
    <s v="CUST806"/>
    <x v="0"/>
    <x v="12"/>
    <x v="3"/>
    <s v="Amit"/>
    <n v="715"/>
    <n v="20"/>
    <n v="20"/>
    <x v="0"/>
    <n v="29"/>
    <x v="0"/>
    <n v="1"/>
    <n v="695"/>
    <x v="267"/>
    <x v="2"/>
    <n v="2"/>
  </r>
  <r>
    <s v="ORD1331"/>
    <s v="21-03-2021"/>
    <s v="CUST1128"/>
    <x v="1"/>
    <x v="2"/>
    <x v="1"/>
    <s v="Rahul"/>
    <n v="533"/>
    <n v="30"/>
    <n v="50"/>
    <x v="0"/>
    <n v="48"/>
    <x v="0"/>
    <n v="1"/>
    <n v="483"/>
    <x v="268"/>
    <x v="0"/>
    <n v="3"/>
  </r>
  <r>
    <s v="ORD1332"/>
    <s v="05-02-2021"/>
    <s v="CUST925"/>
    <x v="3"/>
    <x v="7"/>
    <x v="0"/>
    <s v="Arjun"/>
    <n v="662"/>
    <n v="20"/>
    <n v="0"/>
    <x v="0"/>
    <n v="23"/>
    <x v="0"/>
    <n v="1"/>
    <n v="662"/>
    <x v="269"/>
    <x v="2"/>
    <n v="2"/>
  </r>
  <r>
    <s v="ORD1333"/>
    <s v="01-02-2021"/>
    <s v="CUST591"/>
    <x v="4"/>
    <x v="9"/>
    <x v="4"/>
    <s v="Manoj"/>
    <n v="222"/>
    <n v="20"/>
    <n v="50"/>
    <x v="1"/>
    <n v="34"/>
    <x v="0"/>
    <n v="1"/>
    <n v="172"/>
    <x v="270"/>
    <x v="2"/>
    <n v="2"/>
  </r>
  <r>
    <s v="ORD1334"/>
    <s v="07-02-2021"/>
    <s v="CUST1011"/>
    <x v="2"/>
    <x v="11"/>
    <x v="0"/>
    <s v="Imran"/>
    <n v="663"/>
    <n v="30"/>
    <n v="50"/>
    <x v="2"/>
    <n v="34"/>
    <x v="0"/>
    <n v="1"/>
    <n v="613"/>
    <x v="271"/>
    <x v="2"/>
    <n v="2"/>
  </r>
  <r>
    <s v="ORD1335"/>
    <s v="31-01-2021"/>
    <s v="CUST1065"/>
    <x v="0"/>
    <x v="0"/>
    <x v="0"/>
    <s v="Amit"/>
    <n v="525"/>
    <n v="50"/>
    <n v="30"/>
    <x v="2"/>
    <n v="42"/>
    <x v="0"/>
    <n v="1"/>
    <n v="495"/>
    <x v="272"/>
    <x v="1"/>
    <n v="1"/>
  </r>
  <r>
    <s v="ORD1336"/>
    <s v="20-03-2021"/>
    <s v="CUST1121"/>
    <x v="3"/>
    <x v="13"/>
    <x v="1"/>
    <s v="Arjun"/>
    <n v="510"/>
    <n v="50"/>
    <n v="50"/>
    <x v="0"/>
    <n v="35"/>
    <x v="0"/>
    <n v="1"/>
    <n v="460"/>
    <x v="120"/>
    <x v="0"/>
    <n v="3"/>
  </r>
  <r>
    <s v="ORD1337"/>
    <s v="19-03-2021"/>
    <s v="CUST686"/>
    <x v="0"/>
    <x v="12"/>
    <x v="3"/>
    <s v="Karan"/>
    <n v="321"/>
    <n v="30"/>
    <n v="20"/>
    <x v="2"/>
    <n v="53"/>
    <x v="0"/>
    <n v="1"/>
    <n v="301"/>
    <x v="273"/>
    <x v="0"/>
    <n v="3"/>
  </r>
  <r>
    <s v="ORD1338"/>
    <s v="28-03-2021"/>
    <s v="CUST817"/>
    <x v="3"/>
    <x v="13"/>
    <x v="1"/>
    <s v="Suresh"/>
    <n v="748"/>
    <n v="30"/>
    <n v="30"/>
    <x v="0"/>
    <n v="58"/>
    <x v="0"/>
    <n v="1"/>
    <n v="718"/>
    <x v="274"/>
    <x v="0"/>
    <n v="3"/>
  </r>
  <r>
    <s v="ORD1339"/>
    <s v="23-02-2021"/>
    <s v="CUST604"/>
    <x v="1"/>
    <x v="1"/>
    <x v="1"/>
    <s v="Manoj"/>
    <n v="266"/>
    <n v="20"/>
    <n v="100"/>
    <x v="2"/>
    <n v="24"/>
    <x v="0"/>
    <n v="1"/>
    <n v="166"/>
    <x v="187"/>
    <x v="2"/>
    <n v="2"/>
  </r>
  <r>
    <s v="ORD1340"/>
    <s v="16-03-2021"/>
    <s v="CUST1153"/>
    <x v="3"/>
    <x v="13"/>
    <x v="1"/>
    <s v="Rahul"/>
    <n v="364"/>
    <n v="50"/>
    <n v="0"/>
    <x v="0"/>
    <n v="31"/>
    <x v="0"/>
    <n v="1"/>
    <n v="364"/>
    <x v="125"/>
    <x v="0"/>
    <n v="3"/>
  </r>
  <r>
    <s v="ORD1341"/>
    <s v="19-02-2021"/>
    <s v="CUST1102"/>
    <x v="0"/>
    <x v="12"/>
    <x v="3"/>
    <s v="Manoj"/>
    <n v="295"/>
    <n v="20"/>
    <n v="50"/>
    <x v="2"/>
    <n v="35"/>
    <x v="0"/>
    <n v="1"/>
    <n v="245"/>
    <x v="275"/>
    <x v="2"/>
    <n v="2"/>
  </r>
  <r>
    <s v="ORD1342"/>
    <s v="20-02-2021"/>
    <s v="CUST629"/>
    <x v="3"/>
    <x v="4"/>
    <x v="2"/>
    <s v="Manoj"/>
    <n v="204"/>
    <n v="30"/>
    <n v="50"/>
    <x v="1"/>
    <n v="33"/>
    <x v="0"/>
    <n v="1"/>
    <n v="154"/>
    <x v="276"/>
    <x v="2"/>
    <n v="2"/>
  </r>
  <r>
    <s v="ORD1343"/>
    <s v="01-03-2021"/>
    <s v="CUST921"/>
    <x v="2"/>
    <x v="6"/>
    <x v="2"/>
    <s v="Vikas"/>
    <n v="293"/>
    <n v="40"/>
    <n v="50"/>
    <x v="0"/>
    <n v="29"/>
    <x v="0"/>
    <n v="1"/>
    <n v="243"/>
    <x v="182"/>
    <x v="0"/>
    <n v="3"/>
  </r>
  <r>
    <s v="ORD1344"/>
    <s v="25-01-2021"/>
    <s v="CUST910"/>
    <x v="1"/>
    <x v="8"/>
    <x v="2"/>
    <s v="Rohit"/>
    <n v="275"/>
    <n v="50"/>
    <n v="50"/>
    <x v="1"/>
    <n v="33"/>
    <x v="0"/>
    <n v="1"/>
    <n v="225"/>
    <x v="22"/>
    <x v="1"/>
    <n v="1"/>
  </r>
  <r>
    <s v="ORD1345"/>
    <s v="11-02-2021"/>
    <s v="CUST920"/>
    <x v="0"/>
    <x v="10"/>
    <x v="0"/>
    <s v="Deepak"/>
    <n v="447"/>
    <n v="40"/>
    <n v="30"/>
    <x v="2"/>
    <n v="32"/>
    <x v="0"/>
    <n v="1"/>
    <n v="417"/>
    <x v="102"/>
    <x v="2"/>
    <n v="2"/>
  </r>
  <r>
    <s v="ORD1346"/>
    <s v="20-02-2021"/>
    <s v="CUST502"/>
    <x v="2"/>
    <x v="11"/>
    <x v="0"/>
    <s v="Vikas"/>
    <n v="688"/>
    <n v="30"/>
    <n v="30"/>
    <x v="0"/>
    <n v="57"/>
    <x v="0"/>
    <n v="1"/>
    <n v="658"/>
    <x v="277"/>
    <x v="2"/>
    <n v="2"/>
  </r>
  <r>
    <s v="ORD1347"/>
    <s v="20-02-2021"/>
    <s v="CUST653"/>
    <x v="0"/>
    <x v="0"/>
    <x v="0"/>
    <s v="Manoj"/>
    <n v="594"/>
    <n v="40"/>
    <n v="0"/>
    <x v="0"/>
    <n v="28"/>
    <x v="0"/>
    <n v="1"/>
    <n v="594"/>
    <x v="278"/>
    <x v="2"/>
    <n v="2"/>
  </r>
  <r>
    <s v="ORD1348"/>
    <s v="14-01-2021"/>
    <s v="CUST553"/>
    <x v="3"/>
    <x v="7"/>
    <x v="0"/>
    <s v="Arjun"/>
    <n v="470"/>
    <n v="30"/>
    <n v="100"/>
    <x v="1"/>
    <n v="21"/>
    <x v="0"/>
    <n v="1"/>
    <n v="370"/>
    <x v="114"/>
    <x v="1"/>
    <n v="1"/>
  </r>
  <r>
    <s v="ORD1349"/>
    <s v="13-03-2021"/>
    <s v="CUST1043"/>
    <x v="0"/>
    <x v="0"/>
    <x v="0"/>
    <s v="Amit"/>
    <n v="584"/>
    <n v="40"/>
    <n v="50"/>
    <x v="1"/>
    <n v="52"/>
    <x v="0"/>
    <n v="1"/>
    <n v="534"/>
    <x v="279"/>
    <x v="0"/>
    <n v="3"/>
  </r>
  <r>
    <s v="ORD1350"/>
    <s v="08-03-2021"/>
    <s v="CUST583"/>
    <x v="1"/>
    <x v="1"/>
    <x v="1"/>
    <s v="Manoj"/>
    <n v="710"/>
    <n v="40"/>
    <n v="100"/>
    <x v="2"/>
    <n v="26"/>
    <x v="0"/>
    <n v="1"/>
    <n v="610"/>
    <x v="280"/>
    <x v="0"/>
    <n v="3"/>
  </r>
  <r>
    <s v="ORD1351"/>
    <s v="25-02-2021"/>
    <s v="CUST982"/>
    <x v="2"/>
    <x v="3"/>
    <x v="1"/>
    <s v="Karan"/>
    <n v="486"/>
    <n v="40"/>
    <n v="0"/>
    <x v="2"/>
    <n v="30"/>
    <x v="0"/>
    <n v="1"/>
    <n v="486"/>
    <x v="37"/>
    <x v="2"/>
    <n v="2"/>
  </r>
  <r>
    <s v="ORD1352"/>
    <s v="11-01-2021"/>
    <s v="CUST960"/>
    <x v="2"/>
    <x v="11"/>
    <x v="0"/>
    <s v="Amit"/>
    <n v="349"/>
    <n v="50"/>
    <n v="20"/>
    <x v="0"/>
    <n v="37"/>
    <x v="0"/>
    <n v="1"/>
    <n v="329"/>
    <x v="281"/>
    <x v="1"/>
    <n v="1"/>
  </r>
  <r>
    <s v="ORD1353"/>
    <s v="26-02-2021"/>
    <s v="CUST1088"/>
    <x v="2"/>
    <x v="3"/>
    <x v="1"/>
    <s v="Deepak"/>
    <n v="797"/>
    <n v="50"/>
    <n v="0"/>
    <x v="0"/>
    <n v="59"/>
    <x v="0"/>
    <n v="1"/>
    <n v="797"/>
    <x v="282"/>
    <x v="2"/>
    <n v="2"/>
  </r>
  <r>
    <s v="ORD1354"/>
    <s v="10-03-2021"/>
    <s v="CUST1071"/>
    <x v="0"/>
    <x v="12"/>
    <x v="3"/>
    <s v="Manoj"/>
    <n v="795"/>
    <n v="20"/>
    <n v="100"/>
    <x v="0"/>
    <n v="57"/>
    <x v="0"/>
    <n v="1"/>
    <n v="695"/>
    <x v="267"/>
    <x v="0"/>
    <n v="3"/>
  </r>
  <r>
    <s v="ORD1355"/>
    <s v="14-01-2021"/>
    <s v="CUST758"/>
    <x v="2"/>
    <x v="6"/>
    <x v="2"/>
    <s v="Karan"/>
    <n v="568"/>
    <n v="30"/>
    <n v="100"/>
    <x v="0"/>
    <n v="45"/>
    <x v="0"/>
    <n v="1"/>
    <n v="468"/>
    <x v="283"/>
    <x v="1"/>
    <n v="1"/>
  </r>
  <r>
    <s v="ORD1356"/>
    <s v="03-02-2021"/>
    <s v="CUST737"/>
    <x v="1"/>
    <x v="2"/>
    <x v="1"/>
    <s v="Imran"/>
    <n v="516"/>
    <n v="50"/>
    <n v="20"/>
    <x v="0"/>
    <n v="55"/>
    <x v="0"/>
    <n v="1"/>
    <n v="496"/>
    <x v="284"/>
    <x v="2"/>
    <n v="2"/>
  </r>
  <r>
    <s v="ORD1357"/>
    <s v="10-02-2021"/>
    <s v="CUST644"/>
    <x v="1"/>
    <x v="2"/>
    <x v="1"/>
    <s v="Deepak"/>
    <n v="452"/>
    <n v="20"/>
    <n v="20"/>
    <x v="0"/>
    <n v="24"/>
    <x v="0"/>
    <n v="1"/>
    <n v="432"/>
    <x v="285"/>
    <x v="2"/>
    <n v="2"/>
  </r>
  <r>
    <s v="ORD1358"/>
    <s v="08-01-2021"/>
    <s v="CUST554"/>
    <x v="4"/>
    <x v="5"/>
    <x v="3"/>
    <s v="Suresh"/>
    <n v="383"/>
    <n v="50"/>
    <n v="20"/>
    <x v="1"/>
    <n v="22"/>
    <x v="0"/>
    <n v="1"/>
    <n v="363"/>
    <x v="286"/>
    <x v="1"/>
    <n v="1"/>
  </r>
  <r>
    <s v="ORD1359"/>
    <s v="06-02-2021"/>
    <s v="CUST879"/>
    <x v="0"/>
    <x v="10"/>
    <x v="0"/>
    <s v="Amit"/>
    <n v="150"/>
    <n v="30"/>
    <n v="100"/>
    <x v="2"/>
    <n v="21"/>
    <x v="0"/>
    <n v="1"/>
    <n v="50"/>
    <x v="287"/>
    <x v="2"/>
    <n v="2"/>
  </r>
  <r>
    <s v="ORD1360"/>
    <s v="01-02-2021"/>
    <s v="CUST859"/>
    <x v="2"/>
    <x v="6"/>
    <x v="2"/>
    <s v="Manoj"/>
    <n v="758"/>
    <n v="50"/>
    <n v="30"/>
    <x v="1"/>
    <n v="32"/>
    <x v="0"/>
    <n v="1"/>
    <n v="728"/>
    <x v="288"/>
    <x v="2"/>
    <n v="2"/>
  </r>
  <r>
    <s v="ORD1361"/>
    <s v="08-02-2021"/>
    <s v="CUST793"/>
    <x v="4"/>
    <x v="9"/>
    <x v="4"/>
    <s v="Vikas"/>
    <n v="628"/>
    <n v="20"/>
    <n v="30"/>
    <x v="2"/>
    <n v="59"/>
    <x v="0"/>
    <n v="1"/>
    <n v="598"/>
    <x v="289"/>
    <x v="2"/>
    <n v="2"/>
  </r>
  <r>
    <s v="ORD1362"/>
    <s v="31-03-2021"/>
    <s v="CUST553"/>
    <x v="3"/>
    <x v="4"/>
    <x v="2"/>
    <s v="Karan"/>
    <n v="409"/>
    <n v="20"/>
    <n v="50"/>
    <x v="0"/>
    <n v="39"/>
    <x v="0"/>
    <n v="1"/>
    <n v="359"/>
    <x v="281"/>
    <x v="0"/>
    <n v="3"/>
  </r>
  <r>
    <s v="ORD1363"/>
    <s v="24-01-2021"/>
    <s v="CUST604"/>
    <x v="3"/>
    <x v="4"/>
    <x v="2"/>
    <s v="Vikas"/>
    <n v="159"/>
    <n v="20"/>
    <n v="30"/>
    <x v="2"/>
    <n v="57"/>
    <x v="0"/>
    <n v="1"/>
    <n v="129"/>
    <x v="70"/>
    <x v="1"/>
    <n v="1"/>
  </r>
  <r>
    <s v="ORD1364"/>
    <s v="20-01-2021"/>
    <s v="CUST728"/>
    <x v="2"/>
    <x v="11"/>
    <x v="0"/>
    <s v="Deepak"/>
    <n v="176"/>
    <n v="50"/>
    <n v="30"/>
    <x v="2"/>
    <n v="60"/>
    <x v="0"/>
    <n v="1"/>
    <n v="146"/>
    <x v="290"/>
    <x v="1"/>
    <n v="1"/>
  </r>
  <r>
    <s v="ORD1365"/>
    <s v="14-01-2021"/>
    <s v="CUST703"/>
    <x v="2"/>
    <x v="3"/>
    <x v="1"/>
    <s v="Amit"/>
    <n v="204"/>
    <n v="20"/>
    <n v="50"/>
    <x v="0"/>
    <n v="32"/>
    <x v="0"/>
    <n v="1"/>
    <n v="154"/>
    <x v="291"/>
    <x v="1"/>
    <n v="1"/>
  </r>
  <r>
    <s v="ORD1366"/>
    <s v="14-02-2021"/>
    <s v="CUST556"/>
    <x v="0"/>
    <x v="10"/>
    <x v="0"/>
    <s v="Karan"/>
    <n v="559"/>
    <n v="20"/>
    <n v="100"/>
    <x v="0"/>
    <n v="37"/>
    <x v="0"/>
    <n v="1"/>
    <n v="459"/>
    <x v="292"/>
    <x v="2"/>
    <n v="2"/>
  </r>
  <r>
    <s v="ORD1367"/>
    <s v="12-01-2021"/>
    <s v="CUST555"/>
    <x v="3"/>
    <x v="13"/>
    <x v="1"/>
    <s v="Rohit"/>
    <n v="368"/>
    <n v="20"/>
    <n v="20"/>
    <x v="2"/>
    <n v="36"/>
    <x v="1"/>
    <n v="1"/>
    <n v="348"/>
    <x v="163"/>
    <x v="1"/>
    <n v="1"/>
  </r>
  <r>
    <s v="ORD1368"/>
    <s v="24-03-2021"/>
    <s v="CUST774"/>
    <x v="3"/>
    <x v="4"/>
    <x v="2"/>
    <s v="Rohit"/>
    <n v="262"/>
    <n v="40"/>
    <n v="100"/>
    <x v="2"/>
    <n v="41"/>
    <x v="0"/>
    <n v="1"/>
    <n v="162"/>
    <x v="103"/>
    <x v="0"/>
    <n v="3"/>
  </r>
  <r>
    <s v="ORD1369"/>
    <s v="25-02-2021"/>
    <s v="CUST726"/>
    <x v="3"/>
    <x v="7"/>
    <x v="0"/>
    <s v="Rohit"/>
    <n v="693"/>
    <n v="50"/>
    <n v="0"/>
    <x v="1"/>
    <n v="41"/>
    <x v="0"/>
    <n v="1"/>
    <n v="693"/>
    <x v="293"/>
    <x v="2"/>
    <n v="2"/>
  </r>
  <r>
    <s v="ORD1370"/>
    <s v="13-02-2021"/>
    <s v="CUST560"/>
    <x v="2"/>
    <x v="6"/>
    <x v="2"/>
    <s v="Amit"/>
    <n v="472"/>
    <n v="50"/>
    <n v="100"/>
    <x v="0"/>
    <n v="27"/>
    <x v="0"/>
    <n v="1"/>
    <n v="372"/>
    <x v="294"/>
    <x v="2"/>
    <n v="2"/>
  </r>
  <r>
    <s v="ORD1371"/>
    <s v="05-01-2021"/>
    <s v="CUST651"/>
    <x v="0"/>
    <x v="12"/>
    <x v="3"/>
    <s v="Rohit"/>
    <n v="559"/>
    <n v="30"/>
    <n v="30"/>
    <x v="2"/>
    <n v="49"/>
    <x v="0"/>
    <n v="1"/>
    <n v="529"/>
    <x v="7"/>
    <x v="1"/>
    <n v="1"/>
  </r>
  <r>
    <s v="ORD1372"/>
    <s v="22-03-2021"/>
    <s v="CUST934"/>
    <x v="1"/>
    <x v="1"/>
    <x v="1"/>
    <s v="Karan"/>
    <n v="752"/>
    <n v="30"/>
    <n v="30"/>
    <x v="1"/>
    <n v="40"/>
    <x v="0"/>
    <n v="1"/>
    <n v="722"/>
    <x v="295"/>
    <x v="0"/>
    <n v="3"/>
  </r>
  <r>
    <s v="ORD1373"/>
    <s v="21-02-2021"/>
    <s v="CUST997"/>
    <x v="4"/>
    <x v="5"/>
    <x v="3"/>
    <s v="Rohit"/>
    <n v="767"/>
    <n v="40"/>
    <n v="0"/>
    <x v="2"/>
    <n v="56"/>
    <x v="0"/>
    <n v="1"/>
    <n v="767"/>
    <x v="52"/>
    <x v="2"/>
    <n v="2"/>
  </r>
  <r>
    <s v="ORD1374"/>
    <s v="09-03-2021"/>
    <s v="CUST828"/>
    <x v="0"/>
    <x v="12"/>
    <x v="3"/>
    <s v="Rahul"/>
    <n v="383"/>
    <n v="30"/>
    <n v="20"/>
    <x v="2"/>
    <n v="46"/>
    <x v="0"/>
    <n v="1"/>
    <n v="363"/>
    <x v="296"/>
    <x v="0"/>
    <n v="3"/>
  </r>
  <r>
    <s v="ORD1375"/>
    <s v="11-03-2021"/>
    <s v="CUST901"/>
    <x v="3"/>
    <x v="4"/>
    <x v="2"/>
    <s v="Suresh"/>
    <n v="790"/>
    <n v="20"/>
    <n v="0"/>
    <x v="2"/>
    <n v="33"/>
    <x v="0"/>
    <n v="1"/>
    <n v="790"/>
    <x v="297"/>
    <x v="0"/>
    <n v="3"/>
  </r>
  <r>
    <s v="ORD1376"/>
    <s v="15-01-2021"/>
    <s v="CUST660"/>
    <x v="3"/>
    <x v="4"/>
    <x v="2"/>
    <s v="Arjun"/>
    <n v="655"/>
    <n v="50"/>
    <n v="0"/>
    <x v="0"/>
    <n v="59"/>
    <x v="0"/>
    <n v="1"/>
    <n v="655"/>
    <x v="142"/>
    <x v="1"/>
    <n v="1"/>
  </r>
  <r>
    <s v="ORD1377"/>
    <s v="03-03-2021"/>
    <s v="CUST662"/>
    <x v="2"/>
    <x v="3"/>
    <x v="1"/>
    <s v="Karan"/>
    <n v="312"/>
    <n v="20"/>
    <n v="0"/>
    <x v="2"/>
    <n v="38"/>
    <x v="0"/>
    <n v="1"/>
    <n v="312"/>
    <x v="298"/>
    <x v="0"/>
    <n v="3"/>
  </r>
  <r>
    <s v="ORD1378"/>
    <s v="03-02-2021"/>
    <s v="CUST501"/>
    <x v="2"/>
    <x v="3"/>
    <x v="1"/>
    <s v="Suresh"/>
    <n v="554"/>
    <n v="30"/>
    <n v="0"/>
    <x v="1"/>
    <n v="58"/>
    <x v="0"/>
    <n v="1"/>
    <n v="554"/>
    <x v="299"/>
    <x v="2"/>
    <n v="2"/>
  </r>
  <r>
    <s v="ORD1379"/>
    <s v="11-02-2021"/>
    <s v="CUST1072"/>
    <x v="0"/>
    <x v="10"/>
    <x v="0"/>
    <s v="Deepak"/>
    <n v="602"/>
    <n v="20"/>
    <n v="30"/>
    <x v="0"/>
    <n v="45"/>
    <x v="0"/>
    <n v="1"/>
    <n v="572"/>
    <x v="300"/>
    <x v="2"/>
    <n v="2"/>
  </r>
  <r>
    <s v="ORD1380"/>
    <s v="11-02-2021"/>
    <s v="CUST870"/>
    <x v="1"/>
    <x v="1"/>
    <x v="1"/>
    <s v="Suresh"/>
    <n v="494"/>
    <n v="30"/>
    <n v="0"/>
    <x v="2"/>
    <n v="50"/>
    <x v="0"/>
    <n v="1"/>
    <n v="494"/>
    <x v="301"/>
    <x v="2"/>
    <n v="2"/>
  </r>
  <r>
    <s v="ORD1381"/>
    <s v="01-03-2021"/>
    <s v="CUST1036"/>
    <x v="3"/>
    <x v="4"/>
    <x v="2"/>
    <s v="Deepak"/>
    <n v="382"/>
    <n v="20"/>
    <n v="20"/>
    <x v="2"/>
    <n v="34"/>
    <x v="0"/>
    <n v="1"/>
    <n v="362"/>
    <x v="302"/>
    <x v="0"/>
    <n v="3"/>
  </r>
  <r>
    <s v="ORD1382"/>
    <s v="09-01-2021"/>
    <s v="CUST597"/>
    <x v="3"/>
    <x v="7"/>
    <x v="0"/>
    <s v="Vikas"/>
    <n v="648"/>
    <n v="40"/>
    <n v="0"/>
    <x v="1"/>
    <n v="29"/>
    <x v="0"/>
    <n v="1"/>
    <n v="648"/>
    <x v="277"/>
    <x v="1"/>
    <n v="1"/>
  </r>
  <r>
    <s v="ORD1383"/>
    <s v="11-01-2021"/>
    <s v="CUST992"/>
    <x v="2"/>
    <x v="11"/>
    <x v="0"/>
    <s v="Rohit"/>
    <n v="786"/>
    <n v="40"/>
    <n v="0"/>
    <x v="2"/>
    <n v="31"/>
    <x v="0"/>
    <n v="1"/>
    <n v="786"/>
    <x v="303"/>
    <x v="1"/>
    <n v="1"/>
  </r>
  <r>
    <s v="ORD1384"/>
    <s v="05-02-2021"/>
    <s v="CUST574"/>
    <x v="1"/>
    <x v="1"/>
    <x v="1"/>
    <s v="Rohit"/>
    <n v="749"/>
    <n v="50"/>
    <n v="30"/>
    <x v="0"/>
    <n v="56"/>
    <x v="0"/>
    <n v="1"/>
    <n v="719"/>
    <x v="126"/>
    <x v="2"/>
    <n v="2"/>
  </r>
  <r>
    <s v="ORD1385"/>
    <s v="08-03-2021"/>
    <s v="CUST689"/>
    <x v="3"/>
    <x v="4"/>
    <x v="2"/>
    <s v="Rahul"/>
    <n v="501"/>
    <n v="40"/>
    <n v="30"/>
    <x v="0"/>
    <n v="32"/>
    <x v="0"/>
    <n v="1"/>
    <n v="471"/>
    <x v="0"/>
    <x v="0"/>
    <n v="3"/>
  </r>
  <r>
    <s v="ORD1386"/>
    <s v="26-01-2021"/>
    <s v="CUST877"/>
    <x v="3"/>
    <x v="7"/>
    <x v="0"/>
    <s v="Rohit"/>
    <n v="524"/>
    <n v="30"/>
    <n v="100"/>
    <x v="2"/>
    <n v="23"/>
    <x v="0"/>
    <n v="1"/>
    <n v="424"/>
    <x v="304"/>
    <x v="1"/>
    <n v="1"/>
  </r>
  <r>
    <s v="ORD1387"/>
    <s v="08-02-2021"/>
    <s v="CUST816"/>
    <x v="1"/>
    <x v="8"/>
    <x v="2"/>
    <s v="Deepak"/>
    <n v="749"/>
    <n v="50"/>
    <n v="100"/>
    <x v="0"/>
    <n v="58"/>
    <x v="0"/>
    <n v="1"/>
    <n v="649"/>
    <x v="245"/>
    <x v="2"/>
    <n v="2"/>
  </r>
  <r>
    <s v="ORD1388"/>
    <s v="25-03-2021"/>
    <s v="CUST931"/>
    <x v="1"/>
    <x v="8"/>
    <x v="2"/>
    <s v="Manoj"/>
    <n v="643"/>
    <n v="30"/>
    <n v="0"/>
    <x v="1"/>
    <n v="29"/>
    <x v="0"/>
    <n v="1"/>
    <n v="643"/>
    <x v="305"/>
    <x v="0"/>
    <n v="3"/>
  </r>
  <r>
    <s v="ORD1389"/>
    <s v="11-01-2021"/>
    <s v="CUST544"/>
    <x v="4"/>
    <x v="9"/>
    <x v="4"/>
    <s v="Rahul"/>
    <n v="765"/>
    <n v="50"/>
    <n v="20"/>
    <x v="2"/>
    <n v="55"/>
    <x v="0"/>
    <n v="1"/>
    <n v="745"/>
    <x v="306"/>
    <x v="1"/>
    <n v="1"/>
  </r>
  <r>
    <s v="ORD1390"/>
    <s v="11-02-2021"/>
    <s v="CUST858"/>
    <x v="2"/>
    <x v="3"/>
    <x v="1"/>
    <s v="Karan"/>
    <n v="575"/>
    <n v="50"/>
    <n v="100"/>
    <x v="1"/>
    <n v="53"/>
    <x v="0"/>
    <n v="1"/>
    <n v="475"/>
    <x v="307"/>
    <x v="2"/>
    <n v="2"/>
  </r>
  <r>
    <s v="ORD1391"/>
    <s v="27-01-2021"/>
    <s v="CUST1063"/>
    <x v="0"/>
    <x v="12"/>
    <x v="3"/>
    <s v="Vikas"/>
    <n v="789"/>
    <n v="50"/>
    <n v="100"/>
    <x v="0"/>
    <n v="36"/>
    <x v="0"/>
    <n v="1"/>
    <n v="689"/>
    <x v="92"/>
    <x v="1"/>
    <n v="1"/>
  </r>
  <r>
    <s v="ORD1392"/>
    <s v="26-03-2021"/>
    <s v="CUST601"/>
    <x v="0"/>
    <x v="12"/>
    <x v="3"/>
    <s v="Suresh"/>
    <n v="490"/>
    <n v="30"/>
    <n v="20"/>
    <x v="1"/>
    <n v="60"/>
    <x v="0"/>
    <n v="1"/>
    <n v="470"/>
    <x v="308"/>
    <x v="0"/>
    <n v="3"/>
  </r>
  <r>
    <s v="ORD1393"/>
    <s v="21-01-2021"/>
    <s v="CUST857"/>
    <x v="4"/>
    <x v="14"/>
    <x v="0"/>
    <s v="Deepak"/>
    <n v="684"/>
    <n v="40"/>
    <n v="50"/>
    <x v="2"/>
    <n v="53"/>
    <x v="0"/>
    <n v="1"/>
    <n v="634"/>
    <x v="309"/>
    <x v="1"/>
    <n v="1"/>
  </r>
  <r>
    <s v="ORD1394"/>
    <s v="08-02-2021"/>
    <s v="CUST613"/>
    <x v="0"/>
    <x v="10"/>
    <x v="0"/>
    <s v="Imran"/>
    <n v="169"/>
    <n v="30"/>
    <n v="30"/>
    <x v="2"/>
    <n v="49"/>
    <x v="0"/>
    <n v="1"/>
    <n v="139"/>
    <x v="310"/>
    <x v="2"/>
    <n v="2"/>
  </r>
  <r>
    <s v="ORD1395"/>
    <s v="01-02-2021"/>
    <s v="CUST1131"/>
    <x v="4"/>
    <x v="14"/>
    <x v="0"/>
    <s v="Arjun"/>
    <n v="560"/>
    <n v="20"/>
    <n v="20"/>
    <x v="2"/>
    <n v="60"/>
    <x v="0"/>
    <n v="1"/>
    <n v="540"/>
    <x v="311"/>
    <x v="2"/>
    <n v="2"/>
  </r>
  <r>
    <s v="ORD1396"/>
    <s v="18-02-2021"/>
    <s v="CUST1053"/>
    <x v="3"/>
    <x v="4"/>
    <x v="2"/>
    <s v="Imran"/>
    <n v="457"/>
    <n v="30"/>
    <n v="100"/>
    <x v="2"/>
    <n v="58"/>
    <x v="0"/>
    <n v="1"/>
    <n v="357"/>
    <x v="221"/>
    <x v="2"/>
    <n v="2"/>
  </r>
  <r>
    <s v="ORD1397"/>
    <s v="11-03-2021"/>
    <s v="CUST505"/>
    <x v="3"/>
    <x v="13"/>
    <x v="1"/>
    <s v="Karan"/>
    <n v="374"/>
    <n v="20"/>
    <n v="0"/>
    <x v="2"/>
    <n v="47"/>
    <x v="0"/>
    <n v="1"/>
    <n v="374"/>
    <x v="312"/>
    <x v="0"/>
    <n v="3"/>
  </r>
  <r>
    <s v="ORD1398"/>
    <s v="01-02-2021"/>
    <s v="CUST803"/>
    <x v="3"/>
    <x v="4"/>
    <x v="2"/>
    <s v="Imran"/>
    <n v="532"/>
    <n v="40"/>
    <n v="50"/>
    <x v="0"/>
    <n v="55"/>
    <x v="0"/>
    <n v="1"/>
    <n v="482"/>
    <x v="313"/>
    <x v="2"/>
    <n v="2"/>
  </r>
  <r>
    <s v="ORD1399"/>
    <s v="12-02-2021"/>
    <s v="CUST679"/>
    <x v="4"/>
    <x v="5"/>
    <x v="3"/>
    <s v="Vikas"/>
    <n v="333"/>
    <n v="40"/>
    <n v="30"/>
    <x v="2"/>
    <n v="39"/>
    <x v="0"/>
    <n v="1"/>
    <n v="303"/>
    <x v="246"/>
    <x v="2"/>
    <n v="2"/>
  </r>
  <r>
    <s v="ORD1400"/>
    <s v="22-01-2021"/>
    <s v="CUST948"/>
    <x v="3"/>
    <x v="7"/>
    <x v="0"/>
    <s v="Vikas"/>
    <n v="776"/>
    <n v="20"/>
    <n v="50"/>
    <x v="1"/>
    <n v="41"/>
    <x v="0"/>
    <n v="1"/>
    <n v="726"/>
    <x v="35"/>
    <x v="1"/>
    <n v="1"/>
  </r>
  <r>
    <s v="ORD1401"/>
    <s v="29-01-2021"/>
    <s v="CUST1160"/>
    <x v="3"/>
    <x v="7"/>
    <x v="0"/>
    <s v="Karan"/>
    <n v="343"/>
    <n v="30"/>
    <n v="50"/>
    <x v="2"/>
    <n v="21"/>
    <x v="0"/>
    <n v="1"/>
    <n v="293"/>
    <x v="314"/>
    <x v="1"/>
    <n v="1"/>
  </r>
  <r>
    <s v="ORD1402"/>
    <s v="27-01-2021"/>
    <s v="CUST1000"/>
    <x v="0"/>
    <x v="10"/>
    <x v="0"/>
    <s v="Deepak"/>
    <n v="268"/>
    <n v="30"/>
    <n v="0"/>
    <x v="1"/>
    <n v="38"/>
    <x v="0"/>
    <n v="1"/>
    <n v="268"/>
    <x v="315"/>
    <x v="1"/>
    <n v="1"/>
  </r>
  <r>
    <s v="ORD1403"/>
    <s v="01-01-2021"/>
    <s v="CUST816"/>
    <x v="1"/>
    <x v="1"/>
    <x v="1"/>
    <s v="Rahul"/>
    <n v="760"/>
    <n v="50"/>
    <n v="100"/>
    <x v="2"/>
    <n v="56"/>
    <x v="0"/>
    <n v="1"/>
    <n v="660"/>
    <x v="316"/>
    <x v="1"/>
    <n v="1"/>
  </r>
  <r>
    <s v="ORD1404"/>
    <s v="21-01-2021"/>
    <s v="CUST1183"/>
    <x v="4"/>
    <x v="14"/>
    <x v="0"/>
    <s v="Imran"/>
    <n v="541"/>
    <n v="50"/>
    <n v="20"/>
    <x v="2"/>
    <n v="51"/>
    <x v="0"/>
    <n v="1"/>
    <n v="521"/>
    <x v="244"/>
    <x v="1"/>
    <n v="1"/>
  </r>
  <r>
    <s v="ORD1405"/>
    <s v="17-02-2021"/>
    <s v="CUST775"/>
    <x v="3"/>
    <x v="4"/>
    <x v="2"/>
    <s v="Vikas"/>
    <n v="703"/>
    <n v="20"/>
    <n v="20"/>
    <x v="1"/>
    <n v="21"/>
    <x v="0"/>
    <n v="1"/>
    <n v="683"/>
    <x v="317"/>
    <x v="2"/>
    <n v="2"/>
  </r>
  <r>
    <s v="ORD1406"/>
    <s v="09-01-2021"/>
    <s v="CUST1108"/>
    <x v="4"/>
    <x v="9"/>
    <x v="4"/>
    <s v="Karan"/>
    <n v="573"/>
    <n v="30"/>
    <n v="0"/>
    <x v="0"/>
    <n v="57"/>
    <x v="1"/>
    <n v="1"/>
    <n v="573"/>
    <x v="200"/>
    <x v="1"/>
    <n v="1"/>
  </r>
  <r>
    <s v="ORD1407"/>
    <s v="29-03-2021"/>
    <s v="CUST743"/>
    <x v="1"/>
    <x v="1"/>
    <x v="1"/>
    <s v="Arjun"/>
    <n v="447"/>
    <n v="50"/>
    <n v="0"/>
    <x v="0"/>
    <n v="51"/>
    <x v="0"/>
    <n v="1"/>
    <n v="447"/>
    <x v="201"/>
    <x v="0"/>
    <n v="3"/>
  </r>
  <r>
    <s v="ORD1408"/>
    <s v="30-03-2021"/>
    <s v="CUST819"/>
    <x v="3"/>
    <x v="13"/>
    <x v="1"/>
    <s v="Imran"/>
    <n v="770"/>
    <n v="40"/>
    <n v="100"/>
    <x v="1"/>
    <n v="38"/>
    <x v="0"/>
    <n v="1"/>
    <n v="670"/>
    <x v="316"/>
    <x v="0"/>
    <n v="3"/>
  </r>
  <r>
    <s v="ORD1409"/>
    <s v="05-02-2021"/>
    <s v="CUST993"/>
    <x v="3"/>
    <x v="4"/>
    <x v="2"/>
    <s v="Deepak"/>
    <n v="609"/>
    <n v="40"/>
    <n v="100"/>
    <x v="1"/>
    <n v="41"/>
    <x v="0"/>
    <n v="1"/>
    <n v="509"/>
    <x v="185"/>
    <x v="2"/>
    <n v="2"/>
  </r>
  <r>
    <s v="ORD1410"/>
    <s v="08-01-2021"/>
    <s v="CUST582"/>
    <x v="1"/>
    <x v="8"/>
    <x v="2"/>
    <s v="Deepak"/>
    <n v="411"/>
    <n v="40"/>
    <n v="100"/>
    <x v="0"/>
    <n v="32"/>
    <x v="0"/>
    <n v="1"/>
    <n v="311"/>
    <x v="156"/>
    <x v="1"/>
    <n v="1"/>
  </r>
  <r>
    <s v="ORD1411"/>
    <s v="13-03-2021"/>
    <s v="CUST543"/>
    <x v="1"/>
    <x v="8"/>
    <x v="2"/>
    <s v="Arjun"/>
    <n v="313"/>
    <n v="40"/>
    <n v="0"/>
    <x v="2"/>
    <n v="41"/>
    <x v="0"/>
    <n v="1"/>
    <n v="313"/>
    <x v="241"/>
    <x v="0"/>
    <n v="3"/>
  </r>
  <r>
    <s v="ORD1412"/>
    <s v="01-01-2021"/>
    <s v="CUST960"/>
    <x v="3"/>
    <x v="13"/>
    <x v="1"/>
    <s v="Manoj"/>
    <n v="287"/>
    <n v="30"/>
    <n v="50"/>
    <x v="2"/>
    <n v="45"/>
    <x v="0"/>
    <n v="1"/>
    <n v="237"/>
    <x v="318"/>
    <x v="1"/>
    <n v="1"/>
  </r>
  <r>
    <s v="ORD1413"/>
    <s v="17-01-2021"/>
    <s v="CUST585"/>
    <x v="2"/>
    <x v="11"/>
    <x v="0"/>
    <s v="Rahul"/>
    <n v="172"/>
    <n v="20"/>
    <n v="50"/>
    <x v="0"/>
    <n v="50"/>
    <x v="0"/>
    <n v="1"/>
    <n v="122"/>
    <x v="129"/>
    <x v="1"/>
    <n v="1"/>
  </r>
  <r>
    <s v="ORD1414"/>
    <s v="16-03-2021"/>
    <s v="CUST726"/>
    <x v="2"/>
    <x v="6"/>
    <x v="2"/>
    <s v="Imran"/>
    <n v="325"/>
    <n v="30"/>
    <n v="100"/>
    <x v="0"/>
    <n v="31"/>
    <x v="0"/>
    <n v="1"/>
    <n v="225"/>
    <x v="319"/>
    <x v="0"/>
    <n v="3"/>
  </r>
  <r>
    <s v="ORD1415"/>
    <s v="12-02-2021"/>
    <s v="CUST602"/>
    <x v="2"/>
    <x v="6"/>
    <x v="2"/>
    <s v="Vikas"/>
    <n v="214"/>
    <n v="40"/>
    <n v="50"/>
    <x v="2"/>
    <n v="35"/>
    <x v="0"/>
    <n v="1"/>
    <n v="164"/>
    <x v="264"/>
    <x v="2"/>
    <n v="2"/>
  </r>
  <r>
    <s v="ORD1416"/>
    <s v="17-03-2021"/>
    <s v="CUST833"/>
    <x v="2"/>
    <x v="6"/>
    <x v="2"/>
    <s v="Amit"/>
    <n v="589"/>
    <n v="40"/>
    <n v="30"/>
    <x v="0"/>
    <n v="58"/>
    <x v="0"/>
    <n v="1"/>
    <n v="559"/>
    <x v="77"/>
    <x v="0"/>
    <n v="3"/>
  </r>
  <r>
    <s v="ORD1417"/>
    <s v="09-01-2021"/>
    <s v="CUST1140"/>
    <x v="0"/>
    <x v="12"/>
    <x v="3"/>
    <s v="Rahul"/>
    <n v="241"/>
    <n v="20"/>
    <n v="30"/>
    <x v="0"/>
    <n v="32"/>
    <x v="0"/>
    <n v="1"/>
    <n v="211"/>
    <x v="320"/>
    <x v="1"/>
    <n v="1"/>
  </r>
  <r>
    <s v="ORD1418"/>
    <s v="06-01-2021"/>
    <s v="CUST981"/>
    <x v="2"/>
    <x v="11"/>
    <x v="0"/>
    <s v="Suresh"/>
    <n v="744"/>
    <n v="50"/>
    <n v="100"/>
    <x v="1"/>
    <n v="24"/>
    <x v="0"/>
    <n v="1"/>
    <n v="644"/>
    <x v="321"/>
    <x v="1"/>
    <n v="1"/>
  </r>
  <r>
    <s v="ORD1419"/>
    <s v="19-01-2021"/>
    <s v="CUST1158"/>
    <x v="0"/>
    <x v="10"/>
    <x v="0"/>
    <s v="Suresh"/>
    <n v="212"/>
    <n v="50"/>
    <n v="20"/>
    <x v="1"/>
    <n v="28"/>
    <x v="0"/>
    <n v="1"/>
    <n v="192"/>
    <x v="105"/>
    <x v="1"/>
    <n v="1"/>
  </r>
  <r>
    <s v="ORD1420"/>
    <s v="09-02-2021"/>
    <s v="CUST983"/>
    <x v="4"/>
    <x v="9"/>
    <x v="4"/>
    <s v="Imran"/>
    <n v="746"/>
    <n v="40"/>
    <n v="0"/>
    <x v="1"/>
    <n v="57"/>
    <x v="0"/>
    <n v="1"/>
    <n v="746"/>
    <x v="250"/>
    <x v="2"/>
    <n v="2"/>
  </r>
  <r>
    <s v="ORD1421"/>
    <s v="26-01-2021"/>
    <s v="CUST1187"/>
    <x v="1"/>
    <x v="8"/>
    <x v="2"/>
    <s v="Arjun"/>
    <n v="527"/>
    <n v="40"/>
    <n v="50"/>
    <x v="0"/>
    <n v="56"/>
    <x v="0"/>
    <n v="1"/>
    <n v="477"/>
    <x v="322"/>
    <x v="1"/>
    <n v="1"/>
  </r>
  <r>
    <s v="ORD1422"/>
    <s v="16-02-2021"/>
    <s v="CUST648"/>
    <x v="3"/>
    <x v="13"/>
    <x v="1"/>
    <s v="Karan"/>
    <n v="308"/>
    <n v="50"/>
    <n v="50"/>
    <x v="1"/>
    <n v="32"/>
    <x v="0"/>
    <n v="1"/>
    <n v="258"/>
    <x v="323"/>
    <x v="2"/>
    <n v="2"/>
  </r>
  <r>
    <s v="ORD1423"/>
    <s v="18-02-2021"/>
    <s v="CUST834"/>
    <x v="1"/>
    <x v="1"/>
    <x v="1"/>
    <s v="Suresh"/>
    <n v="239"/>
    <n v="20"/>
    <n v="100"/>
    <x v="2"/>
    <n v="37"/>
    <x v="0"/>
    <n v="1"/>
    <n v="139"/>
    <x v="324"/>
    <x v="2"/>
    <n v="2"/>
  </r>
  <r>
    <s v="ORD1424"/>
    <s v="22-02-2021"/>
    <s v="CUST812"/>
    <x v="0"/>
    <x v="12"/>
    <x v="3"/>
    <s v="Deepak"/>
    <n v="502"/>
    <n v="20"/>
    <n v="50"/>
    <x v="0"/>
    <n v="41"/>
    <x v="0"/>
    <n v="1"/>
    <n v="452"/>
    <x v="325"/>
    <x v="2"/>
    <n v="2"/>
  </r>
  <r>
    <s v="ORD1425"/>
    <s v="18-02-2021"/>
    <s v="CUST587"/>
    <x v="2"/>
    <x v="3"/>
    <x v="1"/>
    <s v="Arjun"/>
    <n v="521"/>
    <n v="50"/>
    <n v="100"/>
    <x v="2"/>
    <n v="57"/>
    <x v="0"/>
    <n v="1"/>
    <n v="421"/>
    <x v="326"/>
    <x v="2"/>
    <n v="2"/>
  </r>
  <r>
    <s v="ORD1426"/>
    <s v="18-03-2021"/>
    <s v="CUST1118"/>
    <x v="4"/>
    <x v="14"/>
    <x v="0"/>
    <s v="Rahul"/>
    <n v="317"/>
    <n v="30"/>
    <n v="0"/>
    <x v="2"/>
    <n v="26"/>
    <x v="0"/>
    <n v="1"/>
    <n v="317"/>
    <x v="327"/>
    <x v="0"/>
    <n v="3"/>
  </r>
  <r>
    <s v="ORD1427"/>
    <s v="19-01-2021"/>
    <s v="CUST1155"/>
    <x v="1"/>
    <x v="8"/>
    <x v="2"/>
    <s v="Suresh"/>
    <n v="579"/>
    <n v="20"/>
    <n v="100"/>
    <x v="0"/>
    <n v="51"/>
    <x v="0"/>
    <n v="1"/>
    <n v="479"/>
    <x v="328"/>
    <x v="1"/>
    <n v="1"/>
  </r>
  <r>
    <s v="ORD1428"/>
    <s v="08-02-2021"/>
    <s v="CUST665"/>
    <x v="1"/>
    <x v="8"/>
    <x v="2"/>
    <s v="Rohit"/>
    <n v="388"/>
    <n v="30"/>
    <n v="100"/>
    <x v="1"/>
    <n v="49"/>
    <x v="0"/>
    <n v="1"/>
    <n v="288"/>
    <x v="329"/>
    <x v="2"/>
    <n v="2"/>
  </r>
  <r>
    <s v="ORD1429"/>
    <s v="30-03-2021"/>
    <s v="CUST596"/>
    <x v="3"/>
    <x v="13"/>
    <x v="1"/>
    <s v="Deepak"/>
    <n v="171"/>
    <n v="30"/>
    <n v="0"/>
    <x v="1"/>
    <n v="37"/>
    <x v="0"/>
    <n v="1"/>
    <n v="171"/>
    <x v="330"/>
    <x v="0"/>
    <n v="3"/>
  </r>
  <r>
    <s v="ORD1430"/>
    <s v="12-03-2021"/>
    <s v="CUST821"/>
    <x v="2"/>
    <x v="3"/>
    <x v="1"/>
    <s v="Vikas"/>
    <n v="185"/>
    <n v="30"/>
    <n v="0"/>
    <x v="1"/>
    <n v="36"/>
    <x v="1"/>
    <n v="1"/>
    <n v="185"/>
    <x v="66"/>
    <x v="0"/>
    <n v="3"/>
  </r>
  <r>
    <s v="ORD1431"/>
    <s v="09-03-2021"/>
    <s v="CUST950"/>
    <x v="2"/>
    <x v="6"/>
    <x v="2"/>
    <s v="Manoj"/>
    <n v="451"/>
    <n v="50"/>
    <n v="20"/>
    <x v="2"/>
    <n v="50"/>
    <x v="0"/>
    <n v="1"/>
    <n v="431"/>
    <x v="5"/>
    <x v="0"/>
    <n v="3"/>
  </r>
  <r>
    <s v="ORD1432"/>
    <s v="07-03-2021"/>
    <s v="CUST1144"/>
    <x v="0"/>
    <x v="10"/>
    <x v="0"/>
    <s v="Manoj"/>
    <n v="361"/>
    <n v="40"/>
    <n v="100"/>
    <x v="2"/>
    <n v="48"/>
    <x v="0"/>
    <n v="1"/>
    <n v="261"/>
    <x v="133"/>
    <x v="0"/>
    <n v="3"/>
  </r>
  <r>
    <s v="ORD1433"/>
    <s v="07-03-2021"/>
    <s v="CUST519"/>
    <x v="1"/>
    <x v="2"/>
    <x v="1"/>
    <s v="Rahul"/>
    <n v="283"/>
    <n v="20"/>
    <n v="100"/>
    <x v="2"/>
    <n v="50"/>
    <x v="0"/>
    <n v="1"/>
    <n v="183"/>
    <x v="331"/>
    <x v="0"/>
    <n v="3"/>
  </r>
  <r>
    <s v="ORD1434"/>
    <s v="26-03-2021"/>
    <s v="CUST852"/>
    <x v="1"/>
    <x v="8"/>
    <x v="2"/>
    <s v="Vikas"/>
    <n v="632"/>
    <n v="50"/>
    <n v="50"/>
    <x v="0"/>
    <n v="56"/>
    <x v="0"/>
    <n v="1"/>
    <n v="582"/>
    <x v="332"/>
    <x v="0"/>
    <n v="3"/>
  </r>
  <r>
    <s v="ORD1435"/>
    <s v="24-01-2021"/>
    <s v="CUST864"/>
    <x v="1"/>
    <x v="2"/>
    <x v="1"/>
    <s v="Karan"/>
    <n v="538"/>
    <n v="50"/>
    <n v="20"/>
    <x v="2"/>
    <n v="27"/>
    <x v="0"/>
    <n v="1"/>
    <n v="518"/>
    <x v="333"/>
    <x v="1"/>
    <n v="1"/>
  </r>
  <r>
    <s v="ORD1436"/>
    <s v="17-01-2021"/>
    <s v="CUST1018"/>
    <x v="2"/>
    <x v="6"/>
    <x v="2"/>
    <s v="Vikas"/>
    <n v="591"/>
    <n v="40"/>
    <n v="100"/>
    <x v="0"/>
    <n v="54"/>
    <x v="0"/>
    <n v="1"/>
    <n v="491"/>
    <x v="212"/>
    <x v="1"/>
    <n v="1"/>
  </r>
  <r>
    <s v="ORD1437"/>
    <s v="12-02-2021"/>
    <s v="CUST740"/>
    <x v="4"/>
    <x v="5"/>
    <x v="3"/>
    <s v="Rahul"/>
    <n v="469"/>
    <n v="40"/>
    <n v="20"/>
    <x v="2"/>
    <n v="31"/>
    <x v="0"/>
    <n v="1"/>
    <n v="449"/>
    <x v="334"/>
    <x v="2"/>
    <n v="2"/>
  </r>
  <r>
    <s v="ORD1438"/>
    <s v="05-02-2021"/>
    <s v="CUST674"/>
    <x v="4"/>
    <x v="14"/>
    <x v="0"/>
    <s v="Arjun"/>
    <n v="542"/>
    <n v="40"/>
    <n v="100"/>
    <x v="1"/>
    <n v="31"/>
    <x v="0"/>
    <n v="1"/>
    <n v="442"/>
    <x v="335"/>
    <x v="2"/>
    <n v="2"/>
  </r>
  <r>
    <s v="ORD1439"/>
    <s v="16-03-2021"/>
    <s v="CUST1077"/>
    <x v="0"/>
    <x v="10"/>
    <x v="0"/>
    <s v="Deepak"/>
    <n v="645"/>
    <n v="30"/>
    <n v="50"/>
    <x v="1"/>
    <n v="57"/>
    <x v="0"/>
    <n v="1"/>
    <n v="595"/>
    <x v="336"/>
    <x v="0"/>
    <n v="3"/>
  </r>
  <r>
    <s v="ORD1440"/>
    <s v="05-02-2021"/>
    <s v="CUST873"/>
    <x v="1"/>
    <x v="2"/>
    <x v="1"/>
    <s v="Rohit"/>
    <n v="657"/>
    <n v="20"/>
    <n v="100"/>
    <x v="1"/>
    <n v="48"/>
    <x v="0"/>
    <n v="1"/>
    <n v="557"/>
    <x v="131"/>
    <x v="2"/>
    <n v="2"/>
  </r>
  <r>
    <s v="ORD1441"/>
    <s v="31-03-2021"/>
    <s v="CUST660"/>
    <x v="2"/>
    <x v="11"/>
    <x v="0"/>
    <s v="Karan"/>
    <n v="664"/>
    <n v="50"/>
    <n v="50"/>
    <x v="1"/>
    <n v="24"/>
    <x v="1"/>
    <n v="1"/>
    <n v="614"/>
    <x v="60"/>
    <x v="0"/>
    <n v="3"/>
  </r>
  <r>
    <s v="ORD1442"/>
    <s v="24-01-2021"/>
    <s v="CUST772"/>
    <x v="2"/>
    <x v="11"/>
    <x v="0"/>
    <s v="Rohit"/>
    <n v="719"/>
    <n v="30"/>
    <n v="30"/>
    <x v="0"/>
    <n v="54"/>
    <x v="0"/>
    <n v="1"/>
    <n v="689"/>
    <x v="337"/>
    <x v="1"/>
    <n v="1"/>
  </r>
  <r>
    <s v="ORD1443"/>
    <s v="18-02-2021"/>
    <s v="CUST1132"/>
    <x v="2"/>
    <x v="11"/>
    <x v="0"/>
    <s v="Suresh"/>
    <n v="299"/>
    <n v="50"/>
    <n v="0"/>
    <x v="0"/>
    <n v="46"/>
    <x v="0"/>
    <n v="1"/>
    <n v="299"/>
    <x v="338"/>
    <x v="2"/>
    <n v="2"/>
  </r>
  <r>
    <s v="ORD1444"/>
    <s v="21-03-2021"/>
    <s v="CUST907"/>
    <x v="3"/>
    <x v="4"/>
    <x v="2"/>
    <s v="Vikas"/>
    <n v="160"/>
    <n v="30"/>
    <n v="30"/>
    <x v="0"/>
    <n v="50"/>
    <x v="0"/>
    <n v="1"/>
    <n v="130"/>
    <x v="339"/>
    <x v="0"/>
    <n v="3"/>
  </r>
  <r>
    <s v="ORD1445"/>
    <s v="12-03-2021"/>
    <s v="CUST835"/>
    <x v="0"/>
    <x v="12"/>
    <x v="3"/>
    <s v="Suresh"/>
    <n v="192"/>
    <n v="50"/>
    <n v="20"/>
    <x v="0"/>
    <n v="28"/>
    <x v="0"/>
    <n v="1"/>
    <n v="172"/>
    <x v="340"/>
    <x v="0"/>
    <n v="3"/>
  </r>
  <r>
    <s v="ORD1446"/>
    <s v="26-02-2021"/>
    <s v="CUST1162"/>
    <x v="4"/>
    <x v="9"/>
    <x v="4"/>
    <s v="Arjun"/>
    <n v="697"/>
    <n v="20"/>
    <n v="30"/>
    <x v="2"/>
    <n v="25"/>
    <x v="0"/>
    <n v="1"/>
    <n v="667"/>
    <x v="341"/>
    <x v="2"/>
    <n v="2"/>
  </r>
  <r>
    <s v="ORD1447"/>
    <s v="12-01-2021"/>
    <s v="CUST673"/>
    <x v="4"/>
    <x v="9"/>
    <x v="4"/>
    <s v="Karan"/>
    <n v="315"/>
    <n v="50"/>
    <n v="50"/>
    <x v="1"/>
    <n v="55"/>
    <x v="0"/>
    <n v="1"/>
    <n v="265"/>
    <x v="342"/>
    <x v="1"/>
    <n v="1"/>
  </r>
  <r>
    <s v="ORD1448"/>
    <s v="30-03-2021"/>
    <s v="CUST584"/>
    <x v="0"/>
    <x v="0"/>
    <x v="0"/>
    <s v="Amit"/>
    <n v="325"/>
    <n v="40"/>
    <n v="50"/>
    <x v="1"/>
    <n v="30"/>
    <x v="0"/>
    <n v="1"/>
    <n v="275"/>
    <x v="342"/>
    <x v="0"/>
    <n v="3"/>
  </r>
  <r>
    <s v="ORD1449"/>
    <s v="31-03-2021"/>
    <s v="CUST608"/>
    <x v="1"/>
    <x v="1"/>
    <x v="1"/>
    <s v="Amit"/>
    <n v="545"/>
    <n v="50"/>
    <n v="50"/>
    <x v="2"/>
    <n v="35"/>
    <x v="0"/>
    <n v="1"/>
    <n v="495"/>
    <x v="272"/>
    <x v="0"/>
    <n v="3"/>
  </r>
  <r>
    <s v="ORD1450"/>
    <s v="17-02-2021"/>
    <s v="CUST755"/>
    <x v="1"/>
    <x v="1"/>
    <x v="1"/>
    <s v="Manoj"/>
    <n v="709"/>
    <n v="20"/>
    <n v="100"/>
    <x v="1"/>
    <n v="39"/>
    <x v="0"/>
    <n v="1"/>
    <n v="609"/>
    <x v="343"/>
    <x v="2"/>
    <n v="2"/>
  </r>
  <r>
    <s v="ORD1451"/>
    <s v="12-03-2021"/>
    <s v="CUST1007"/>
    <x v="2"/>
    <x v="3"/>
    <x v="1"/>
    <s v="Rohit"/>
    <n v="558"/>
    <n v="20"/>
    <n v="20"/>
    <x v="2"/>
    <n v="43"/>
    <x v="0"/>
    <n v="1"/>
    <n v="538"/>
    <x v="344"/>
    <x v="0"/>
    <n v="3"/>
  </r>
  <r>
    <s v="ORD1452"/>
    <s v="16-03-2021"/>
    <s v="CUST680"/>
    <x v="2"/>
    <x v="11"/>
    <x v="0"/>
    <s v="Karan"/>
    <n v="312"/>
    <n v="20"/>
    <n v="20"/>
    <x v="2"/>
    <n v="34"/>
    <x v="0"/>
    <n v="1"/>
    <n v="292"/>
    <x v="195"/>
    <x v="0"/>
    <n v="3"/>
  </r>
  <r>
    <s v="ORD1453"/>
    <s v="23-01-2021"/>
    <s v="CUST608"/>
    <x v="4"/>
    <x v="5"/>
    <x v="3"/>
    <s v="Suresh"/>
    <n v="336"/>
    <n v="20"/>
    <n v="50"/>
    <x v="2"/>
    <n v="31"/>
    <x v="0"/>
    <n v="1"/>
    <n v="286"/>
    <x v="345"/>
    <x v="1"/>
    <n v="1"/>
  </r>
  <r>
    <s v="ORD1454"/>
    <s v="05-03-2021"/>
    <s v="CUST1020"/>
    <x v="0"/>
    <x v="12"/>
    <x v="3"/>
    <s v="Rahul"/>
    <n v="353"/>
    <n v="50"/>
    <n v="50"/>
    <x v="0"/>
    <n v="42"/>
    <x v="0"/>
    <n v="1"/>
    <n v="303"/>
    <x v="241"/>
    <x v="0"/>
    <n v="3"/>
  </r>
  <r>
    <s v="ORD1455"/>
    <s v="25-03-2021"/>
    <s v="CUST743"/>
    <x v="1"/>
    <x v="1"/>
    <x v="1"/>
    <s v="Arjun"/>
    <n v="392"/>
    <n v="40"/>
    <n v="100"/>
    <x v="2"/>
    <n v="32"/>
    <x v="0"/>
    <n v="1"/>
    <n v="292"/>
    <x v="298"/>
    <x v="0"/>
    <n v="3"/>
  </r>
  <r>
    <s v="ORD1456"/>
    <s v="16-01-2021"/>
    <s v="CUST540"/>
    <x v="2"/>
    <x v="3"/>
    <x v="1"/>
    <s v="Vikas"/>
    <n v="416"/>
    <n v="30"/>
    <n v="100"/>
    <x v="0"/>
    <n v="42"/>
    <x v="0"/>
    <n v="1"/>
    <n v="316"/>
    <x v="48"/>
    <x v="1"/>
    <n v="1"/>
  </r>
  <r>
    <s v="ORD1457"/>
    <s v="01-03-2021"/>
    <s v="CUST1046"/>
    <x v="3"/>
    <x v="7"/>
    <x v="0"/>
    <s v="Amit"/>
    <n v="293"/>
    <n v="50"/>
    <n v="50"/>
    <x v="0"/>
    <n v="59"/>
    <x v="0"/>
    <n v="1"/>
    <n v="243"/>
    <x v="207"/>
    <x v="0"/>
    <n v="3"/>
  </r>
  <r>
    <s v="ORD1458"/>
    <s v="24-03-2021"/>
    <s v="CUST1013"/>
    <x v="4"/>
    <x v="9"/>
    <x v="4"/>
    <s v="Deepak"/>
    <n v="306"/>
    <n v="20"/>
    <n v="50"/>
    <x v="0"/>
    <n v="51"/>
    <x v="0"/>
    <n v="1"/>
    <n v="256"/>
    <x v="155"/>
    <x v="0"/>
    <n v="3"/>
  </r>
  <r>
    <s v="ORD1459"/>
    <s v="02-02-2021"/>
    <s v="CUST1080"/>
    <x v="4"/>
    <x v="9"/>
    <x v="4"/>
    <s v="Arjun"/>
    <n v="195"/>
    <n v="30"/>
    <n v="30"/>
    <x v="1"/>
    <n v="52"/>
    <x v="0"/>
    <n v="1"/>
    <n v="165"/>
    <x v="346"/>
    <x v="2"/>
    <n v="2"/>
  </r>
  <r>
    <s v="ORD1460"/>
    <s v="18-01-2021"/>
    <s v="CUST1097"/>
    <x v="4"/>
    <x v="9"/>
    <x v="4"/>
    <s v="Deepak"/>
    <n v="286"/>
    <n v="50"/>
    <n v="0"/>
    <x v="1"/>
    <n v="29"/>
    <x v="1"/>
    <n v="1"/>
    <n v="286"/>
    <x v="85"/>
    <x v="1"/>
    <n v="1"/>
  </r>
  <r>
    <s v="ORD1461"/>
    <s v="06-02-2021"/>
    <s v="CUST521"/>
    <x v="3"/>
    <x v="7"/>
    <x v="0"/>
    <s v="Vikas"/>
    <n v="278"/>
    <n v="50"/>
    <n v="50"/>
    <x v="2"/>
    <n v="45"/>
    <x v="1"/>
    <n v="1"/>
    <n v="228"/>
    <x v="347"/>
    <x v="2"/>
    <n v="2"/>
  </r>
  <r>
    <s v="ORD1462"/>
    <s v="04-02-2021"/>
    <s v="CUST519"/>
    <x v="3"/>
    <x v="7"/>
    <x v="0"/>
    <s v="Rahul"/>
    <n v="521"/>
    <n v="40"/>
    <n v="30"/>
    <x v="2"/>
    <n v="31"/>
    <x v="1"/>
    <n v="1"/>
    <n v="491"/>
    <x v="212"/>
    <x v="2"/>
    <n v="2"/>
  </r>
  <r>
    <s v="ORD1463"/>
    <s v="16-02-2021"/>
    <s v="CUST694"/>
    <x v="4"/>
    <x v="9"/>
    <x v="4"/>
    <s v="Manoj"/>
    <n v="573"/>
    <n v="50"/>
    <n v="30"/>
    <x v="2"/>
    <n v="27"/>
    <x v="0"/>
    <n v="1"/>
    <n v="543"/>
    <x v="348"/>
    <x v="2"/>
    <n v="2"/>
  </r>
  <r>
    <s v="ORD1464"/>
    <s v="05-03-2021"/>
    <s v="CUST802"/>
    <x v="4"/>
    <x v="5"/>
    <x v="3"/>
    <s v="Arjun"/>
    <n v="731"/>
    <n v="40"/>
    <n v="100"/>
    <x v="1"/>
    <n v="21"/>
    <x v="1"/>
    <n v="1"/>
    <n v="631"/>
    <x v="349"/>
    <x v="0"/>
    <n v="3"/>
  </r>
  <r>
    <s v="ORD1465"/>
    <s v="16-01-2021"/>
    <s v="CUST1016"/>
    <x v="4"/>
    <x v="9"/>
    <x v="4"/>
    <s v="Rohit"/>
    <n v="491"/>
    <n v="20"/>
    <n v="50"/>
    <x v="2"/>
    <n v="48"/>
    <x v="0"/>
    <n v="1"/>
    <n v="441"/>
    <x v="159"/>
    <x v="1"/>
    <n v="1"/>
  </r>
  <r>
    <s v="ORD1466"/>
    <s v="08-03-2021"/>
    <s v="CUST693"/>
    <x v="2"/>
    <x v="6"/>
    <x v="2"/>
    <s v="Rohit"/>
    <n v="755"/>
    <n v="30"/>
    <n v="0"/>
    <x v="1"/>
    <n v="40"/>
    <x v="0"/>
    <n v="1"/>
    <n v="755"/>
    <x v="350"/>
    <x v="0"/>
    <n v="3"/>
  </r>
  <r>
    <s v="ORD1467"/>
    <s v="12-02-2021"/>
    <s v="CUST717"/>
    <x v="3"/>
    <x v="4"/>
    <x v="2"/>
    <s v="Amit"/>
    <n v="481"/>
    <n v="30"/>
    <n v="50"/>
    <x v="1"/>
    <n v="27"/>
    <x v="0"/>
    <n v="1"/>
    <n v="431"/>
    <x v="159"/>
    <x v="2"/>
    <n v="2"/>
  </r>
  <r>
    <s v="ORD1468"/>
    <s v="03-01-2021"/>
    <s v="CUST1073"/>
    <x v="2"/>
    <x v="11"/>
    <x v="0"/>
    <s v="Rahul"/>
    <n v="743"/>
    <n v="30"/>
    <n v="30"/>
    <x v="2"/>
    <n v="25"/>
    <x v="1"/>
    <n v="1"/>
    <n v="713"/>
    <x v="293"/>
    <x v="1"/>
    <n v="1"/>
  </r>
  <r>
    <s v="ORD1469"/>
    <s v="26-02-2021"/>
    <s v="CUST929"/>
    <x v="0"/>
    <x v="10"/>
    <x v="0"/>
    <s v="Arjun"/>
    <n v="264"/>
    <n v="20"/>
    <n v="30"/>
    <x v="1"/>
    <n v="49"/>
    <x v="0"/>
    <n v="1"/>
    <n v="234"/>
    <x v="123"/>
    <x v="2"/>
    <n v="2"/>
  </r>
  <r>
    <s v="ORD1470"/>
    <s v="19-02-2021"/>
    <s v="CUST959"/>
    <x v="4"/>
    <x v="9"/>
    <x v="4"/>
    <s v="Deepak"/>
    <n v="467"/>
    <n v="50"/>
    <n v="30"/>
    <x v="0"/>
    <n v="31"/>
    <x v="0"/>
    <n v="1"/>
    <n v="437"/>
    <x v="31"/>
    <x v="2"/>
    <n v="2"/>
  </r>
  <r>
    <s v="ORD1471"/>
    <s v="02-03-2021"/>
    <s v="CUST663"/>
    <x v="4"/>
    <x v="5"/>
    <x v="3"/>
    <s v="Imran"/>
    <n v="796"/>
    <n v="20"/>
    <n v="100"/>
    <x v="2"/>
    <n v="32"/>
    <x v="0"/>
    <n v="1"/>
    <n v="696"/>
    <x v="145"/>
    <x v="0"/>
    <n v="3"/>
  </r>
  <r>
    <s v="ORD1472"/>
    <s v="06-01-2021"/>
    <s v="CUST690"/>
    <x v="0"/>
    <x v="0"/>
    <x v="0"/>
    <s v="Vikas"/>
    <n v="406"/>
    <n v="20"/>
    <n v="50"/>
    <x v="0"/>
    <n v="31"/>
    <x v="0"/>
    <n v="1"/>
    <n v="356"/>
    <x v="351"/>
    <x v="1"/>
    <n v="1"/>
  </r>
  <r>
    <s v="ORD1473"/>
    <s v="02-03-2021"/>
    <s v="CUST823"/>
    <x v="3"/>
    <x v="13"/>
    <x v="1"/>
    <s v="Karan"/>
    <n v="385"/>
    <n v="30"/>
    <n v="20"/>
    <x v="1"/>
    <n v="33"/>
    <x v="0"/>
    <n v="1"/>
    <n v="365"/>
    <x v="352"/>
    <x v="0"/>
    <n v="3"/>
  </r>
  <r>
    <s v="ORD1474"/>
    <s v="13-02-2021"/>
    <s v="CUST645"/>
    <x v="1"/>
    <x v="1"/>
    <x v="1"/>
    <s v="Manoj"/>
    <n v="291"/>
    <n v="50"/>
    <n v="100"/>
    <x v="2"/>
    <n v="54"/>
    <x v="0"/>
    <n v="1"/>
    <n v="191"/>
    <x v="220"/>
    <x v="2"/>
    <n v="2"/>
  </r>
  <r>
    <s v="ORD1475"/>
    <s v="07-01-2021"/>
    <s v="CUST927"/>
    <x v="1"/>
    <x v="1"/>
    <x v="1"/>
    <s v="Rohit"/>
    <n v="695"/>
    <n v="30"/>
    <n v="20"/>
    <x v="0"/>
    <n v="24"/>
    <x v="0"/>
    <n v="1"/>
    <n v="675"/>
    <x v="142"/>
    <x v="1"/>
    <n v="1"/>
  </r>
  <r>
    <s v="ORD1476"/>
    <s v="21-03-2021"/>
    <s v="CUST1118"/>
    <x v="4"/>
    <x v="14"/>
    <x v="0"/>
    <s v="Vikas"/>
    <n v="401"/>
    <n v="20"/>
    <n v="100"/>
    <x v="1"/>
    <n v="25"/>
    <x v="0"/>
    <n v="1"/>
    <n v="301"/>
    <x v="353"/>
    <x v="0"/>
    <n v="3"/>
  </r>
  <r>
    <s v="ORD1477"/>
    <s v="16-01-2021"/>
    <s v="CUST662"/>
    <x v="0"/>
    <x v="10"/>
    <x v="0"/>
    <s v="Suresh"/>
    <n v="192"/>
    <n v="50"/>
    <n v="50"/>
    <x v="1"/>
    <n v="42"/>
    <x v="0"/>
    <n v="1"/>
    <n v="142"/>
    <x v="270"/>
    <x v="1"/>
    <n v="1"/>
  </r>
  <r>
    <s v="ORD1478"/>
    <s v="15-01-2021"/>
    <s v="CUST924"/>
    <x v="0"/>
    <x v="0"/>
    <x v="0"/>
    <s v="Deepak"/>
    <n v="610"/>
    <n v="30"/>
    <n v="50"/>
    <x v="1"/>
    <n v="34"/>
    <x v="1"/>
    <n v="1"/>
    <n v="560"/>
    <x v="354"/>
    <x v="1"/>
    <n v="1"/>
  </r>
  <r>
    <s v="ORD1479"/>
    <s v="20-01-2021"/>
    <s v="CUST584"/>
    <x v="2"/>
    <x v="3"/>
    <x v="1"/>
    <s v="Suresh"/>
    <n v="549"/>
    <n v="30"/>
    <n v="0"/>
    <x v="1"/>
    <n v="46"/>
    <x v="0"/>
    <n v="1"/>
    <n v="549"/>
    <x v="355"/>
    <x v="1"/>
    <n v="1"/>
  </r>
  <r>
    <s v="ORD1480"/>
    <s v="09-03-2021"/>
    <s v="CUST931"/>
    <x v="0"/>
    <x v="10"/>
    <x v="0"/>
    <s v="Rahul"/>
    <n v="536"/>
    <n v="30"/>
    <n v="20"/>
    <x v="0"/>
    <n v="51"/>
    <x v="0"/>
    <n v="1"/>
    <n v="516"/>
    <x v="284"/>
    <x v="0"/>
    <n v="3"/>
  </r>
  <r>
    <s v="ORD1481"/>
    <s v="09-03-2021"/>
    <s v="CUST560"/>
    <x v="4"/>
    <x v="9"/>
    <x v="4"/>
    <s v="Deepak"/>
    <n v="649"/>
    <n v="30"/>
    <n v="20"/>
    <x v="0"/>
    <n v="34"/>
    <x v="0"/>
    <n v="1"/>
    <n v="629"/>
    <x v="356"/>
    <x v="0"/>
    <n v="3"/>
  </r>
  <r>
    <s v="ORD1482"/>
    <s v="13-02-2021"/>
    <s v="CUST513"/>
    <x v="1"/>
    <x v="2"/>
    <x v="1"/>
    <s v="Imran"/>
    <n v="657"/>
    <n v="20"/>
    <n v="30"/>
    <x v="1"/>
    <n v="41"/>
    <x v="0"/>
    <n v="1"/>
    <n v="627"/>
    <x v="11"/>
    <x v="2"/>
    <n v="2"/>
  </r>
  <r>
    <s v="ORD1483"/>
    <s v="20-01-2021"/>
    <s v="CUST541"/>
    <x v="3"/>
    <x v="4"/>
    <x v="2"/>
    <s v="Rohit"/>
    <n v="677"/>
    <n v="30"/>
    <n v="0"/>
    <x v="1"/>
    <n v="31"/>
    <x v="1"/>
    <n v="1"/>
    <n v="677"/>
    <x v="357"/>
    <x v="1"/>
    <n v="1"/>
  </r>
  <r>
    <s v="ORD1484"/>
    <s v="08-01-2021"/>
    <s v="CUST693"/>
    <x v="2"/>
    <x v="3"/>
    <x v="1"/>
    <s v="Rahul"/>
    <n v="372"/>
    <n v="50"/>
    <n v="0"/>
    <x v="0"/>
    <n v="55"/>
    <x v="0"/>
    <n v="1"/>
    <n v="372"/>
    <x v="294"/>
    <x v="1"/>
    <n v="1"/>
  </r>
  <r>
    <s v="ORD1485"/>
    <s v="31-03-2021"/>
    <s v="CUST1029"/>
    <x v="2"/>
    <x v="3"/>
    <x v="1"/>
    <s v="Rahul"/>
    <n v="575"/>
    <n v="40"/>
    <n v="50"/>
    <x v="1"/>
    <n v="22"/>
    <x v="0"/>
    <n v="1"/>
    <n v="525"/>
    <x v="255"/>
    <x v="0"/>
    <n v="3"/>
  </r>
  <r>
    <s v="ORD1486"/>
    <s v="06-03-2021"/>
    <s v="CUST1101"/>
    <x v="3"/>
    <x v="13"/>
    <x v="1"/>
    <s v="Karan"/>
    <n v="194"/>
    <n v="40"/>
    <n v="100"/>
    <x v="2"/>
    <n v="45"/>
    <x v="0"/>
    <n v="1"/>
    <n v="94"/>
    <x v="358"/>
    <x v="0"/>
    <n v="3"/>
  </r>
  <r>
    <s v="ORD1487"/>
    <s v="09-01-2021"/>
    <s v="CUST919"/>
    <x v="2"/>
    <x v="3"/>
    <x v="1"/>
    <s v="Deepak"/>
    <n v="676"/>
    <n v="50"/>
    <n v="100"/>
    <x v="0"/>
    <n v="31"/>
    <x v="0"/>
    <n v="1"/>
    <n v="576"/>
    <x v="359"/>
    <x v="1"/>
    <n v="1"/>
  </r>
  <r>
    <s v="ORD1488"/>
    <s v="17-01-2021"/>
    <s v="CUST883"/>
    <x v="2"/>
    <x v="11"/>
    <x v="0"/>
    <s v="Imran"/>
    <n v="373"/>
    <n v="50"/>
    <n v="30"/>
    <x v="2"/>
    <n v="36"/>
    <x v="1"/>
    <n v="1"/>
    <n v="343"/>
    <x v="296"/>
    <x v="1"/>
    <n v="1"/>
  </r>
  <r>
    <s v="ORD1489"/>
    <s v="17-02-2021"/>
    <s v="CUST1025"/>
    <x v="0"/>
    <x v="10"/>
    <x v="0"/>
    <s v="Deepak"/>
    <n v="164"/>
    <n v="20"/>
    <n v="0"/>
    <x v="1"/>
    <n v="47"/>
    <x v="0"/>
    <n v="1"/>
    <n v="164"/>
    <x v="276"/>
    <x v="2"/>
    <n v="2"/>
  </r>
  <r>
    <s v="ORD1490"/>
    <s v="18-01-2021"/>
    <s v="CUST1112"/>
    <x v="1"/>
    <x v="8"/>
    <x v="2"/>
    <s v="Suresh"/>
    <n v="489"/>
    <n v="30"/>
    <n v="100"/>
    <x v="2"/>
    <n v="43"/>
    <x v="0"/>
    <n v="1"/>
    <n v="389"/>
    <x v="91"/>
    <x v="1"/>
    <n v="1"/>
  </r>
  <r>
    <s v="ORD1491"/>
    <s v="29-01-2021"/>
    <s v="CUST530"/>
    <x v="1"/>
    <x v="1"/>
    <x v="1"/>
    <s v="Deepak"/>
    <n v="295"/>
    <n v="50"/>
    <n v="100"/>
    <x v="0"/>
    <n v="26"/>
    <x v="0"/>
    <n v="1"/>
    <n v="195"/>
    <x v="360"/>
    <x v="1"/>
    <n v="1"/>
  </r>
  <r>
    <s v="ORD1492"/>
    <s v="05-03-2021"/>
    <s v="CUST653"/>
    <x v="4"/>
    <x v="9"/>
    <x v="4"/>
    <s v="Rahul"/>
    <n v="298"/>
    <n v="40"/>
    <n v="0"/>
    <x v="2"/>
    <n v="31"/>
    <x v="0"/>
    <n v="1"/>
    <n v="298"/>
    <x v="361"/>
    <x v="0"/>
    <n v="3"/>
  </r>
  <r>
    <s v="ORD1493"/>
    <s v="19-01-2021"/>
    <s v="CUST947"/>
    <x v="1"/>
    <x v="2"/>
    <x v="1"/>
    <s v="Imran"/>
    <n v="685"/>
    <n v="30"/>
    <n v="100"/>
    <x v="0"/>
    <n v="28"/>
    <x v="0"/>
    <n v="1"/>
    <n v="585"/>
    <x v="362"/>
    <x v="1"/>
    <n v="1"/>
  </r>
  <r>
    <s v="ORD1494"/>
    <s v="18-03-2021"/>
    <s v="CUST1190"/>
    <x v="1"/>
    <x v="8"/>
    <x v="2"/>
    <s v="Manoj"/>
    <n v="533"/>
    <n v="20"/>
    <n v="20"/>
    <x v="2"/>
    <n v="36"/>
    <x v="0"/>
    <n v="1"/>
    <n v="513"/>
    <x v="363"/>
    <x v="0"/>
    <n v="3"/>
  </r>
  <r>
    <s v="ORD1495"/>
    <s v="09-01-2021"/>
    <s v="CUST759"/>
    <x v="1"/>
    <x v="2"/>
    <x v="1"/>
    <s v="Amit"/>
    <n v="217"/>
    <n v="20"/>
    <n v="50"/>
    <x v="2"/>
    <n v="55"/>
    <x v="0"/>
    <n v="1"/>
    <n v="167"/>
    <x v="97"/>
    <x v="1"/>
    <n v="1"/>
  </r>
  <r>
    <s v="ORD1496"/>
    <s v="20-02-2021"/>
    <s v="CUST607"/>
    <x v="3"/>
    <x v="7"/>
    <x v="0"/>
    <s v="Manoj"/>
    <n v="254"/>
    <n v="50"/>
    <n v="30"/>
    <x v="2"/>
    <n v="45"/>
    <x v="0"/>
    <n v="1"/>
    <n v="224"/>
    <x v="364"/>
    <x v="2"/>
    <n v="2"/>
  </r>
  <r>
    <s v="ORD1497"/>
    <s v="29-01-2021"/>
    <s v="CUST554"/>
    <x v="3"/>
    <x v="4"/>
    <x v="2"/>
    <s v="Imran"/>
    <n v="744"/>
    <n v="50"/>
    <n v="100"/>
    <x v="0"/>
    <n v="56"/>
    <x v="0"/>
    <n v="1"/>
    <n v="644"/>
    <x v="321"/>
    <x v="1"/>
    <n v="1"/>
  </r>
  <r>
    <s v="ORD1498"/>
    <s v="13-03-2021"/>
    <s v="CUST927"/>
    <x v="4"/>
    <x v="14"/>
    <x v="0"/>
    <s v="Suresh"/>
    <n v="329"/>
    <n v="50"/>
    <n v="50"/>
    <x v="1"/>
    <n v="57"/>
    <x v="0"/>
    <n v="1"/>
    <n v="279"/>
    <x v="365"/>
    <x v="0"/>
    <n v="3"/>
  </r>
  <r>
    <s v="ORD1499"/>
    <s v="31-01-2021"/>
    <s v="CUST510"/>
    <x v="1"/>
    <x v="8"/>
    <x v="2"/>
    <s v="Rahul"/>
    <n v="666"/>
    <n v="30"/>
    <n v="20"/>
    <x v="0"/>
    <n v="42"/>
    <x v="0"/>
    <n v="1"/>
    <n v="646"/>
    <x v="366"/>
    <x v="1"/>
    <n v="1"/>
  </r>
  <r>
    <s v="ORD1500"/>
    <s v="05-02-2021"/>
    <s v="CUST1187"/>
    <x v="0"/>
    <x v="0"/>
    <x v="0"/>
    <s v="Karan"/>
    <n v="646"/>
    <n v="30"/>
    <n v="20"/>
    <x v="0"/>
    <n v="29"/>
    <x v="0"/>
    <n v="1"/>
    <n v="626"/>
    <x v="367"/>
    <x v="2"/>
    <n v="2"/>
  </r>
  <r>
    <s v="ORD1501"/>
    <s v="27-01-2021"/>
    <s v="CUST745"/>
    <x v="0"/>
    <x v="10"/>
    <x v="0"/>
    <s v="Rohit"/>
    <n v="595"/>
    <n v="30"/>
    <n v="50"/>
    <x v="1"/>
    <n v="22"/>
    <x v="0"/>
    <n v="1"/>
    <n v="545"/>
    <x v="368"/>
    <x v="1"/>
    <n v="1"/>
  </r>
  <r>
    <s v="ORD1502"/>
    <s v="19-02-2021"/>
    <s v="CUST676"/>
    <x v="2"/>
    <x v="3"/>
    <x v="1"/>
    <s v="Imran"/>
    <n v="258"/>
    <n v="50"/>
    <n v="20"/>
    <x v="1"/>
    <n v="31"/>
    <x v="0"/>
    <n v="1"/>
    <n v="238"/>
    <x v="369"/>
    <x v="2"/>
    <n v="2"/>
  </r>
  <r>
    <s v="ORD1503"/>
    <s v="24-03-2021"/>
    <s v="CUST1098"/>
    <x v="0"/>
    <x v="10"/>
    <x v="0"/>
    <s v="Manoj"/>
    <n v="669"/>
    <n v="30"/>
    <n v="30"/>
    <x v="0"/>
    <n v="41"/>
    <x v="0"/>
    <n v="1"/>
    <n v="639"/>
    <x v="257"/>
    <x v="0"/>
    <n v="3"/>
  </r>
  <r>
    <s v="ORD1504"/>
    <s v="23-03-2021"/>
    <s v="CUST1051"/>
    <x v="0"/>
    <x v="12"/>
    <x v="3"/>
    <s v="Imran"/>
    <n v="308"/>
    <n v="20"/>
    <n v="30"/>
    <x v="1"/>
    <n v="50"/>
    <x v="0"/>
    <n v="1"/>
    <n v="278"/>
    <x v="315"/>
    <x v="0"/>
    <n v="3"/>
  </r>
  <r>
    <s v="ORD1505"/>
    <s v="13-03-2021"/>
    <s v="CUST615"/>
    <x v="2"/>
    <x v="6"/>
    <x v="2"/>
    <s v="Vikas"/>
    <n v="745"/>
    <n v="30"/>
    <n v="50"/>
    <x v="2"/>
    <n v="57"/>
    <x v="0"/>
    <n v="1"/>
    <n v="695"/>
    <x v="248"/>
    <x v="0"/>
    <n v="3"/>
  </r>
  <r>
    <s v="ORD1506"/>
    <s v="11-03-2021"/>
    <s v="CUST640"/>
    <x v="2"/>
    <x v="6"/>
    <x v="2"/>
    <s v="Manoj"/>
    <n v="262"/>
    <n v="40"/>
    <n v="30"/>
    <x v="1"/>
    <n v="26"/>
    <x v="0"/>
    <n v="1"/>
    <n v="232"/>
    <x v="82"/>
    <x v="0"/>
    <n v="3"/>
  </r>
  <r>
    <s v="ORD1507"/>
    <s v="12-02-2021"/>
    <s v="CUST529"/>
    <x v="4"/>
    <x v="9"/>
    <x v="4"/>
    <s v="Amit"/>
    <n v="346"/>
    <n v="20"/>
    <n v="50"/>
    <x v="2"/>
    <n v="50"/>
    <x v="0"/>
    <n v="1"/>
    <n v="296"/>
    <x v="98"/>
    <x v="2"/>
    <n v="2"/>
  </r>
  <r>
    <s v="ORD1508"/>
    <s v="15-02-2021"/>
    <s v="CUST1033"/>
    <x v="1"/>
    <x v="1"/>
    <x v="1"/>
    <s v="Imran"/>
    <n v="465"/>
    <n v="50"/>
    <n v="0"/>
    <x v="0"/>
    <n v="44"/>
    <x v="0"/>
    <n v="1"/>
    <n v="465"/>
    <x v="144"/>
    <x v="2"/>
    <n v="2"/>
  </r>
  <r>
    <s v="ORD1509"/>
    <s v="30-03-2021"/>
    <s v="CUST839"/>
    <x v="3"/>
    <x v="4"/>
    <x v="2"/>
    <s v="Vikas"/>
    <n v="634"/>
    <n v="20"/>
    <n v="20"/>
    <x v="2"/>
    <n v="49"/>
    <x v="0"/>
    <n v="1"/>
    <n v="614"/>
    <x v="278"/>
    <x v="0"/>
    <n v="3"/>
  </r>
  <r>
    <s v="ORD1510"/>
    <s v="27-03-2021"/>
    <s v="CUST1058"/>
    <x v="3"/>
    <x v="4"/>
    <x v="2"/>
    <s v="Deepak"/>
    <n v="625"/>
    <n v="30"/>
    <n v="50"/>
    <x v="0"/>
    <n v="24"/>
    <x v="0"/>
    <n v="1"/>
    <n v="575"/>
    <x v="90"/>
    <x v="0"/>
    <n v="3"/>
  </r>
  <r>
    <s v="ORD1511"/>
    <s v="04-01-2021"/>
    <s v="CUST1086"/>
    <x v="2"/>
    <x v="11"/>
    <x v="0"/>
    <s v="Vikas"/>
    <n v="768"/>
    <n v="40"/>
    <n v="20"/>
    <x v="0"/>
    <n v="40"/>
    <x v="0"/>
    <n v="1"/>
    <n v="748"/>
    <x v="370"/>
    <x v="1"/>
    <n v="1"/>
  </r>
  <r>
    <s v="ORD1512"/>
    <s v="19-02-2021"/>
    <s v="CUST788"/>
    <x v="2"/>
    <x v="6"/>
    <x v="2"/>
    <s v="Amit"/>
    <n v="339"/>
    <n v="40"/>
    <n v="50"/>
    <x v="2"/>
    <n v="34"/>
    <x v="0"/>
    <n v="1"/>
    <n v="289"/>
    <x v="365"/>
    <x v="2"/>
    <n v="2"/>
  </r>
  <r>
    <s v="ORD1513"/>
    <s v="17-03-2021"/>
    <s v="CUST1129"/>
    <x v="2"/>
    <x v="6"/>
    <x v="2"/>
    <s v="Karan"/>
    <n v="154"/>
    <n v="20"/>
    <n v="100"/>
    <x v="2"/>
    <n v="21"/>
    <x v="0"/>
    <n v="1"/>
    <n v="54"/>
    <x v="371"/>
    <x v="0"/>
    <n v="3"/>
  </r>
  <r>
    <s v="ORD1514"/>
    <s v="12-02-2021"/>
    <s v="CUST615"/>
    <x v="1"/>
    <x v="8"/>
    <x v="2"/>
    <s v="Amit"/>
    <n v="671"/>
    <n v="50"/>
    <n v="0"/>
    <x v="2"/>
    <n v="44"/>
    <x v="0"/>
    <n v="1"/>
    <n v="671"/>
    <x v="372"/>
    <x v="2"/>
    <n v="2"/>
  </r>
  <r>
    <s v="ORD1515"/>
    <s v="16-02-2021"/>
    <s v="CUST1029"/>
    <x v="2"/>
    <x v="11"/>
    <x v="0"/>
    <s v="Rohit"/>
    <n v="752"/>
    <n v="30"/>
    <n v="30"/>
    <x v="0"/>
    <n v="58"/>
    <x v="0"/>
    <n v="1"/>
    <n v="722"/>
    <x v="295"/>
    <x v="2"/>
    <n v="2"/>
  </r>
  <r>
    <s v="ORD1516"/>
    <s v="05-02-2021"/>
    <s v="CUST1079"/>
    <x v="3"/>
    <x v="7"/>
    <x v="0"/>
    <s v="Deepak"/>
    <n v="531"/>
    <n v="40"/>
    <n v="20"/>
    <x v="0"/>
    <n v="45"/>
    <x v="0"/>
    <n v="1"/>
    <n v="511"/>
    <x v="373"/>
    <x v="2"/>
    <n v="2"/>
  </r>
  <r>
    <s v="ORD1517"/>
    <s v="08-03-2021"/>
    <s v="CUST664"/>
    <x v="3"/>
    <x v="13"/>
    <x v="1"/>
    <s v="Amit"/>
    <n v="419"/>
    <n v="50"/>
    <n v="50"/>
    <x v="2"/>
    <n v="20"/>
    <x v="0"/>
    <n v="1"/>
    <n v="369"/>
    <x v="91"/>
    <x v="0"/>
    <n v="3"/>
  </r>
  <r>
    <s v="ORD1518"/>
    <s v="26-03-2021"/>
    <s v="CUST723"/>
    <x v="1"/>
    <x v="8"/>
    <x v="2"/>
    <s v="Imran"/>
    <n v="697"/>
    <n v="30"/>
    <n v="0"/>
    <x v="2"/>
    <n v="34"/>
    <x v="0"/>
    <n v="1"/>
    <n v="697"/>
    <x v="73"/>
    <x v="0"/>
    <n v="3"/>
  </r>
  <r>
    <s v="ORD1519"/>
    <s v="12-02-2021"/>
    <s v="CUST928"/>
    <x v="1"/>
    <x v="1"/>
    <x v="1"/>
    <s v="Imran"/>
    <n v="443"/>
    <n v="50"/>
    <n v="30"/>
    <x v="1"/>
    <n v="24"/>
    <x v="0"/>
    <n v="1"/>
    <n v="413"/>
    <x v="374"/>
    <x v="2"/>
    <n v="2"/>
  </r>
  <r>
    <s v="ORD1520"/>
    <s v="28-02-2021"/>
    <s v="CUST893"/>
    <x v="0"/>
    <x v="0"/>
    <x v="0"/>
    <s v="Arjun"/>
    <n v="581"/>
    <n v="40"/>
    <n v="100"/>
    <x v="2"/>
    <n v="32"/>
    <x v="0"/>
    <n v="1"/>
    <n v="481"/>
    <x v="166"/>
    <x v="2"/>
    <n v="2"/>
  </r>
  <r>
    <s v="ORD1521"/>
    <s v="02-02-2021"/>
    <s v="CUST1123"/>
    <x v="3"/>
    <x v="7"/>
    <x v="0"/>
    <s v="Rahul"/>
    <n v="538"/>
    <n v="40"/>
    <n v="50"/>
    <x v="1"/>
    <n v="40"/>
    <x v="0"/>
    <n v="1"/>
    <n v="488"/>
    <x v="375"/>
    <x v="2"/>
    <n v="2"/>
  </r>
  <r>
    <s v="ORD1522"/>
    <s v="12-01-2021"/>
    <s v="CUST754"/>
    <x v="3"/>
    <x v="4"/>
    <x v="2"/>
    <s v="Amit"/>
    <n v="156"/>
    <n v="40"/>
    <n v="20"/>
    <x v="0"/>
    <n v="25"/>
    <x v="0"/>
    <n v="1"/>
    <n v="136"/>
    <x v="235"/>
    <x v="1"/>
    <n v="1"/>
  </r>
  <r>
    <s v="ORD1523"/>
    <s v="06-01-2021"/>
    <s v="CUST928"/>
    <x v="1"/>
    <x v="1"/>
    <x v="1"/>
    <s v="Deepak"/>
    <n v="670"/>
    <n v="40"/>
    <n v="30"/>
    <x v="2"/>
    <n v="58"/>
    <x v="0"/>
    <n v="1"/>
    <n v="640"/>
    <x v="376"/>
    <x v="1"/>
    <n v="1"/>
  </r>
  <r>
    <s v="ORD1524"/>
    <s v="17-03-2021"/>
    <s v="CUST1171"/>
    <x v="4"/>
    <x v="5"/>
    <x v="3"/>
    <s v="Imran"/>
    <n v="402"/>
    <n v="40"/>
    <n v="30"/>
    <x v="0"/>
    <n v="60"/>
    <x v="0"/>
    <n v="1"/>
    <n v="372"/>
    <x v="377"/>
    <x v="0"/>
    <n v="3"/>
  </r>
  <r>
    <s v="ORD1525"/>
    <s v="20-02-2021"/>
    <s v="CUST1160"/>
    <x v="3"/>
    <x v="4"/>
    <x v="2"/>
    <s v="Deepak"/>
    <n v="310"/>
    <n v="30"/>
    <n v="20"/>
    <x v="0"/>
    <n v="23"/>
    <x v="0"/>
    <n v="1"/>
    <n v="290"/>
    <x v="217"/>
    <x v="2"/>
    <n v="2"/>
  </r>
  <r>
    <s v="ORD1526"/>
    <s v="05-03-2021"/>
    <s v="CUST1110"/>
    <x v="4"/>
    <x v="9"/>
    <x v="4"/>
    <s v="Rahul"/>
    <n v="190"/>
    <n v="50"/>
    <n v="0"/>
    <x v="2"/>
    <n v="29"/>
    <x v="0"/>
    <n v="1"/>
    <n v="190"/>
    <x v="378"/>
    <x v="0"/>
    <n v="3"/>
  </r>
  <r>
    <s v="ORD1527"/>
    <s v="24-03-2021"/>
    <s v="CUST713"/>
    <x v="1"/>
    <x v="1"/>
    <x v="1"/>
    <s v="Suresh"/>
    <n v="750"/>
    <n v="20"/>
    <n v="50"/>
    <x v="0"/>
    <n v="22"/>
    <x v="0"/>
    <n v="1"/>
    <n v="700"/>
    <x v="379"/>
    <x v="0"/>
    <n v="3"/>
  </r>
  <r>
    <s v="ORD1528"/>
    <s v="07-02-2021"/>
    <s v="CUST864"/>
    <x v="3"/>
    <x v="4"/>
    <x v="2"/>
    <s v="Rahul"/>
    <n v="649"/>
    <n v="40"/>
    <n v="20"/>
    <x v="1"/>
    <n v="30"/>
    <x v="0"/>
    <n v="1"/>
    <n v="629"/>
    <x v="257"/>
    <x v="2"/>
    <n v="2"/>
  </r>
  <r>
    <s v="ORD1529"/>
    <s v="23-02-2021"/>
    <s v="CUST948"/>
    <x v="1"/>
    <x v="1"/>
    <x v="1"/>
    <s v="Arjun"/>
    <n v="752"/>
    <n v="40"/>
    <n v="50"/>
    <x v="0"/>
    <n v="33"/>
    <x v="0"/>
    <n v="1"/>
    <n v="702"/>
    <x v="380"/>
    <x v="2"/>
    <n v="2"/>
  </r>
  <r>
    <s v="ORD1530"/>
    <s v="29-01-2021"/>
    <s v="CUST1131"/>
    <x v="0"/>
    <x v="12"/>
    <x v="3"/>
    <s v="Vikas"/>
    <n v="700"/>
    <n v="50"/>
    <n v="30"/>
    <x v="1"/>
    <n v="54"/>
    <x v="0"/>
    <n v="1"/>
    <n v="670"/>
    <x v="379"/>
    <x v="1"/>
    <n v="1"/>
  </r>
  <r>
    <s v="ORD1531"/>
    <s v="04-01-2021"/>
    <s v="CUST866"/>
    <x v="2"/>
    <x v="3"/>
    <x v="1"/>
    <s v="Vikas"/>
    <n v="792"/>
    <n v="50"/>
    <n v="20"/>
    <x v="1"/>
    <n v="39"/>
    <x v="0"/>
    <n v="1"/>
    <n v="772"/>
    <x v="381"/>
    <x v="1"/>
    <n v="1"/>
  </r>
  <r>
    <s v="ORD1532"/>
    <s v="18-01-2021"/>
    <s v="CUST559"/>
    <x v="2"/>
    <x v="3"/>
    <x v="1"/>
    <s v="Imran"/>
    <n v="279"/>
    <n v="30"/>
    <n v="0"/>
    <x v="1"/>
    <n v="48"/>
    <x v="0"/>
    <n v="1"/>
    <n v="279"/>
    <x v="382"/>
    <x v="1"/>
    <n v="1"/>
  </r>
  <r>
    <s v="ORD1533"/>
    <s v="14-03-2021"/>
    <s v="CUST927"/>
    <x v="0"/>
    <x v="12"/>
    <x v="3"/>
    <s v="Vikas"/>
    <n v="404"/>
    <n v="20"/>
    <n v="50"/>
    <x v="2"/>
    <n v="59"/>
    <x v="0"/>
    <n v="1"/>
    <n v="354"/>
    <x v="383"/>
    <x v="0"/>
    <n v="3"/>
  </r>
  <r>
    <s v="ORD1534"/>
    <s v="19-01-2021"/>
    <s v="CUST1132"/>
    <x v="1"/>
    <x v="1"/>
    <x v="1"/>
    <s v="Rohit"/>
    <n v="323"/>
    <n v="20"/>
    <n v="100"/>
    <x v="0"/>
    <n v="53"/>
    <x v="0"/>
    <n v="1"/>
    <n v="223"/>
    <x v="19"/>
    <x v="1"/>
    <n v="1"/>
  </r>
  <r>
    <s v="ORD1535"/>
    <s v="25-01-2021"/>
    <s v="CUST1168"/>
    <x v="3"/>
    <x v="4"/>
    <x v="2"/>
    <s v="Rohit"/>
    <n v="675"/>
    <n v="40"/>
    <n v="30"/>
    <x v="0"/>
    <n v="52"/>
    <x v="0"/>
    <n v="1"/>
    <n v="645"/>
    <x v="384"/>
    <x v="1"/>
    <n v="1"/>
  </r>
  <r>
    <s v="ORD1536"/>
    <s v="26-02-2021"/>
    <s v="CUST953"/>
    <x v="1"/>
    <x v="8"/>
    <x v="2"/>
    <s v="Karan"/>
    <n v="515"/>
    <n v="40"/>
    <n v="20"/>
    <x v="2"/>
    <n v="28"/>
    <x v="1"/>
    <n v="1"/>
    <n v="495"/>
    <x v="385"/>
    <x v="2"/>
    <n v="2"/>
  </r>
  <r>
    <s v="ORD1537"/>
    <s v="20-01-2021"/>
    <s v="CUST542"/>
    <x v="4"/>
    <x v="9"/>
    <x v="4"/>
    <s v="Amit"/>
    <n v="603"/>
    <n v="20"/>
    <n v="20"/>
    <x v="2"/>
    <n v="59"/>
    <x v="0"/>
    <n v="1"/>
    <n v="583"/>
    <x v="200"/>
    <x v="1"/>
    <n v="1"/>
  </r>
  <r>
    <s v="ORD1538"/>
    <s v="02-01-2021"/>
    <s v="CUST976"/>
    <x v="1"/>
    <x v="2"/>
    <x v="1"/>
    <s v="Arjun"/>
    <n v="522"/>
    <n v="20"/>
    <n v="30"/>
    <x v="0"/>
    <n v="25"/>
    <x v="0"/>
    <n v="1"/>
    <n v="492"/>
    <x v="2"/>
    <x v="1"/>
    <n v="1"/>
  </r>
  <r>
    <s v="ORD1539"/>
    <s v="26-02-2021"/>
    <s v="CUST502"/>
    <x v="3"/>
    <x v="7"/>
    <x v="0"/>
    <s v="Imran"/>
    <n v="690"/>
    <n v="40"/>
    <n v="20"/>
    <x v="1"/>
    <n v="31"/>
    <x v="0"/>
    <n v="1"/>
    <n v="670"/>
    <x v="316"/>
    <x v="2"/>
    <n v="2"/>
  </r>
  <r>
    <s v="ORD1540"/>
    <s v="26-02-2021"/>
    <s v="CUST1018"/>
    <x v="2"/>
    <x v="3"/>
    <x v="1"/>
    <s v="Arjun"/>
    <n v="695"/>
    <n v="30"/>
    <n v="30"/>
    <x v="2"/>
    <n v="43"/>
    <x v="0"/>
    <n v="1"/>
    <n v="665"/>
    <x v="386"/>
    <x v="2"/>
    <n v="2"/>
  </r>
  <r>
    <s v="ORD1541"/>
    <s v="28-01-2021"/>
    <s v="CUST595"/>
    <x v="1"/>
    <x v="2"/>
    <x v="1"/>
    <s v="Imran"/>
    <n v="669"/>
    <n v="50"/>
    <n v="30"/>
    <x v="2"/>
    <n v="20"/>
    <x v="0"/>
    <n v="1"/>
    <n v="639"/>
    <x v="191"/>
    <x v="1"/>
    <n v="1"/>
  </r>
  <r>
    <s v="ORD1542"/>
    <s v="07-03-2021"/>
    <s v="CUST1106"/>
    <x v="0"/>
    <x v="12"/>
    <x v="3"/>
    <s v="Imran"/>
    <n v="597"/>
    <n v="40"/>
    <n v="20"/>
    <x v="2"/>
    <n v="24"/>
    <x v="0"/>
    <n v="1"/>
    <n v="577"/>
    <x v="387"/>
    <x v="0"/>
    <n v="3"/>
  </r>
  <r>
    <s v="ORD1543"/>
    <s v="18-03-2021"/>
    <s v="CUST733"/>
    <x v="0"/>
    <x v="10"/>
    <x v="0"/>
    <s v="Manoj"/>
    <n v="796"/>
    <n v="30"/>
    <n v="30"/>
    <x v="0"/>
    <n v="45"/>
    <x v="0"/>
    <n v="1"/>
    <n v="766"/>
    <x v="388"/>
    <x v="0"/>
    <n v="3"/>
  </r>
  <r>
    <s v="ORD1544"/>
    <s v="22-01-2021"/>
    <s v="CUST536"/>
    <x v="1"/>
    <x v="8"/>
    <x v="2"/>
    <s v="Karan"/>
    <n v="583"/>
    <n v="30"/>
    <n v="0"/>
    <x v="1"/>
    <n v="21"/>
    <x v="0"/>
    <n v="1"/>
    <n v="583"/>
    <x v="265"/>
    <x v="1"/>
    <n v="1"/>
  </r>
  <r>
    <s v="ORD1545"/>
    <s v="30-01-2021"/>
    <s v="CUST1057"/>
    <x v="3"/>
    <x v="13"/>
    <x v="1"/>
    <s v="Rahul"/>
    <n v="607"/>
    <n v="20"/>
    <n v="20"/>
    <x v="2"/>
    <n v="48"/>
    <x v="0"/>
    <n v="1"/>
    <n v="587"/>
    <x v="389"/>
    <x v="1"/>
    <n v="1"/>
  </r>
  <r>
    <s v="ORD1546"/>
    <s v="06-03-2021"/>
    <s v="CUST837"/>
    <x v="3"/>
    <x v="13"/>
    <x v="1"/>
    <s v="Suresh"/>
    <n v="308"/>
    <n v="20"/>
    <n v="20"/>
    <x v="2"/>
    <n v="25"/>
    <x v="0"/>
    <n v="1"/>
    <n v="288"/>
    <x v="323"/>
    <x v="0"/>
    <n v="3"/>
  </r>
  <r>
    <s v="ORD1547"/>
    <s v="08-01-2021"/>
    <s v="CUST645"/>
    <x v="1"/>
    <x v="2"/>
    <x v="1"/>
    <s v="Suresh"/>
    <n v="421"/>
    <n v="20"/>
    <n v="30"/>
    <x v="0"/>
    <n v="46"/>
    <x v="0"/>
    <n v="1"/>
    <n v="391"/>
    <x v="390"/>
    <x v="1"/>
    <n v="1"/>
  </r>
  <r>
    <s v="ORD1548"/>
    <s v="07-03-2021"/>
    <s v="CUST768"/>
    <x v="3"/>
    <x v="4"/>
    <x v="2"/>
    <s v="Deepak"/>
    <n v="614"/>
    <n v="30"/>
    <n v="20"/>
    <x v="2"/>
    <n v="41"/>
    <x v="0"/>
    <n v="1"/>
    <n v="594"/>
    <x v="76"/>
    <x v="0"/>
    <n v="3"/>
  </r>
  <r>
    <s v="ORD1549"/>
    <s v="07-03-2021"/>
    <s v="CUST939"/>
    <x v="1"/>
    <x v="8"/>
    <x v="2"/>
    <s v="Rahul"/>
    <n v="752"/>
    <n v="50"/>
    <n v="30"/>
    <x v="2"/>
    <n v="25"/>
    <x v="0"/>
    <n v="1"/>
    <n v="722"/>
    <x v="391"/>
    <x v="0"/>
    <n v="3"/>
  </r>
  <r>
    <s v="ORD1550"/>
    <s v="16-03-2021"/>
    <s v="CUST650"/>
    <x v="3"/>
    <x v="7"/>
    <x v="0"/>
    <s v="Manoj"/>
    <n v="555"/>
    <n v="40"/>
    <n v="30"/>
    <x v="1"/>
    <n v="44"/>
    <x v="0"/>
    <n v="1"/>
    <n v="525"/>
    <x v="255"/>
    <x v="0"/>
    <n v="3"/>
  </r>
  <r>
    <s v="ORD1551"/>
    <s v="05-01-2021"/>
    <s v="CUST985"/>
    <x v="1"/>
    <x v="2"/>
    <x v="1"/>
    <s v="Imran"/>
    <n v="471"/>
    <n v="50"/>
    <n v="100"/>
    <x v="0"/>
    <n v="21"/>
    <x v="0"/>
    <n v="1"/>
    <n v="371"/>
    <x v="392"/>
    <x v="1"/>
    <n v="1"/>
  </r>
  <r>
    <s v="ORD1552"/>
    <s v="04-03-2021"/>
    <s v="CUST1012"/>
    <x v="0"/>
    <x v="0"/>
    <x v="0"/>
    <s v="Imran"/>
    <n v="343"/>
    <n v="20"/>
    <n v="0"/>
    <x v="0"/>
    <n v="35"/>
    <x v="0"/>
    <n v="1"/>
    <n v="343"/>
    <x v="393"/>
    <x v="0"/>
    <n v="3"/>
  </r>
  <r>
    <s v="ORD1553"/>
    <s v="03-02-2021"/>
    <s v="CUST1130"/>
    <x v="3"/>
    <x v="13"/>
    <x v="1"/>
    <s v="Karan"/>
    <n v="640"/>
    <n v="20"/>
    <n v="50"/>
    <x v="0"/>
    <n v="38"/>
    <x v="0"/>
    <n v="1"/>
    <n v="590"/>
    <x v="394"/>
    <x v="2"/>
    <n v="2"/>
  </r>
  <r>
    <s v="ORD1554"/>
    <s v="07-03-2021"/>
    <s v="CUST1015"/>
    <x v="2"/>
    <x v="6"/>
    <x v="2"/>
    <s v="Amit"/>
    <n v="347"/>
    <n v="40"/>
    <n v="20"/>
    <x v="0"/>
    <n v="53"/>
    <x v="0"/>
    <n v="1"/>
    <n v="327"/>
    <x v="395"/>
    <x v="0"/>
    <n v="3"/>
  </r>
  <r>
    <s v="ORD1555"/>
    <s v="31-03-2021"/>
    <s v="CUST794"/>
    <x v="3"/>
    <x v="13"/>
    <x v="1"/>
    <s v="Rahul"/>
    <n v="563"/>
    <n v="40"/>
    <n v="0"/>
    <x v="1"/>
    <n v="30"/>
    <x v="0"/>
    <n v="1"/>
    <n v="563"/>
    <x v="200"/>
    <x v="0"/>
    <n v="3"/>
  </r>
  <r>
    <s v="ORD1556"/>
    <s v="14-02-2021"/>
    <s v="CUST1151"/>
    <x v="1"/>
    <x v="8"/>
    <x v="2"/>
    <s v="Rohit"/>
    <n v="558"/>
    <n v="40"/>
    <n v="50"/>
    <x v="2"/>
    <n v="38"/>
    <x v="0"/>
    <n v="1"/>
    <n v="508"/>
    <x v="69"/>
    <x v="2"/>
    <n v="2"/>
  </r>
  <r>
    <s v="ORD1557"/>
    <s v="15-02-2021"/>
    <s v="CUST817"/>
    <x v="0"/>
    <x v="10"/>
    <x v="0"/>
    <s v="Karan"/>
    <n v="300"/>
    <n v="30"/>
    <n v="30"/>
    <x v="1"/>
    <n v="36"/>
    <x v="0"/>
    <n v="1"/>
    <n v="270"/>
    <x v="106"/>
    <x v="2"/>
    <n v="2"/>
  </r>
  <r>
    <s v="ORD1558"/>
    <s v="09-03-2021"/>
    <s v="CUST1042"/>
    <x v="3"/>
    <x v="13"/>
    <x v="1"/>
    <s v="Imran"/>
    <n v="259"/>
    <n v="20"/>
    <n v="0"/>
    <x v="0"/>
    <n v="30"/>
    <x v="0"/>
    <n v="1"/>
    <n v="259"/>
    <x v="396"/>
    <x v="0"/>
    <n v="3"/>
  </r>
  <r>
    <s v="ORD1559"/>
    <s v="14-03-2021"/>
    <s v="CUST1022"/>
    <x v="4"/>
    <x v="14"/>
    <x v="0"/>
    <s v="Amit"/>
    <n v="288"/>
    <n v="30"/>
    <n v="100"/>
    <x v="0"/>
    <n v="25"/>
    <x v="0"/>
    <n v="1"/>
    <n v="188"/>
    <x v="75"/>
    <x v="0"/>
    <n v="3"/>
  </r>
  <r>
    <s v="ORD1560"/>
    <s v="03-02-2021"/>
    <s v="CUST1034"/>
    <x v="0"/>
    <x v="0"/>
    <x v="0"/>
    <s v="Rahul"/>
    <n v="704"/>
    <n v="40"/>
    <n v="0"/>
    <x v="0"/>
    <n v="25"/>
    <x v="0"/>
    <n v="1"/>
    <n v="704"/>
    <x v="188"/>
    <x v="2"/>
    <n v="2"/>
  </r>
  <r>
    <s v="ORD1561"/>
    <s v="26-02-2021"/>
    <s v="CUST677"/>
    <x v="2"/>
    <x v="3"/>
    <x v="1"/>
    <s v="Suresh"/>
    <n v="193"/>
    <n v="50"/>
    <n v="100"/>
    <x v="2"/>
    <n v="45"/>
    <x v="0"/>
    <n v="1"/>
    <n v="93"/>
    <x v="397"/>
    <x v="2"/>
    <n v="2"/>
  </r>
  <r>
    <s v="ORD1562"/>
    <s v="18-03-2021"/>
    <s v="CUST1141"/>
    <x v="3"/>
    <x v="7"/>
    <x v="0"/>
    <s v="Arjun"/>
    <n v="540"/>
    <n v="50"/>
    <n v="100"/>
    <x v="2"/>
    <n v="56"/>
    <x v="0"/>
    <n v="1"/>
    <n v="440"/>
    <x v="243"/>
    <x v="0"/>
    <n v="3"/>
  </r>
  <r>
    <s v="ORD1563"/>
    <s v="28-01-2021"/>
    <s v="CUST598"/>
    <x v="0"/>
    <x v="12"/>
    <x v="3"/>
    <s v="Imran"/>
    <n v="584"/>
    <n v="20"/>
    <n v="0"/>
    <x v="1"/>
    <n v="45"/>
    <x v="0"/>
    <n v="1"/>
    <n v="584"/>
    <x v="398"/>
    <x v="1"/>
    <n v="1"/>
  </r>
  <r>
    <s v="ORD1564"/>
    <s v="23-03-2021"/>
    <s v="CUST925"/>
    <x v="3"/>
    <x v="7"/>
    <x v="0"/>
    <s v="Amit"/>
    <n v="686"/>
    <n v="40"/>
    <n v="50"/>
    <x v="2"/>
    <n v="33"/>
    <x v="0"/>
    <n v="1"/>
    <n v="636"/>
    <x v="366"/>
    <x v="0"/>
    <n v="3"/>
  </r>
  <r>
    <s v="ORD1565"/>
    <s v="10-01-2021"/>
    <s v="CUST909"/>
    <x v="3"/>
    <x v="4"/>
    <x v="2"/>
    <s v="Amit"/>
    <n v="640"/>
    <n v="30"/>
    <n v="30"/>
    <x v="1"/>
    <n v="24"/>
    <x v="0"/>
    <n v="1"/>
    <n v="610"/>
    <x v="399"/>
    <x v="1"/>
    <n v="1"/>
  </r>
  <r>
    <s v="ORD1566"/>
    <s v="02-01-2021"/>
    <s v="CUST1034"/>
    <x v="4"/>
    <x v="5"/>
    <x v="3"/>
    <s v="Karan"/>
    <n v="493"/>
    <n v="40"/>
    <n v="50"/>
    <x v="2"/>
    <n v="44"/>
    <x v="0"/>
    <n v="1"/>
    <n v="443"/>
    <x v="247"/>
    <x v="1"/>
    <n v="1"/>
  </r>
  <r>
    <s v="ORD1567"/>
    <s v="11-03-2021"/>
    <s v="CUST543"/>
    <x v="3"/>
    <x v="7"/>
    <x v="0"/>
    <s v="Suresh"/>
    <n v="615"/>
    <n v="50"/>
    <n v="30"/>
    <x v="1"/>
    <n v="35"/>
    <x v="0"/>
    <n v="1"/>
    <n v="585"/>
    <x v="400"/>
    <x v="0"/>
    <n v="3"/>
  </r>
  <r>
    <s v="ORD1568"/>
    <s v="09-03-2021"/>
    <s v="CUST863"/>
    <x v="0"/>
    <x v="10"/>
    <x v="0"/>
    <s v="Karan"/>
    <n v="724"/>
    <n v="40"/>
    <n v="0"/>
    <x v="1"/>
    <n v="28"/>
    <x v="0"/>
    <n v="1"/>
    <n v="724"/>
    <x v="401"/>
    <x v="0"/>
    <n v="3"/>
  </r>
  <r>
    <s v="ORD1569"/>
    <s v="21-01-2021"/>
    <s v="CUST666"/>
    <x v="0"/>
    <x v="10"/>
    <x v="0"/>
    <s v="Imran"/>
    <n v="792"/>
    <n v="50"/>
    <n v="50"/>
    <x v="0"/>
    <n v="41"/>
    <x v="0"/>
    <n v="1"/>
    <n v="742"/>
    <x v="402"/>
    <x v="1"/>
    <n v="1"/>
  </r>
  <r>
    <s v="ORD1570"/>
    <s v="29-03-2021"/>
    <s v="CUST661"/>
    <x v="4"/>
    <x v="9"/>
    <x v="4"/>
    <s v="Vikas"/>
    <n v="283"/>
    <n v="40"/>
    <n v="100"/>
    <x v="2"/>
    <n v="28"/>
    <x v="0"/>
    <n v="1"/>
    <n v="183"/>
    <x v="403"/>
    <x v="0"/>
    <n v="3"/>
  </r>
  <r>
    <s v="ORD1571"/>
    <s v="06-01-2021"/>
    <s v="CUST851"/>
    <x v="1"/>
    <x v="2"/>
    <x v="1"/>
    <s v="Rahul"/>
    <n v="187"/>
    <n v="50"/>
    <n v="20"/>
    <x v="1"/>
    <n v="23"/>
    <x v="0"/>
    <n v="1"/>
    <n v="167"/>
    <x v="404"/>
    <x v="1"/>
    <n v="1"/>
  </r>
  <r>
    <s v="ORD1572"/>
    <s v="06-01-2021"/>
    <s v="CUST711"/>
    <x v="2"/>
    <x v="3"/>
    <x v="1"/>
    <s v="Rohit"/>
    <n v="707"/>
    <n v="50"/>
    <n v="20"/>
    <x v="1"/>
    <n v="56"/>
    <x v="0"/>
    <n v="1"/>
    <n v="687"/>
    <x v="405"/>
    <x v="1"/>
    <n v="1"/>
  </r>
  <r>
    <s v="ORD1573"/>
    <s v="08-02-2021"/>
    <s v="CUST921"/>
    <x v="3"/>
    <x v="4"/>
    <x v="2"/>
    <s v="Manoj"/>
    <n v="288"/>
    <n v="30"/>
    <n v="20"/>
    <x v="2"/>
    <n v="49"/>
    <x v="0"/>
    <n v="1"/>
    <n v="268"/>
    <x v="315"/>
    <x v="2"/>
    <n v="2"/>
  </r>
  <r>
    <s v="ORD1574"/>
    <s v="12-02-2021"/>
    <s v="CUST896"/>
    <x v="1"/>
    <x v="2"/>
    <x v="1"/>
    <s v="Arjun"/>
    <n v="747"/>
    <n v="30"/>
    <n v="0"/>
    <x v="1"/>
    <n v="25"/>
    <x v="0"/>
    <n v="1"/>
    <n v="747"/>
    <x v="406"/>
    <x v="2"/>
    <n v="2"/>
  </r>
  <r>
    <s v="ORD1575"/>
    <s v="18-02-2021"/>
    <s v="CUST1115"/>
    <x v="3"/>
    <x v="13"/>
    <x v="1"/>
    <s v="Arjun"/>
    <n v="696"/>
    <n v="50"/>
    <n v="20"/>
    <x v="1"/>
    <n v="38"/>
    <x v="0"/>
    <n v="1"/>
    <n v="676"/>
    <x v="223"/>
    <x v="2"/>
    <n v="2"/>
  </r>
  <r>
    <s v="ORD1576"/>
    <s v="21-02-2021"/>
    <s v="CUST674"/>
    <x v="2"/>
    <x v="6"/>
    <x v="2"/>
    <s v="Suresh"/>
    <n v="418"/>
    <n v="40"/>
    <n v="50"/>
    <x v="2"/>
    <n v="48"/>
    <x v="0"/>
    <n v="1"/>
    <n v="368"/>
    <x v="36"/>
    <x v="2"/>
    <n v="2"/>
  </r>
  <r>
    <s v="ORD1577"/>
    <s v="12-02-2021"/>
    <s v="CUST1002"/>
    <x v="4"/>
    <x v="14"/>
    <x v="0"/>
    <s v="Rohit"/>
    <n v="702"/>
    <n v="30"/>
    <n v="30"/>
    <x v="0"/>
    <n v="54"/>
    <x v="0"/>
    <n v="1"/>
    <n v="672"/>
    <x v="32"/>
    <x v="2"/>
    <n v="2"/>
  </r>
  <r>
    <s v="ORD1578"/>
    <s v="15-01-2021"/>
    <s v="CUST1107"/>
    <x v="2"/>
    <x v="11"/>
    <x v="0"/>
    <s v="Manoj"/>
    <n v="510"/>
    <n v="30"/>
    <n v="0"/>
    <x v="1"/>
    <n v="43"/>
    <x v="0"/>
    <n v="1"/>
    <n v="510"/>
    <x v="80"/>
    <x v="1"/>
    <n v="1"/>
  </r>
  <r>
    <s v="ORD1579"/>
    <s v="10-01-2021"/>
    <s v="CUST900"/>
    <x v="4"/>
    <x v="14"/>
    <x v="0"/>
    <s v="Amit"/>
    <n v="389"/>
    <n v="20"/>
    <n v="20"/>
    <x v="1"/>
    <n v="28"/>
    <x v="0"/>
    <n v="1"/>
    <n v="369"/>
    <x v="407"/>
    <x v="1"/>
    <n v="1"/>
  </r>
  <r>
    <s v="ORD1580"/>
    <s v="12-01-2021"/>
    <s v="CUST1100"/>
    <x v="0"/>
    <x v="10"/>
    <x v="0"/>
    <s v="Manoj"/>
    <n v="531"/>
    <n v="30"/>
    <n v="100"/>
    <x v="1"/>
    <n v="55"/>
    <x v="0"/>
    <n v="1"/>
    <n v="431"/>
    <x v="159"/>
    <x v="1"/>
    <n v="1"/>
  </r>
  <r>
    <s v="ORD1581"/>
    <s v="30-03-2021"/>
    <s v="CUST963"/>
    <x v="2"/>
    <x v="3"/>
    <x v="1"/>
    <s v="Karan"/>
    <n v="365"/>
    <n v="40"/>
    <n v="30"/>
    <x v="1"/>
    <n v="56"/>
    <x v="0"/>
    <n v="1"/>
    <n v="335"/>
    <x v="134"/>
    <x v="0"/>
    <n v="3"/>
  </r>
  <r>
    <s v="ORD1582"/>
    <s v="23-03-2021"/>
    <s v="CUST599"/>
    <x v="1"/>
    <x v="8"/>
    <x v="2"/>
    <s v="Arjun"/>
    <n v="590"/>
    <n v="30"/>
    <n v="50"/>
    <x v="0"/>
    <n v="41"/>
    <x v="0"/>
    <n v="1"/>
    <n v="540"/>
    <x v="408"/>
    <x v="0"/>
    <n v="3"/>
  </r>
  <r>
    <s v="ORD1583"/>
    <s v="18-02-2021"/>
    <s v="CUST813"/>
    <x v="2"/>
    <x v="6"/>
    <x v="2"/>
    <s v="Manoj"/>
    <n v="608"/>
    <n v="30"/>
    <n v="20"/>
    <x v="1"/>
    <n v="42"/>
    <x v="0"/>
    <n v="1"/>
    <n v="588"/>
    <x v="289"/>
    <x v="2"/>
    <n v="2"/>
  </r>
  <r>
    <s v="ORD1584"/>
    <s v="23-02-2021"/>
    <s v="CUST1195"/>
    <x v="3"/>
    <x v="13"/>
    <x v="1"/>
    <s v="Arjun"/>
    <n v="207"/>
    <n v="50"/>
    <n v="0"/>
    <x v="0"/>
    <n v="21"/>
    <x v="0"/>
    <n v="1"/>
    <n v="207"/>
    <x v="38"/>
    <x v="2"/>
    <n v="2"/>
  </r>
  <r>
    <s v="ORD1585"/>
    <s v="29-01-2021"/>
    <s v="CUST786"/>
    <x v="1"/>
    <x v="2"/>
    <x v="1"/>
    <s v="Vikas"/>
    <n v="640"/>
    <n v="50"/>
    <n v="100"/>
    <x v="0"/>
    <n v="41"/>
    <x v="0"/>
    <n v="1"/>
    <n v="540"/>
    <x v="354"/>
    <x v="1"/>
    <n v="1"/>
  </r>
  <r>
    <s v="ORD1586"/>
    <s v="05-01-2021"/>
    <s v="CUST723"/>
    <x v="3"/>
    <x v="7"/>
    <x v="0"/>
    <s v="Imran"/>
    <n v="213"/>
    <n v="30"/>
    <n v="20"/>
    <x v="1"/>
    <n v="30"/>
    <x v="0"/>
    <n v="1"/>
    <n v="193"/>
    <x v="403"/>
    <x v="1"/>
    <n v="1"/>
  </r>
  <r>
    <s v="ORD1587"/>
    <s v="29-01-2021"/>
    <s v="CUST1123"/>
    <x v="0"/>
    <x v="0"/>
    <x v="0"/>
    <s v="Arjun"/>
    <n v="243"/>
    <n v="20"/>
    <n v="50"/>
    <x v="0"/>
    <n v="48"/>
    <x v="0"/>
    <n v="1"/>
    <n v="193"/>
    <x v="409"/>
    <x v="1"/>
    <n v="1"/>
  </r>
  <r>
    <s v="ORD1588"/>
    <s v="09-01-2021"/>
    <s v="CUST911"/>
    <x v="1"/>
    <x v="1"/>
    <x v="1"/>
    <s v="Suresh"/>
    <n v="771"/>
    <n v="40"/>
    <n v="50"/>
    <x v="1"/>
    <n v="24"/>
    <x v="0"/>
    <n v="1"/>
    <n v="721"/>
    <x v="86"/>
    <x v="1"/>
    <n v="1"/>
  </r>
  <r>
    <s v="ORD1589"/>
    <s v="20-02-2021"/>
    <s v="CUST951"/>
    <x v="2"/>
    <x v="3"/>
    <x v="1"/>
    <s v="Imran"/>
    <n v="392"/>
    <n v="20"/>
    <n v="20"/>
    <x v="1"/>
    <n v="29"/>
    <x v="0"/>
    <n v="1"/>
    <n v="372"/>
    <x v="242"/>
    <x v="2"/>
    <n v="2"/>
  </r>
  <r>
    <s v="ORD1590"/>
    <s v="05-03-2021"/>
    <s v="CUST520"/>
    <x v="0"/>
    <x v="0"/>
    <x v="0"/>
    <s v="Karan"/>
    <n v="384"/>
    <n v="50"/>
    <n v="0"/>
    <x v="1"/>
    <n v="53"/>
    <x v="0"/>
    <n v="1"/>
    <n v="384"/>
    <x v="410"/>
    <x v="0"/>
    <n v="3"/>
  </r>
  <r>
    <s v="ORD1591"/>
    <s v="18-01-2021"/>
    <s v="CUST534"/>
    <x v="1"/>
    <x v="2"/>
    <x v="1"/>
    <s v="Karan"/>
    <n v="638"/>
    <n v="20"/>
    <n v="20"/>
    <x v="1"/>
    <n v="58"/>
    <x v="0"/>
    <n v="1"/>
    <n v="618"/>
    <x v="171"/>
    <x v="1"/>
    <n v="1"/>
  </r>
  <r>
    <s v="ORD1592"/>
    <s v="23-03-2021"/>
    <s v="CUST1031"/>
    <x v="3"/>
    <x v="4"/>
    <x v="2"/>
    <s v="Deepak"/>
    <n v="340"/>
    <n v="40"/>
    <n v="0"/>
    <x v="1"/>
    <n v="48"/>
    <x v="0"/>
    <n v="1"/>
    <n v="340"/>
    <x v="411"/>
    <x v="0"/>
    <n v="3"/>
  </r>
  <r>
    <s v="ORD1593"/>
    <s v="14-01-2021"/>
    <s v="CUST822"/>
    <x v="1"/>
    <x v="2"/>
    <x v="1"/>
    <s v="Imran"/>
    <n v="453"/>
    <n v="40"/>
    <n v="20"/>
    <x v="2"/>
    <n v="29"/>
    <x v="0"/>
    <n v="1"/>
    <n v="433"/>
    <x v="122"/>
    <x v="1"/>
    <n v="1"/>
  </r>
  <r>
    <s v="ORD1594"/>
    <s v="07-02-2021"/>
    <s v="CUST1165"/>
    <x v="1"/>
    <x v="2"/>
    <x v="1"/>
    <s v="Vikas"/>
    <n v="399"/>
    <n v="40"/>
    <n v="20"/>
    <x v="1"/>
    <n v="28"/>
    <x v="0"/>
    <n v="1"/>
    <n v="379"/>
    <x v="91"/>
    <x v="2"/>
    <n v="2"/>
  </r>
  <r>
    <s v="ORD1595"/>
    <s v="25-03-2021"/>
    <s v="CUST978"/>
    <x v="3"/>
    <x v="4"/>
    <x v="2"/>
    <s v="Karan"/>
    <n v="632"/>
    <n v="40"/>
    <n v="30"/>
    <x v="0"/>
    <n v="48"/>
    <x v="0"/>
    <n v="1"/>
    <n v="602"/>
    <x v="412"/>
    <x v="0"/>
    <n v="3"/>
  </r>
  <r>
    <s v="ORD1596"/>
    <s v="28-03-2021"/>
    <s v="CUST1104"/>
    <x v="0"/>
    <x v="10"/>
    <x v="0"/>
    <s v="Suresh"/>
    <n v="529"/>
    <n v="20"/>
    <n v="100"/>
    <x v="0"/>
    <n v="32"/>
    <x v="0"/>
    <n v="1"/>
    <n v="429"/>
    <x v="6"/>
    <x v="0"/>
    <n v="3"/>
  </r>
  <r>
    <s v="ORD1597"/>
    <s v="24-03-2021"/>
    <s v="CUST951"/>
    <x v="1"/>
    <x v="1"/>
    <x v="1"/>
    <s v="Amit"/>
    <n v="547"/>
    <n v="30"/>
    <n v="100"/>
    <x v="2"/>
    <n v="59"/>
    <x v="0"/>
    <n v="1"/>
    <n v="447"/>
    <x v="413"/>
    <x v="0"/>
    <n v="3"/>
  </r>
  <r>
    <s v="ORD1598"/>
    <s v="25-03-2021"/>
    <s v="CUST1086"/>
    <x v="0"/>
    <x v="10"/>
    <x v="0"/>
    <s v="Amit"/>
    <n v="699"/>
    <n v="20"/>
    <n v="100"/>
    <x v="0"/>
    <n v="25"/>
    <x v="0"/>
    <n v="1"/>
    <n v="599"/>
    <x v="414"/>
    <x v="0"/>
    <n v="3"/>
  </r>
  <r>
    <s v="ORD1599"/>
    <s v="18-03-2021"/>
    <s v="CUST1072"/>
    <x v="4"/>
    <x v="9"/>
    <x v="4"/>
    <s v="Rohit"/>
    <n v="465"/>
    <n v="30"/>
    <n v="100"/>
    <x v="2"/>
    <n v="52"/>
    <x v="0"/>
    <n v="1"/>
    <n v="365"/>
    <x v="352"/>
    <x v="0"/>
    <n v="3"/>
  </r>
  <r>
    <s v="ORD1600"/>
    <s v="09-03-2021"/>
    <s v="CUST996"/>
    <x v="0"/>
    <x v="12"/>
    <x v="3"/>
    <s v="Manoj"/>
    <n v="201"/>
    <n v="50"/>
    <n v="20"/>
    <x v="0"/>
    <n v="23"/>
    <x v="0"/>
    <n v="1"/>
    <n v="181"/>
    <x v="320"/>
    <x v="0"/>
    <n v="3"/>
  </r>
  <r>
    <s v="ORD1601"/>
    <s v="18-02-2021"/>
    <s v="CUST647"/>
    <x v="1"/>
    <x v="1"/>
    <x v="1"/>
    <s v="Arjun"/>
    <n v="181"/>
    <n v="20"/>
    <n v="100"/>
    <x v="1"/>
    <n v="58"/>
    <x v="0"/>
    <n v="1"/>
    <n v="81"/>
    <x v="415"/>
    <x v="2"/>
    <n v="2"/>
  </r>
  <r>
    <s v="ORD1602"/>
    <s v="07-01-2021"/>
    <s v="CUST1092"/>
    <x v="2"/>
    <x v="3"/>
    <x v="1"/>
    <s v="Amit"/>
    <n v="710"/>
    <n v="50"/>
    <n v="0"/>
    <x v="1"/>
    <n v="41"/>
    <x v="0"/>
    <n v="1"/>
    <n v="710"/>
    <x v="41"/>
    <x v="1"/>
    <n v="1"/>
  </r>
  <r>
    <s v="ORD1603"/>
    <s v="16-03-2021"/>
    <s v="CUST1149"/>
    <x v="4"/>
    <x v="14"/>
    <x v="0"/>
    <s v="Rohit"/>
    <n v="739"/>
    <n v="30"/>
    <n v="0"/>
    <x v="2"/>
    <n v="56"/>
    <x v="0"/>
    <n v="1"/>
    <n v="739"/>
    <x v="126"/>
    <x v="0"/>
    <n v="3"/>
  </r>
  <r>
    <s v="ORD1604"/>
    <s v="22-03-2021"/>
    <s v="CUST897"/>
    <x v="2"/>
    <x v="11"/>
    <x v="0"/>
    <s v="Arjun"/>
    <n v="203"/>
    <n v="30"/>
    <n v="0"/>
    <x v="2"/>
    <n v="37"/>
    <x v="0"/>
    <n v="1"/>
    <n v="203"/>
    <x v="63"/>
    <x v="0"/>
    <n v="3"/>
  </r>
  <r>
    <s v="ORD1605"/>
    <s v="12-01-2021"/>
    <s v="CUST809"/>
    <x v="1"/>
    <x v="2"/>
    <x v="1"/>
    <s v="Suresh"/>
    <n v="175"/>
    <n v="30"/>
    <n v="30"/>
    <x v="2"/>
    <n v="56"/>
    <x v="0"/>
    <n v="1"/>
    <n v="145"/>
    <x v="416"/>
    <x v="1"/>
    <n v="1"/>
  </r>
  <r>
    <s v="ORD1606"/>
    <s v="23-01-2021"/>
    <s v="CUST550"/>
    <x v="2"/>
    <x v="11"/>
    <x v="0"/>
    <s v="Suresh"/>
    <n v="563"/>
    <n v="30"/>
    <n v="100"/>
    <x v="2"/>
    <n v="29"/>
    <x v="0"/>
    <n v="1"/>
    <n v="463"/>
    <x v="18"/>
    <x v="1"/>
    <n v="1"/>
  </r>
  <r>
    <s v="ORD1607"/>
    <s v="28-03-2021"/>
    <s v="CUST697"/>
    <x v="3"/>
    <x v="4"/>
    <x v="2"/>
    <s v="Rahul"/>
    <n v="334"/>
    <n v="50"/>
    <n v="20"/>
    <x v="1"/>
    <n v="38"/>
    <x v="0"/>
    <n v="1"/>
    <n v="314"/>
    <x v="95"/>
    <x v="0"/>
    <n v="3"/>
  </r>
  <r>
    <s v="ORD1608"/>
    <s v="10-01-2021"/>
    <s v="CUST793"/>
    <x v="4"/>
    <x v="5"/>
    <x v="3"/>
    <s v="Karan"/>
    <n v="387"/>
    <n v="30"/>
    <n v="100"/>
    <x v="1"/>
    <n v="32"/>
    <x v="0"/>
    <n v="1"/>
    <n v="287"/>
    <x v="258"/>
    <x v="1"/>
    <n v="1"/>
  </r>
  <r>
    <s v="ORD1609"/>
    <s v="27-02-2021"/>
    <s v="CUST974"/>
    <x v="0"/>
    <x v="12"/>
    <x v="3"/>
    <s v="Amit"/>
    <n v="585"/>
    <n v="40"/>
    <n v="30"/>
    <x v="2"/>
    <n v="21"/>
    <x v="1"/>
    <n v="1"/>
    <n v="555"/>
    <x v="260"/>
    <x v="2"/>
    <n v="2"/>
  </r>
  <r>
    <s v="ORD1610"/>
    <s v="01-03-2021"/>
    <s v="CUST1017"/>
    <x v="1"/>
    <x v="8"/>
    <x v="2"/>
    <s v="Imran"/>
    <n v="175"/>
    <n v="20"/>
    <n v="20"/>
    <x v="2"/>
    <n v="51"/>
    <x v="0"/>
    <n v="1"/>
    <n v="155"/>
    <x v="416"/>
    <x v="0"/>
    <n v="3"/>
  </r>
  <r>
    <s v="ORD1611"/>
    <s v="17-02-2021"/>
    <s v="CUST1046"/>
    <x v="0"/>
    <x v="12"/>
    <x v="3"/>
    <s v="Imran"/>
    <n v="557"/>
    <n v="30"/>
    <n v="30"/>
    <x v="0"/>
    <n v="36"/>
    <x v="1"/>
    <n v="1"/>
    <n v="527"/>
    <x v="417"/>
    <x v="2"/>
    <n v="2"/>
  </r>
  <r>
    <s v="ORD1612"/>
    <s v="22-03-2021"/>
    <s v="CUST839"/>
    <x v="1"/>
    <x v="1"/>
    <x v="1"/>
    <s v="Rahul"/>
    <n v="671"/>
    <n v="40"/>
    <n v="20"/>
    <x v="0"/>
    <n v="34"/>
    <x v="0"/>
    <n v="1"/>
    <n v="651"/>
    <x v="418"/>
    <x v="0"/>
    <n v="3"/>
  </r>
  <r>
    <s v="ORD1613"/>
    <s v="06-01-2021"/>
    <s v="CUST512"/>
    <x v="2"/>
    <x v="6"/>
    <x v="2"/>
    <s v="Manoj"/>
    <n v="587"/>
    <n v="30"/>
    <n v="50"/>
    <x v="1"/>
    <n v="32"/>
    <x v="0"/>
    <n v="1"/>
    <n v="537"/>
    <x v="419"/>
    <x v="1"/>
    <n v="1"/>
  </r>
  <r>
    <s v="ORD1614"/>
    <s v="25-01-2021"/>
    <s v="CUST529"/>
    <x v="0"/>
    <x v="0"/>
    <x v="0"/>
    <s v="Amit"/>
    <n v="390"/>
    <n v="50"/>
    <n v="100"/>
    <x v="1"/>
    <n v="49"/>
    <x v="0"/>
    <n v="1"/>
    <n v="290"/>
    <x v="420"/>
    <x v="1"/>
    <n v="1"/>
  </r>
  <r>
    <s v="ORD1615"/>
    <s v="31-01-2021"/>
    <s v="CUST774"/>
    <x v="0"/>
    <x v="0"/>
    <x v="0"/>
    <s v="Suresh"/>
    <n v="671"/>
    <n v="40"/>
    <n v="30"/>
    <x v="1"/>
    <n v="48"/>
    <x v="0"/>
    <n v="1"/>
    <n v="641"/>
    <x v="421"/>
    <x v="1"/>
    <n v="1"/>
  </r>
  <r>
    <s v="ORD1616"/>
    <s v="11-02-2021"/>
    <s v="CUST609"/>
    <x v="3"/>
    <x v="13"/>
    <x v="1"/>
    <s v="Karan"/>
    <n v="684"/>
    <n v="30"/>
    <n v="30"/>
    <x v="1"/>
    <n v="36"/>
    <x v="0"/>
    <n v="1"/>
    <n v="654"/>
    <x v="47"/>
    <x v="2"/>
    <n v="2"/>
  </r>
  <r>
    <s v="ORD1617"/>
    <s v="17-03-2021"/>
    <s v="CUST553"/>
    <x v="1"/>
    <x v="2"/>
    <x v="1"/>
    <s v="Karan"/>
    <n v="273"/>
    <n v="30"/>
    <n v="50"/>
    <x v="1"/>
    <n v="20"/>
    <x v="0"/>
    <n v="1"/>
    <n v="223"/>
    <x v="83"/>
    <x v="0"/>
    <n v="3"/>
  </r>
  <r>
    <s v="ORD1618"/>
    <s v="09-01-2021"/>
    <s v="CUST523"/>
    <x v="3"/>
    <x v="13"/>
    <x v="1"/>
    <s v="Vikas"/>
    <n v="749"/>
    <n v="40"/>
    <n v="30"/>
    <x v="0"/>
    <n v="23"/>
    <x v="1"/>
    <n v="1"/>
    <n v="719"/>
    <x v="422"/>
    <x v="1"/>
    <n v="1"/>
  </r>
  <r>
    <s v="ORD1619"/>
    <s v="17-03-2021"/>
    <s v="CUST833"/>
    <x v="1"/>
    <x v="1"/>
    <x v="1"/>
    <s v="Arjun"/>
    <n v="655"/>
    <n v="40"/>
    <n v="0"/>
    <x v="0"/>
    <n v="30"/>
    <x v="0"/>
    <n v="1"/>
    <n v="655"/>
    <x v="386"/>
    <x v="0"/>
    <n v="3"/>
  </r>
  <r>
    <s v="ORD1620"/>
    <s v="03-02-2021"/>
    <s v="CUST937"/>
    <x v="1"/>
    <x v="2"/>
    <x v="1"/>
    <s v="Vikas"/>
    <n v="656"/>
    <n v="40"/>
    <n v="50"/>
    <x v="2"/>
    <n v="33"/>
    <x v="0"/>
    <n v="1"/>
    <n v="606"/>
    <x v="53"/>
    <x v="2"/>
    <n v="2"/>
  </r>
  <r>
    <s v="ORD1621"/>
    <s v="02-01-2021"/>
    <s v="CUST514"/>
    <x v="2"/>
    <x v="6"/>
    <x v="2"/>
    <s v="Imran"/>
    <n v="189"/>
    <n v="50"/>
    <n v="50"/>
    <x v="1"/>
    <n v="56"/>
    <x v="0"/>
    <n v="1"/>
    <n v="139"/>
    <x v="173"/>
    <x v="1"/>
    <n v="1"/>
  </r>
  <r>
    <s v="ORD1622"/>
    <s v="07-03-2021"/>
    <s v="CUST999"/>
    <x v="2"/>
    <x v="6"/>
    <x v="2"/>
    <s v="Arjun"/>
    <n v="458"/>
    <n v="40"/>
    <n v="0"/>
    <x v="1"/>
    <n v="56"/>
    <x v="0"/>
    <n v="1"/>
    <n v="458"/>
    <x v="283"/>
    <x v="0"/>
    <n v="3"/>
  </r>
  <r>
    <s v="ORD1623"/>
    <s v="20-03-2021"/>
    <s v="CUST547"/>
    <x v="0"/>
    <x v="0"/>
    <x v="0"/>
    <s v="Arjun"/>
    <n v="326"/>
    <n v="20"/>
    <n v="50"/>
    <x v="2"/>
    <n v="59"/>
    <x v="0"/>
    <n v="1"/>
    <n v="276"/>
    <x v="423"/>
    <x v="0"/>
    <n v="3"/>
  </r>
  <r>
    <s v="ORD1624"/>
    <s v="26-01-2021"/>
    <s v="CUST952"/>
    <x v="3"/>
    <x v="7"/>
    <x v="0"/>
    <s v="Karan"/>
    <n v="401"/>
    <n v="40"/>
    <n v="0"/>
    <x v="0"/>
    <n v="51"/>
    <x v="0"/>
    <n v="1"/>
    <n v="401"/>
    <x v="424"/>
    <x v="1"/>
    <n v="1"/>
  </r>
  <r>
    <s v="ORD1625"/>
    <s v="20-01-2021"/>
    <s v="CUST1005"/>
    <x v="4"/>
    <x v="9"/>
    <x v="4"/>
    <s v="Imran"/>
    <n v="603"/>
    <n v="30"/>
    <n v="100"/>
    <x v="1"/>
    <n v="50"/>
    <x v="0"/>
    <n v="1"/>
    <n v="503"/>
    <x v="363"/>
    <x v="1"/>
    <n v="1"/>
  </r>
  <r>
    <s v="ORD1626"/>
    <s v="19-02-2021"/>
    <s v="CUST1190"/>
    <x v="4"/>
    <x v="5"/>
    <x v="3"/>
    <s v="Arjun"/>
    <n v="260"/>
    <n v="20"/>
    <n v="20"/>
    <x v="2"/>
    <n v="29"/>
    <x v="0"/>
    <n v="1"/>
    <n v="240"/>
    <x v="425"/>
    <x v="2"/>
    <n v="2"/>
  </r>
  <r>
    <s v="ORD1627"/>
    <s v="20-01-2021"/>
    <s v="CUST743"/>
    <x v="2"/>
    <x v="11"/>
    <x v="0"/>
    <s v="Suresh"/>
    <n v="622"/>
    <n v="30"/>
    <n v="30"/>
    <x v="1"/>
    <n v="21"/>
    <x v="0"/>
    <n v="1"/>
    <n v="592"/>
    <x v="239"/>
    <x v="1"/>
    <n v="1"/>
  </r>
  <r>
    <s v="ORD1628"/>
    <s v="07-02-2021"/>
    <s v="CUST650"/>
    <x v="0"/>
    <x v="12"/>
    <x v="3"/>
    <s v="Amit"/>
    <n v="710"/>
    <n v="30"/>
    <n v="30"/>
    <x v="1"/>
    <n v="37"/>
    <x v="0"/>
    <n v="1"/>
    <n v="680"/>
    <x v="316"/>
    <x v="2"/>
    <n v="2"/>
  </r>
  <r>
    <s v="ORD1629"/>
    <s v="06-02-2021"/>
    <s v="CUST1041"/>
    <x v="3"/>
    <x v="7"/>
    <x v="0"/>
    <s v="Imran"/>
    <n v="714"/>
    <n v="20"/>
    <n v="0"/>
    <x v="2"/>
    <n v="25"/>
    <x v="0"/>
    <n v="1"/>
    <n v="714"/>
    <x v="426"/>
    <x v="2"/>
    <n v="2"/>
  </r>
  <r>
    <s v="ORD1630"/>
    <s v="12-03-2021"/>
    <s v="CUST509"/>
    <x v="0"/>
    <x v="12"/>
    <x v="3"/>
    <s v="Amit"/>
    <n v="769"/>
    <n v="50"/>
    <n v="0"/>
    <x v="1"/>
    <n v="43"/>
    <x v="0"/>
    <n v="1"/>
    <n v="769"/>
    <x v="427"/>
    <x v="0"/>
    <n v="3"/>
  </r>
  <r>
    <s v="ORD1631"/>
    <s v="16-02-2021"/>
    <s v="CUST1130"/>
    <x v="3"/>
    <x v="13"/>
    <x v="1"/>
    <s v="Amit"/>
    <n v="400"/>
    <n v="40"/>
    <n v="20"/>
    <x v="0"/>
    <n v="37"/>
    <x v="0"/>
    <n v="1"/>
    <n v="380"/>
    <x v="428"/>
    <x v="2"/>
    <n v="2"/>
  </r>
  <r>
    <s v="ORD1632"/>
    <s v="29-03-2021"/>
    <s v="CUST1060"/>
    <x v="4"/>
    <x v="5"/>
    <x v="3"/>
    <s v="Imran"/>
    <n v="641"/>
    <n v="50"/>
    <n v="0"/>
    <x v="2"/>
    <n v="44"/>
    <x v="0"/>
    <n v="1"/>
    <n v="641"/>
    <x v="418"/>
    <x v="0"/>
    <n v="3"/>
  </r>
  <r>
    <s v="ORD1633"/>
    <s v="21-01-2021"/>
    <s v="CUST781"/>
    <x v="2"/>
    <x v="6"/>
    <x v="2"/>
    <s v="Vikas"/>
    <n v="726"/>
    <n v="30"/>
    <n v="30"/>
    <x v="1"/>
    <n v="49"/>
    <x v="0"/>
    <n v="1"/>
    <n v="696"/>
    <x v="223"/>
    <x v="1"/>
    <n v="1"/>
  </r>
  <r>
    <s v="ORD1634"/>
    <s v="25-03-2021"/>
    <s v="CUST793"/>
    <x v="2"/>
    <x v="3"/>
    <x v="1"/>
    <s v="Arjun"/>
    <n v="428"/>
    <n v="20"/>
    <n v="0"/>
    <x v="1"/>
    <n v="55"/>
    <x v="0"/>
    <n v="1"/>
    <n v="428"/>
    <x v="429"/>
    <x v="0"/>
    <n v="3"/>
  </r>
  <r>
    <s v="ORD1635"/>
    <s v="18-03-2021"/>
    <s v="CUST908"/>
    <x v="3"/>
    <x v="7"/>
    <x v="0"/>
    <s v="Vikas"/>
    <n v="445"/>
    <n v="40"/>
    <n v="30"/>
    <x v="2"/>
    <n v="47"/>
    <x v="0"/>
    <n v="1"/>
    <n v="415"/>
    <x v="68"/>
    <x v="0"/>
    <n v="3"/>
  </r>
  <r>
    <s v="ORD1636"/>
    <s v="29-03-2021"/>
    <s v="CUST1079"/>
    <x v="3"/>
    <x v="13"/>
    <x v="1"/>
    <s v="Rohit"/>
    <n v="381"/>
    <n v="40"/>
    <n v="50"/>
    <x v="2"/>
    <n v="33"/>
    <x v="0"/>
    <n v="1"/>
    <n v="331"/>
    <x v="72"/>
    <x v="0"/>
    <n v="3"/>
  </r>
  <r>
    <s v="ORD1637"/>
    <s v="11-03-2021"/>
    <s v="CUST569"/>
    <x v="0"/>
    <x v="0"/>
    <x v="0"/>
    <s v="Suresh"/>
    <n v="237"/>
    <n v="30"/>
    <n v="30"/>
    <x v="1"/>
    <n v="45"/>
    <x v="0"/>
    <n v="1"/>
    <n v="207"/>
    <x v="222"/>
    <x v="0"/>
    <n v="3"/>
  </r>
  <r>
    <s v="ORD1638"/>
    <s v="22-03-2021"/>
    <s v="CUST679"/>
    <x v="3"/>
    <x v="7"/>
    <x v="0"/>
    <s v="Manoj"/>
    <n v="378"/>
    <n v="30"/>
    <n v="0"/>
    <x v="0"/>
    <n v="58"/>
    <x v="0"/>
    <n v="1"/>
    <n v="378"/>
    <x v="36"/>
    <x v="0"/>
    <n v="3"/>
  </r>
  <r>
    <s v="ORD1639"/>
    <s v="18-02-2021"/>
    <s v="CUST1049"/>
    <x v="2"/>
    <x v="11"/>
    <x v="0"/>
    <s v="Vikas"/>
    <n v="688"/>
    <n v="20"/>
    <n v="30"/>
    <x v="1"/>
    <n v="29"/>
    <x v="0"/>
    <n v="1"/>
    <n v="658"/>
    <x v="89"/>
    <x v="2"/>
    <n v="2"/>
  </r>
  <r>
    <s v="ORD1640"/>
    <s v="16-02-2021"/>
    <s v="CUST934"/>
    <x v="1"/>
    <x v="1"/>
    <x v="1"/>
    <s v="Karan"/>
    <n v="220"/>
    <n v="50"/>
    <n v="50"/>
    <x v="0"/>
    <n v="34"/>
    <x v="0"/>
    <n v="1"/>
    <n v="170"/>
    <x v="430"/>
    <x v="2"/>
    <n v="2"/>
  </r>
  <r>
    <s v="ORD1641"/>
    <s v="28-02-2021"/>
    <s v="CUST595"/>
    <x v="4"/>
    <x v="5"/>
    <x v="3"/>
    <s v="Amit"/>
    <n v="718"/>
    <n v="20"/>
    <n v="50"/>
    <x v="0"/>
    <n v="31"/>
    <x v="0"/>
    <n v="1"/>
    <n v="668"/>
    <x v="277"/>
    <x v="2"/>
    <n v="2"/>
  </r>
  <r>
    <s v="ORD1642"/>
    <s v="28-03-2021"/>
    <s v="CUST881"/>
    <x v="2"/>
    <x v="11"/>
    <x v="0"/>
    <s v="Suresh"/>
    <n v="361"/>
    <n v="50"/>
    <n v="0"/>
    <x v="2"/>
    <n v="56"/>
    <x v="0"/>
    <n v="1"/>
    <n v="361"/>
    <x v="390"/>
    <x v="0"/>
    <n v="3"/>
  </r>
  <r>
    <s v="ORD1643"/>
    <s v="18-01-2021"/>
    <s v="CUST727"/>
    <x v="1"/>
    <x v="1"/>
    <x v="1"/>
    <s v="Amit"/>
    <n v="282"/>
    <n v="40"/>
    <n v="50"/>
    <x v="0"/>
    <n v="22"/>
    <x v="0"/>
    <n v="1"/>
    <n v="232"/>
    <x v="82"/>
    <x v="1"/>
    <n v="1"/>
  </r>
  <r>
    <s v="ORD1644"/>
    <s v="26-01-2021"/>
    <s v="CUST1087"/>
    <x v="0"/>
    <x v="0"/>
    <x v="0"/>
    <s v="Rohit"/>
    <n v="723"/>
    <n v="20"/>
    <n v="20"/>
    <x v="0"/>
    <n v="47"/>
    <x v="0"/>
    <n v="1"/>
    <n v="703"/>
    <x v="183"/>
    <x v="1"/>
    <n v="1"/>
  </r>
  <r>
    <s v="ORD1645"/>
    <s v="12-02-2021"/>
    <s v="CUST712"/>
    <x v="1"/>
    <x v="1"/>
    <x v="1"/>
    <s v="Karan"/>
    <n v="611"/>
    <n v="40"/>
    <n v="0"/>
    <x v="1"/>
    <n v="38"/>
    <x v="0"/>
    <n v="1"/>
    <n v="611"/>
    <x v="234"/>
    <x v="2"/>
    <n v="2"/>
  </r>
  <r>
    <s v="ORD1646"/>
    <s v="31-01-2021"/>
    <s v="CUST982"/>
    <x v="1"/>
    <x v="1"/>
    <x v="1"/>
    <s v="Rohit"/>
    <n v="287"/>
    <n v="20"/>
    <n v="50"/>
    <x v="2"/>
    <n v="58"/>
    <x v="0"/>
    <n v="1"/>
    <n v="237"/>
    <x v="38"/>
    <x v="1"/>
    <n v="1"/>
  </r>
  <r>
    <s v="ORD1647"/>
    <s v="06-01-2021"/>
    <s v="CUST799"/>
    <x v="0"/>
    <x v="10"/>
    <x v="0"/>
    <s v="Imran"/>
    <n v="761"/>
    <n v="50"/>
    <n v="50"/>
    <x v="0"/>
    <n v="51"/>
    <x v="0"/>
    <n v="1"/>
    <n v="711"/>
    <x v="86"/>
    <x v="1"/>
    <n v="1"/>
  </r>
  <r>
    <s v="ORD1648"/>
    <s v="08-01-2021"/>
    <s v="CUST561"/>
    <x v="3"/>
    <x v="4"/>
    <x v="2"/>
    <s v="Arjun"/>
    <n v="223"/>
    <n v="40"/>
    <n v="30"/>
    <x v="0"/>
    <n v="26"/>
    <x v="0"/>
    <n v="1"/>
    <n v="193"/>
    <x v="63"/>
    <x v="1"/>
    <n v="1"/>
  </r>
  <r>
    <s v="ORD1649"/>
    <s v="17-01-2021"/>
    <s v="CUST1150"/>
    <x v="2"/>
    <x v="11"/>
    <x v="0"/>
    <s v="Rahul"/>
    <n v="429"/>
    <n v="40"/>
    <n v="100"/>
    <x v="2"/>
    <n v="27"/>
    <x v="0"/>
    <n v="1"/>
    <n v="329"/>
    <x v="65"/>
    <x v="1"/>
    <n v="1"/>
  </r>
  <r>
    <s v="ORD1650"/>
    <s v="15-02-2021"/>
    <s v="CUST576"/>
    <x v="4"/>
    <x v="14"/>
    <x v="0"/>
    <s v="Suresh"/>
    <n v="684"/>
    <n v="50"/>
    <n v="30"/>
    <x v="2"/>
    <n v="58"/>
    <x v="0"/>
    <n v="1"/>
    <n v="654"/>
    <x v="431"/>
    <x v="2"/>
    <n v="2"/>
  </r>
  <r>
    <s v="ORD1651"/>
    <s v="28-02-2021"/>
    <s v="CUST871"/>
    <x v="1"/>
    <x v="8"/>
    <x v="2"/>
    <s v="Karan"/>
    <n v="344"/>
    <n v="30"/>
    <n v="0"/>
    <x v="1"/>
    <n v="36"/>
    <x v="0"/>
    <n v="1"/>
    <n v="344"/>
    <x v="383"/>
    <x v="2"/>
    <n v="2"/>
  </r>
  <r>
    <s v="ORD1652"/>
    <s v="24-03-2021"/>
    <s v="CUST629"/>
    <x v="2"/>
    <x v="6"/>
    <x v="2"/>
    <s v="Karan"/>
    <n v="757"/>
    <n v="40"/>
    <n v="20"/>
    <x v="1"/>
    <n v="29"/>
    <x v="0"/>
    <n v="1"/>
    <n v="737"/>
    <x v="406"/>
    <x v="0"/>
    <n v="3"/>
  </r>
  <r>
    <s v="ORD1653"/>
    <s v="15-02-2021"/>
    <s v="CUST1167"/>
    <x v="0"/>
    <x v="10"/>
    <x v="0"/>
    <s v="Vikas"/>
    <n v="431"/>
    <n v="30"/>
    <n v="0"/>
    <x v="0"/>
    <n v="25"/>
    <x v="0"/>
    <n v="1"/>
    <n v="431"/>
    <x v="159"/>
    <x v="2"/>
    <n v="2"/>
  </r>
  <r>
    <s v="ORD1654"/>
    <s v="09-02-2021"/>
    <s v="CUST839"/>
    <x v="0"/>
    <x v="12"/>
    <x v="3"/>
    <s v="Imran"/>
    <n v="335"/>
    <n v="40"/>
    <n v="20"/>
    <x v="2"/>
    <n v="29"/>
    <x v="1"/>
    <n v="1"/>
    <n v="315"/>
    <x v="432"/>
    <x v="2"/>
    <n v="2"/>
  </r>
  <r>
    <s v="ORD1655"/>
    <s v="04-02-2021"/>
    <s v="CUST657"/>
    <x v="1"/>
    <x v="8"/>
    <x v="2"/>
    <s v="Suresh"/>
    <n v="632"/>
    <n v="40"/>
    <n v="50"/>
    <x v="2"/>
    <n v="50"/>
    <x v="0"/>
    <n v="1"/>
    <n v="582"/>
    <x v="239"/>
    <x v="2"/>
    <n v="2"/>
  </r>
  <r>
    <s v="ORD1656"/>
    <s v="14-02-2021"/>
    <s v="CUST1097"/>
    <x v="3"/>
    <x v="4"/>
    <x v="2"/>
    <s v="Imran"/>
    <n v="743"/>
    <n v="30"/>
    <n v="100"/>
    <x v="1"/>
    <n v="29"/>
    <x v="0"/>
    <n v="1"/>
    <n v="643"/>
    <x v="305"/>
    <x v="2"/>
    <n v="2"/>
  </r>
  <r>
    <s v="ORD1657"/>
    <s v="03-02-2021"/>
    <s v="CUST1186"/>
    <x v="2"/>
    <x v="11"/>
    <x v="0"/>
    <s v="Manoj"/>
    <n v="545"/>
    <n v="50"/>
    <n v="100"/>
    <x v="1"/>
    <n v="37"/>
    <x v="0"/>
    <n v="1"/>
    <n v="445"/>
    <x v="433"/>
    <x v="2"/>
    <n v="2"/>
  </r>
  <r>
    <s v="ORD1658"/>
    <s v="20-01-2021"/>
    <s v="CUST677"/>
    <x v="0"/>
    <x v="0"/>
    <x v="0"/>
    <s v="Deepak"/>
    <n v="683"/>
    <n v="30"/>
    <n v="50"/>
    <x v="1"/>
    <n v="47"/>
    <x v="0"/>
    <n v="1"/>
    <n v="633"/>
    <x v="434"/>
    <x v="1"/>
    <n v="1"/>
  </r>
  <r>
    <s v="ORD1659"/>
    <s v="30-01-2021"/>
    <s v="CUST972"/>
    <x v="4"/>
    <x v="14"/>
    <x v="0"/>
    <s v="Karan"/>
    <n v="782"/>
    <n v="30"/>
    <n v="50"/>
    <x v="0"/>
    <n v="21"/>
    <x v="0"/>
    <n v="1"/>
    <n v="732"/>
    <x v="254"/>
    <x v="1"/>
    <n v="1"/>
  </r>
  <r>
    <s v="ORD1660"/>
    <s v="01-03-2021"/>
    <s v="CUST1012"/>
    <x v="4"/>
    <x v="9"/>
    <x v="4"/>
    <s v="Deepak"/>
    <n v="596"/>
    <n v="30"/>
    <n v="100"/>
    <x v="1"/>
    <n v="44"/>
    <x v="0"/>
    <n v="1"/>
    <n v="496"/>
    <x v="37"/>
    <x v="0"/>
    <n v="3"/>
  </r>
  <r>
    <s v="ORD1661"/>
    <s v="22-01-2021"/>
    <s v="CUST1050"/>
    <x v="0"/>
    <x v="10"/>
    <x v="0"/>
    <s v="Rohit"/>
    <n v="637"/>
    <n v="40"/>
    <n v="30"/>
    <x v="2"/>
    <n v="50"/>
    <x v="0"/>
    <n v="1"/>
    <n v="607"/>
    <x v="11"/>
    <x v="1"/>
    <n v="1"/>
  </r>
  <r>
    <s v="ORD1662"/>
    <s v="31-03-2021"/>
    <s v="CUST1010"/>
    <x v="1"/>
    <x v="8"/>
    <x v="2"/>
    <s v="Suresh"/>
    <n v="683"/>
    <n v="40"/>
    <n v="30"/>
    <x v="0"/>
    <n v="51"/>
    <x v="0"/>
    <n v="1"/>
    <n v="653"/>
    <x v="219"/>
    <x v="0"/>
    <n v="3"/>
  </r>
  <r>
    <s v="ORD1663"/>
    <s v="06-03-2021"/>
    <s v="CUST917"/>
    <x v="3"/>
    <x v="4"/>
    <x v="2"/>
    <s v="Amit"/>
    <n v="169"/>
    <n v="50"/>
    <n v="50"/>
    <x v="1"/>
    <n v="51"/>
    <x v="0"/>
    <n v="1"/>
    <n v="119"/>
    <x v="310"/>
    <x v="0"/>
    <n v="3"/>
  </r>
  <r>
    <s v="ORD1664"/>
    <s v="02-02-2021"/>
    <s v="CUST682"/>
    <x v="4"/>
    <x v="14"/>
    <x v="0"/>
    <s v="Karan"/>
    <n v="731"/>
    <n v="30"/>
    <n v="50"/>
    <x v="0"/>
    <n v="53"/>
    <x v="0"/>
    <n v="1"/>
    <n v="681"/>
    <x v="435"/>
    <x v="2"/>
    <n v="2"/>
  </r>
  <r>
    <s v="ORD1665"/>
    <s v="30-01-2021"/>
    <s v="CUST1125"/>
    <x v="0"/>
    <x v="10"/>
    <x v="0"/>
    <s v="Rohit"/>
    <n v="216"/>
    <n v="30"/>
    <n v="100"/>
    <x v="0"/>
    <n v="49"/>
    <x v="0"/>
    <n v="1"/>
    <n v="116"/>
    <x v="197"/>
    <x v="1"/>
    <n v="1"/>
  </r>
  <r>
    <s v="ORD1666"/>
    <s v="16-01-2021"/>
    <s v="CUST649"/>
    <x v="3"/>
    <x v="13"/>
    <x v="1"/>
    <s v="Suresh"/>
    <n v="504"/>
    <n v="30"/>
    <n v="20"/>
    <x v="1"/>
    <n v="49"/>
    <x v="0"/>
    <n v="1"/>
    <n v="484"/>
    <x v="436"/>
    <x v="1"/>
    <n v="1"/>
  </r>
  <r>
    <s v="ORD1667"/>
    <s v="16-01-2021"/>
    <s v="CUST667"/>
    <x v="3"/>
    <x v="7"/>
    <x v="0"/>
    <s v="Karan"/>
    <n v="735"/>
    <n v="40"/>
    <n v="50"/>
    <x v="0"/>
    <n v="49"/>
    <x v="0"/>
    <n v="1"/>
    <n v="685"/>
    <x v="248"/>
    <x v="1"/>
    <n v="1"/>
  </r>
  <r>
    <s v="ORD1668"/>
    <s v="23-01-2021"/>
    <s v="CUST645"/>
    <x v="0"/>
    <x v="10"/>
    <x v="0"/>
    <s v="Imran"/>
    <n v="627"/>
    <n v="20"/>
    <n v="30"/>
    <x v="0"/>
    <n v="50"/>
    <x v="0"/>
    <n v="1"/>
    <n v="597"/>
    <x v="387"/>
    <x v="1"/>
    <n v="1"/>
  </r>
  <r>
    <s v="ORD1669"/>
    <s v="31-03-2021"/>
    <s v="CUST823"/>
    <x v="3"/>
    <x v="7"/>
    <x v="0"/>
    <s v="Deepak"/>
    <n v="180"/>
    <n v="30"/>
    <n v="50"/>
    <x v="0"/>
    <n v="34"/>
    <x v="0"/>
    <n v="1"/>
    <n v="130"/>
    <x v="339"/>
    <x v="0"/>
    <n v="3"/>
  </r>
  <r>
    <s v="ORD1670"/>
    <s v="25-01-2021"/>
    <s v="CUST1164"/>
    <x v="4"/>
    <x v="9"/>
    <x v="4"/>
    <s v="Vikas"/>
    <n v="329"/>
    <n v="50"/>
    <n v="20"/>
    <x v="2"/>
    <n v="46"/>
    <x v="0"/>
    <n v="1"/>
    <n v="309"/>
    <x v="162"/>
    <x v="1"/>
    <n v="1"/>
  </r>
  <r>
    <s v="ORD1671"/>
    <s v="12-02-2021"/>
    <s v="CUST1183"/>
    <x v="4"/>
    <x v="5"/>
    <x v="3"/>
    <s v="Rohit"/>
    <n v="341"/>
    <n v="40"/>
    <n v="100"/>
    <x v="0"/>
    <n v="29"/>
    <x v="1"/>
    <n v="1"/>
    <n v="241"/>
    <x v="14"/>
    <x v="2"/>
    <n v="2"/>
  </r>
  <r>
    <s v="ORD1672"/>
    <s v="11-02-2021"/>
    <s v="CUST908"/>
    <x v="0"/>
    <x v="0"/>
    <x v="0"/>
    <s v="Suresh"/>
    <n v="784"/>
    <n v="20"/>
    <n v="0"/>
    <x v="2"/>
    <n v="55"/>
    <x v="0"/>
    <n v="1"/>
    <n v="784"/>
    <x v="437"/>
    <x v="2"/>
    <n v="2"/>
  </r>
  <r>
    <s v="ORD1673"/>
    <s v="04-01-2021"/>
    <s v="CUST1000"/>
    <x v="3"/>
    <x v="4"/>
    <x v="2"/>
    <s v="Manoj"/>
    <n v="168"/>
    <n v="20"/>
    <n v="0"/>
    <x v="2"/>
    <n v="34"/>
    <x v="0"/>
    <n v="1"/>
    <n v="168"/>
    <x v="112"/>
    <x v="1"/>
    <n v="1"/>
  </r>
  <r>
    <s v="ORD1674"/>
    <s v="08-02-2021"/>
    <s v="CUST911"/>
    <x v="2"/>
    <x v="11"/>
    <x v="0"/>
    <s v="Imran"/>
    <n v="588"/>
    <n v="20"/>
    <n v="30"/>
    <x v="1"/>
    <n v="23"/>
    <x v="0"/>
    <n v="1"/>
    <n v="558"/>
    <x v="438"/>
    <x v="2"/>
    <n v="2"/>
  </r>
  <r>
    <s v="ORD1675"/>
    <s v="19-01-2021"/>
    <s v="CUST1079"/>
    <x v="1"/>
    <x v="1"/>
    <x v="1"/>
    <s v="Rahul"/>
    <n v="185"/>
    <n v="50"/>
    <n v="100"/>
    <x v="0"/>
    <n v="38"/>
    <x v="0"/>
    <n v="1"/>
    <n v="85"/>
    <x v="439"/>
    <x v="1"/>
    <n v="1"/>
  </r>
  <r>
    <s v="ORD1676"/>
    <s v="03-03-2021"/>
    <s v="CUST682"/>
    <x v="3"/>
    <x v="4"/>
    <x v="2"/>
    <s v="Deepak"/>
    <n v="609"/>
    <n v="50"/>
    <n v="100"/>
    <x v="0"/>
    <n v="53"/>
    <x v="0"/>
    <n v="1"/>
    <n v="509"/>
    <x v="7"/>
    <x v="0"/>
    <n v="3"/>
  </r>
  <r>
    <s v="ORD1677"/>
    <s v="02-02-2021"/>
    <s v="CUST854"/>
    <x v="0"/>
    <x v="0"/>
    <x v="0"/>
    <s v="Manoj"/>
    <n v="429"/>
    <n v="50"/>
    <n v="20"/>
    <x v="2"/>
    <n v="52"/>
    <x v="0"/>
    <n v="1"/>
    <n v="409"/>
    <x v="12"/>
    <x v="2"/>
    <n v="2"/>
  </r>
  <r>
    <s v="ORD1678"/>
    <s v="18-01-2021"/>
    <s v="CUST1197"/>
    <x v="2"/>
    <x v="6"/>
    <x v="2"/>
    <s v="Karan"/>
    <n v="339"/>
    <n v="50"/>
    <n v="20"/>
    <x v="2"/>
    <n v="59"/>
    <x v="0"/>
    <n v="1"/>
    <n v="319"/>
    <x v="65"/>
    <x v="1"/>
    <n v="1"/>
  </r>
  <r>
    <s v="ORD1679"/>
    <s v="25-01-2021"/>
    <s v="CUST935"/>
    <x v="4"/>
    <x v="9"/>
    <x v="4"/>
    <s v="Suresh"/>
    <n v="272"/>
    <n v="30"/>
    <n v="50"/>
    <x v="1"/>
    <n v="58"/>
    <x v="0"/>
    <n v="1"/>
    <n v="222"/>
    <x v="440"/>
    <x v="1"/>
    <n v="1"/>
  </r>
  <r>
    <s v="ORD1680"/>
    <s v="23-02-2021"/>
    <s v="CUST786"/>
    <x v="3"/>
    <x v="4"/>
    <x v="2"/>
    <s v="Rahul"/>
    <n v="334"/>
    <n v="50"/>
    <n v="0"/>
    <x v="2"/>
    <n v="58"/>
    <x v="0"/>
    <n v="1"/>
    <n v="334"/>
    <x v="441"/>
    <x v="2"/>
    <n v="2"/>
  </r>
  <r>
    <s v="ORD1681"/>
    <s v="31-03-2021"/>
    <s v="CUST643"/>
    <x v="0"/>
    <x v="12"/>
    <x v="3"/>
    <s v="Rahul"/>
    <n v="425"/>
    <n v="30"/>
    <n v="30"/>
    <x v="1"/>
    <n v="26"/>
    <x v="1"/>
    <n v="1"/>
    <n v="395"/>
    <x v="442"/>
    <x v="0"/>
    <n v="3"/>
  </r>
  <r>
    <s v="ORD1682"/>
    <s v="31-03-2021"/>
    <s v="CUST1150"/>
    <x v="0"/>
    <x v="12"/>
    <x v="3"/>
    <s v="Karan"/>
    <n v="469"/>
    <n v="30"/>
    <n v="100"/>
    <x v="0"/>
    <n v="58"/>
    <x v="1"/>
    <n v="1"/>
    <n v="369"/>
    <x v="443"/>
    <x v="0"/>
    <n v="3"/>
  </r>
  <r>
    <s v="ORD1683"/>
    <s v="15-01-2021"/>
    <s v="CUST511"/>
    <x v="2"/>
    <x v="11"/>
    <x v="0"/>
    <s v="Karan"/>
    <n v="225"/>
    <n v="30"/>
    <n v="0"/>
    <x v="0"/>
    <n v="56"/>
    <x v="0"/>
    <n v="1"/>
    <n v="225"/>
    <x v="319"/>
    <x v="1"/>
    <n v="1"/>
  </r>
  <r>
    <s v="ORD1684"/>
    <s v="30-01-2021"/>
    <s v="CUST848"/>
    <x v="4"/>
    <x v="5"/>
    <x v="3"/>
    <s v="Karan"/>
    <n v="448"/>
    <n v="50"/>
    <n v="20"/>
    <x v="1"/>
    <n v="46"/>
    <x v="0"/>
    <n v="1"/>
    <n v="428"/>
    <x v="99"/>
    <x v="1"/>
    <n v="1"/>
  </r>
  <r>
    <s v="ORD1685"/>
    <s v="01-01-2021"/>
    <s v="CUST920"/>
    <x v="1"/>
    <x v="2"/>
    <x v="1"/>
    <s v="Manoj"/>
    <n v="506"/>
    <n v="50"/>
    <n v="100"/>
    <x v="1"/>
    <n v="33"/>
    <x v="0"/>
    <n v="1"/>
    <n v="406"/>
    <x v="189"/>
    <x v="1"/>
    <n v="1"/>
  </r>
  <r>
    <s v="ORD1686"/>
    <s v="11-01-2021"/>
    <s v="CUST527"/>
    <x v="0"/>
    <x v="10"/>
    <x v="0"/>
    <s v="Imran"/>
    <n v="180"/>
    <n v="40"/>
    <n v="20"/>
    <x v="1"/>
    <n v="43"/>
    <x v="1"/>
    <n v="1"/>
    <n v="160"/>
    <x v="444"/>
    <x v="1"/>
    <n v="1"/>
  </r>
  <r>
    <s v="ORD1687"/>
    <s v="11-02-2021"/>
    <s v="CUST641"/>
    <x v="1"/>
    <x v="8"/>
    <x v="2"/>
    <s v="Karan"/>
    <n v="307"/>
    <n v="30"/>
    <n v="50"/>
    <x v="0"/>
    <n v="20"/>
    <x v="0"/>
    <n v="1"/>
    <n v="257"/>
    <x v="58"/>
    <x v="2"/>
    <n v="2"/>
  </r>
  <r>
    <s v="ORD1688"/>
    <s v="23-03-2021"/>
    <s v="CUST587"/>
    <x v="4"/>
    <x v="14"/>
    <x v="0"/>
    <s v="Karan"/>
    <n v="767"/>
    <n v="40"/>
    <n v="20"/>
    <x v="1"/>
    <n v="43"/>
    <x v="0"/>
    <n v="1"/>
    <n v="747"/>
    <x v="8"/>
    <x v="0"/>
    <n v="3"/>
  </r>
  <r>
    <s v="ORD1689"/>
    <s v="14-01-2021"/>
    <s v="CUST755"/>
    <x v="0"/>
    <x v="10"/>
    <x v="0"/>
    <s v="Suresh"/>
    <n v="608"/>
    <n v="50"/>
    <n v="50"/>
    <x v="1"/>
    <n v="32"/>
    <x v="1"/>
    <n v="1"/>
    <n v="558"/>
    <x v="445"/>
    <x v="1"/>
    <n v="1"/>
  </r>
  <r>
    <s v="ORD1690"/>
    <s v="04-01-2021"/>
    <s v="CUST680"/>
    <x v="1"/>
    <x v="8"/>
    <x v="2"/>
    <s v="Amit"/>
    <n v="285"/>
    <n v="20"/>
    <n v="0"/>
    <x v="1"/>
    <n v="52"/>
    <x v="0"/>
    <n v="1"/>
    <n v="285"/>
    <x v="446"/>
    <x v="1"/>
    <n v="1"/>
  </r>
  <r>
    <s v="ORD1691"/>
    <s v="16-03-2021"/>
    <s v="CUST908"/>
    <x v="1"/>
    <x v="1"/>
    <x v="1"/>
    <s v="Vikas"/>
    <n v="527"/>
    <n v="40"/>
    <n v="50"/>
    <x v="1"/>
    <n v="22"/>
    <x v="0"/>
    <n v="1"/>
    <n v="477"/>
    <x v="322"/>
    <x v="0"/>
    <n v="3"/>
  </r>
  <r>
    <s v="ORD1692"/>
    <s v="19-02-2021"/>
    <s v="CUST642"/>
    <x v="0"/>
    <x v="0"/>
    <x v="0"/>
    <s v="Vikas"/>
    <n v="534"/>
    <n v="50"/>
    <n v="0"/>
    <x v="1"/>
    <n v="51"/>
    <x v="0"/>
    <n v="1"/>
    <n v="534"/>
    <x v="299"/>
    <x v="2"/>
    <n v="2"/>
  </r>
  <r>
    <s v="ORD1693"/>
    <s v="20-01-2021"/>
    <s v="CUST971"/>
    <x v="1"/>
    <x v="1"/>
    <x v="1"/>
    <s v="Suresh"/>
    <n v="191"/>
    <n v="20"/>
    <n v="20"/>
    <x v="2"/>
    <n v="25"/>
    <x v="0"/>
    <n v="1"/>
    <n v="171"/>
    <x v="447"/>
    <x v="1"/>
    <n v="1"/>
  </r>
  <r>
    <s v="ORD1694"/>
    <s v="23-02-2021"/>
    <s v="CUST620"/>
    <x v="3"/>
    <x v="4"/>
    <x v="2"/>
    <s v="Arjun"/>
    <n v="261"/>
    <n v="20"/>
    <n v="30"/>
    <x v="2"/>
    <n v="48"/>
    <x v="0"/>
    <n v="1"/>
    <n v="231"/>
    <x v="256"/>
    <x v="2"/>
    <n v="2"/>
  </r>
  <r>
    <s v="ORD1695"/>
    <s v="06-02-2021"/>
    <s v="CUST674"/>
    <x v="2"/>
    <x v="3"/>
    <x v="1"/>
    <s v="Imran"/>
    <n v="422"/>
    <n v="30"/>
    <n v="0"/>
    <x v="0"/>
    <n v="51"/>
    <x v="0"/>
    <n v="1"/>
    <n v="422"/>
    <x v="285"/>
    <x v="2"/>
    <n v="2"/>
  </r>
  <r>
    <s v="ORD1696"/>
    <s v="01-02-2021"/>
    <s v="CUST885"/>
    <x v="0"/>
    <x v="0"/>
    <x v="0"/>
    <s v="Rahul"/>
    <n v="512"/>
    <n v="40"/>
    <n v="30"/>
    <x v="2"/>
    <n v="59"/>
    <x v="0"/>
    <n v="1"/>
    <n v="482"/>
    <x v="313"/>
    <x v="2"/>
    <n v="2"/>
  </r>
  <r>
    <s v="ORD1697"/>
    <s v="17-03-2021"/>
    <s v="CUST526"/>
    <x v="0"/>
    <x v="10"/>
    <x v="0"/>
    <s v="Rahul"/>
    <n v="616"/>
    <n v="40"/>
    <n v="30"/>
    <x v="1"/>
    <n v="45"/>
    <x v="0"/>
    <n v="1"/>
    <n v="586"/>
    <x v="359"/>
    <x v="0"/>
    <n v="3"/>
  </r>
  <r>
    <s v="ORD1698"/>
    <s v="25-02-2021"/>
    <s v="CUST782"/>
    <x v="4"/>
    <x v="14"/>
    <x v="0"/>
    <s v="Suresh"/>
    <n v="524"/>
    <n v="40"/>
    <n v="20"/>
    <x v="1"/>
    <n v="51"/>
    <x v="0"/>
    <n v="1"/>
    <n v="504"/>
    <x v="177"/>
    <x v="2"/>
    <n v="2"/>
  </r>
  <r>
    <s v="ORD1699"/>
    <s v="22-03-2021"/>
    <s v="CUST795"/>
    <x v="4"/>
    <x v="5"/>
    <x v="3"/>
    <s v="Imran"/>
    <n v="154"/>
    <n v="50"/>
    <n v="0"/>
    <x v="1"/>
    <n v="25"/>
    <x v="0"/>
    <n v="1"/>
    <n v="154"/>
    <x v="264"/>
    <x v="0"/>
    <n v="3"/>
  </r>
  <r>
    <s v="ORD1700"/>
    <s v="03-02-2021"/>
    <s v="CUST1174"/>
    <x v="2"/>
    <x v="6"/>
    <x v="2"/>
    <s v="Suresh"/>
    <n v="342"/>
    <n v="30"/>
    <n v="30"/>
    <x v="2"/>
    <n v="26"/>
    <x v="0"/>
    <n v="1"/>
    <n v="312"/>
    <x v="448"/>
    <x v="2"/>
    <n v="2"/>
  </r>
  <r>
    <s v="ORD1701"/>
    <s v="21-01-2021"/>
    <s v="CUST783"/>
    <x v="0"/>
    <x v="0"/>
    <x v="0"/>
    <s v="Deepak"/>
    <n v="192"/>
    <n v="30"/>
    <n v="30"/>
    <x v="1"/>
    <n v="59"/>
    <x v="0"/>
    <n v="1"/>
    <n v="162"/>
    <x v="270"/>
    <x v="1"/>
    <n v="1"/>
  </r>
  <r>
    <s v="ORD1702"/>
    <s v="08-03-2021"/>
    <s v="CUST999"/>
    <x v="4"/>
    <x v="5"/>
    <x v="3"/>
    <s v="Vikas"/>
    <n v="692"/>
    <n v="40"/>
    <n v="30"/>
    <x v="0"/>
    <n v="38"/>
    <x v="0"/>
    <n v="1"/>
    <n v="662"/>
    <x v="32"/>
    <x v="0"/>
    <n v="3"/>
  </r>
  <r>
    <s v="ORD1703"/>
    <s v="14-02-2021"/>
    <s v="CUST831"/>
    <x v="1"/>
    <x v="1"/>
    <x v="1"/>
    <s v="Rohit"/>
    <n v="439"/>
    <n v="30"/>
    <n v="30"/>
    <x v="1"/>
    <n v="47"/>
    <x v="0"/>
    <n v="1"/>
    <n v="409"/>
    <x v="449"/>
    <x v="2"/>
    <n v="2"/>
  </r>
  <r>
    <s v="ORD1704"/>
    <s v="17-03-2021"/>
    <s v="CUST987"/>
    <x v="2"/>
    <x v="3"/>
    <x v="1"/>
    <s v="Karan"/>
    <n v="186"/>
    <n v="20"/>
    <n v="30"/>
    <x v="2"/>
    <n v="38"/>
    <x v="0"/>
    <n v="1"/>
    <n v="156"/>
    <x v="235"/>
    <x v="0"/>
    <n v="3"/>
  </r>
  <r>
    <s v="ORD1705"/>
    <s v="05-03-2021"/>
    <s v="CUST1012"/>
    <x v="3"/>
    <x v="4"/>
    <x v="2"/>
    <s v="Karan"/>
    <n v="697"/>
    <n v="50"/>
    <n v="50"/>
    <x v="0"/>
    <n v="57"/>
    <x v="0"/>
    <n v="1"/>
    <n v="647"/>
    <x v="78"/>
    <x v="0"/>
    <n v="3"/>
  </r>
  <r>
    <s v="ORD1706"/>
    <s v="04-01-2021"/>
    <s v="CUST1017"/>
    <x v="2"/>
    <x v="3"/>
    <x v="1"/>
    <s v="Deepak"/>
    <n v="755"/>
    <n v="20"/>
    <n v="20"/>
    <x v="2"/>
    <n v="45"/>
    <x v="0"/>
    <n v="1"/>
    <n v="735"/>
    <x v="450"/>
    <x v="1"/>
    <n v="1"/>
  </r>
  <r>
    <s v="ORD1707"/>
    <s v="03-02-2021"/>
    <s v="CUST901"/>
    <x v="3"/>
    <x v="7"/>
    <x v="0"/>
    <s v="Arjun"/>
    <n v="383"/>
    <n v="20"/>
    <n v="20"/>
    <x v="2"/>
    <n v="58"/>
    <x v="0"/>
    <n v="1"/>
    <n v="363"/>
    <x v="451"/>
    <x v="2"/>
    <n v="2"/>
  </r>
  <r>
    <s v="ORD1708"/>
    <s v="12-01-2021"/>
    <s v="CUST667"/>
    <x v="0"/>
    <x v="12"/>
    <x v="3"/>
    <s v="Rahul"/>
    <n v="293"/>
    <n v="30"/>
    <n v="100"/>
    <x v="2"/>
    <n v="25"/>
    <x v="0"/>
    <n v="1"/>
    <n v="193"/>
    <x v="403"/>
    <x v="1"/>
    <n v="1"/>
  </r>
  <r>
    <s v="ORD1709"/>
    <s v="28-01-2021"/>
    <s v="CUST890"/>
    <x v="4"/>
    <x v="14"/>
    <x v="0"/>
    <s v="Imran"/>
    <n v="184"/>
    <n v="30"/>
    <n v="20"/>
    <x v="2"/>
    <n v="28"/>
    <x v="0"/>
    <n v="1"/>
    <n v="164"/>
    <x v="452"/>
    <x v="1"/>
    <n v="1"/>
  </r>
  <r>
    <s v="ORD1710"/>
    <s v="15-01-2021"/>
    <s v="CUST1182"/>
    <x v="3"/>
    <x v="4"/>
    <x v="2"/>
    <s v="Amit"/>
    <n v="506"/>
    <n v="50"/>
    <n v="50"/>
    <x v="0"/>
    <n v="37"/>
    <x v="0"/>
    <n v="1"/>
    <n v="456"/>
    <x v="64"/>
    <x v="1"/>
    <n v="1"/>
  </r>
  <r>
    <s v="ORD1711"/>
    <s v="02-01-2021"/>
    <s v="CUST1025"/>
    <x v="2"/>
    <x v="11"/>
    <x v="0"/>
    <s v="Suresh"/>
    <n v="687"/>
    <n v="30"/>
    <n v="30"/>
    <x v="0"/>
    <n v="49"/>
    <x v="0"/>
    <n v="1"/>
    <n v="657"/>
    <x v="341"/>
    <x v="1"/>
    <n v="1"/>
  </r>
  <r>
    <s v="ORD1712"/>
    <s v="27-03-2021"/>
    <s v="CUST1065"/>
    <x v="1"/>
    <x v="1"/>
    <x v="1"/>
    <s v="Suresh"/>
    <n v="732"/>
    <n v="40"/>
    <n v="50"/>
    <x v="0"/>
    <n v="21"/>
    <x v="0"/>
    <n v="1"/>
    <n v="682"/>
    <x v="115"/>
    <x v="0"/>
    <n v="3"/>
  </r>
  <r>
    <s v="ORD1713"/>
    <s v="24-03-2021"/>
    <s v="CUST1117"/>
    <x v="0"/>
    <x v="10"/>
    <x v="0"/>
    <s v="Arjun"/>
    <n v="591"/>
    <n v="50"/>
    <n v="100"/>
    <x v="2"/>
    <n v="55"/>
    <x v="0"/>
    <n v="1"/>
    <n v="491"/>
    <x v="453"/>
    <x v="0"/>
    <n v="3"/>
  </r>
  <r>
    <s v="ORD1714"/>
    <s v="14-03-2021"/>
    <s v="CUST598"/>
    <x v="0"/>
    <x v="0"/>
    <x v="0"/>
    <s v="Imran"/>
    <n v="795"/>
    <n v="30"/>
    <n v="0"/>
    <x v="0"/>
    <n v="49"/>
    <x v="0"/>
    <n v="1"/>
    <n v="795"/>
    <x v="454"/>
    <x v="0"/>
    <n v="3"/>
  </r>
  <r>
    <s v="ORD1715"/>
    <s v="25-03-2021"/>
    <s v="CUST881"/>
    <x v="0"/>
    <x v="12"/>
    <x v="3"/>
    <s v="Rohit"/>
    <n v="521"/>
    <n v="30"/>
    <n v="100"/>
    <x v="1"/>
    <n v="37"/>
    <x v="0"/>
    <n v="1"/>
    <n v="421"/>
    <x v="455"/>
    <x v="0"/>
    <n v="3"/>
  </r>
  <r>
    <s v="ORD1716"/>
    <s v="25-02-2021"/>
    <s v="CUST712"/>
    <x v="0"/>
    <x v="12"/>
    <x v="3"/>
    <s v="Deepak"/>
    <n v="213"/>
    <n v="40"/>
    <n v="50"/>
    <x v="0"/>
    <n v="38"/>
    <x v="0"/>
    <n v="1"/>
    <n v="163"/>
    <x v="331"/>
    <x v="2"/>
    <n v="2"/>
  </r>
  <r>
    <s v="ORD1717"/>
    <s v="01-02-2021"/>
    <s v="CUST1126"/>
    <x v="4"/>
    <x v="5"/>
    <x v="3"/>
    <s v="Rohit"/>
    <n v="294"/>
    <n v="30"/>
    <n v="30"/>
    <x v="1"/>
    <n v="45"/>
    <x v="0"/>
    <n v="1"/>
    <n v="264"/>
    <x v="456"/>
    <x v="2"/>
    <n v="2"/>
  </r>
  <r>
    <s v="ORD1718"/>
    <s v="08-02-2021"/>
    <s v="CUST1177"/>
    <x v="0"/>
    <x v="10"/>
    <x v="0"/>
    <s v="Karan"/>
    <n v="352"/>
    <n v="30"/>
    <n v="0"/>
    <x v="0"/>
    <n v="46"/>
    <x v="0"/>
    <n v="1"/>
    <n v="352"/>
    <x v="302"/>
    <x v="2"/>
    <n v="2"/>
  </r>
  <r>
    <s v="ORD1719"/>
    <s v="16-02-2021"/>
    <s v="CUST854"/>
    <x v="2"/>
    <x v="6"/>
    <x v="2"/>
    <s v="Amit"/>
    <n v="217"/>
    <n v="50"/>
    <n v="100"/>
    <x v="2"/>
    <n v="48"/>
    <x v="0"/>
    <n v="1"/>
    <n v="117"/>
    <x v="215"/>
    <x v="2"/>
    <n v="2"/>
  </r>
  <r>
    <s v="ORD1720"/>
    <s v="21-02-2021"/>
    <s v="CUST707"/>
    <x v="2"/>
    <x v="11"/>
    <x v="0"/>
    <s v="Deepak"/>
    <n v="433"/>
    <n v="40"/>
    <n v="20"/>
    <x v="2"/>
    <n v="31"/>
    <x v="0"/>
    <n v="1"/>
    <n v="413"/>
    <x v="251"/>
    <x v="2"/>
    <n v="2"/>
  </r>
  <r>
    <s v="ORD1721"/>
    <s v="13-03-2021"/>
    <s v="CUST939"/>
    <x v="1"/>
    <x v="8"/>
    <x v="2"/>
    <s v="Deepak"/>
    <n v="332"/>
    <n v="40"/>
    <n v="100"/>
    <x v="0"/>
    <n v="35"/>
    <x v="0"/>
    <n v="1"/>
    <n v="232"/>
    <x v="82"/>
    <x v="0"/>
    <n v="3"/>
  </r>
  <r>
    <s v="ORD1722"/>
    <s v="13-03-2021"/>
    <s v="CUST1161"/>
    <x v="2"/>
    <x v="6"/>
    <x v="2"/>
    <s v="Vikas"/>
    <n v="439"/>
    <n v="20"/>
    <n v="30"/>
    <x v="2"/>
    <n v="53"/>
    <x v="0"/>
    <n v="1"/>
    <n v="409"/>
    <x v="457"/>
    <x v="0"/>
    <n v="3"/>
  </r>
  <r>
    <s v="ORD1723"/>
    <s v="08-01-2021"/>
    <s v="CUST603"/>
    <x v="2"/>
    <x v="3"/>
    <x v="1"/>
    <s v="Imran"/>
    <n v="528"/>
    <n v="50"/>
    <n v="20"/>
    <x v="0"/>
    <n v="20"/>
    <x v="0"/>
    <n v="1"/>
    <n v="508"/>
    <x v="344"/>
    <x v="1"/>
    <n v="1"/>
  </r>
  <r>
    <s v="ORD1724"/>
    <s v="26-01-2021"/>
    <s v="CUST717"/>
    <x v="0"/>
    <x v="12"/>
    <x v="3"/>
    <s v="Suresh"/>
    <n v="662"/>
    <n v="40"/>
    <n v="20"/>
    <x v="0"/>
    <n v="21"/>
    <x v="0"/>
    <n v="1"/>
    <n v="642"/>
    <x v="269"/>
    <x v="1"/>
    <n v="1"/>
  </r>
  <r>
    <s v="ORD1725"/>
    <s v="07-03-2021"/>
    <s v="CUST754"/>
    <x v="0"/>
    <x v="10"/>
    <x v="0"/>
    <s v="Deepak"/>
    <n v="652"/>
    <n v="40"/>
    <n v="30"/>
    <x v="0"/>
    <n v="50"/>
    <x v="0"/>
    <n v="1"/>
    <n v="622"/>
    <x v="458"/>
    <x v="0"/>
    <n v="3"/>
  </r>
  <r>
    <s v="ORD1726"/>
    <s v="21-02-2021"/>
    <s v="CUST1086"/>
    <x v="2"/>
    <x v="6"/>
    <x v="2"/>
    <s v="Karan"/>
    <n v="755"/>
    <n v="20"/>
    <n v="0"/>
    <x v="2"/>
    <n v="53"/>
    <x v="0"/>
    <n v="1"/>
    <n v="755"/>
    <x v="459"/>
    <x v="2"/>
    <n v="2"/>
  </r>
  <r>
    <s v="ORD1727"/>
    <s v="15-02-2021"/>
    <s v="CUST886"/>
    <x v="3"/>
    <x v="4"/>
    <x v="2"/>
    <s v="Deepak"/>
    <n v="702"/>
    <n v="50"/>
    <n v="50"/>
    <x v="1"/>
    <n v="52"/>
    <x v="0"/>
    <n v="1"/>
    <n v="652"/>
    <x v="32"/>
    <x v="2"/>
    <n v="2"/>
  </r>
  <r>
    <s v="ORD1728"/>
    <s v="13-02-2021"/>
    <s v="CUST1047"/>
    <x v="4"/>
    <x v="5"/>
    <x v="3"/>
    <s v="Vikas"/>
    <n v="571"/>
    <n v="40"/>
    <n v="100"/>
    <x v="2"/>
    <n v="26"/>
    <x v="0"/>
    <n v="1"/>
    <n v="471"/>
    <x v="0"/>
    <x v="2"/>
    <n v="2"/>
  </r>
  <r>
    <s v="ORD1729"/>
    <s v="23-01-2021"/>
    <s v="CUST867"/>
    <x v="2"/>
    <x v="6"/>
    <x v="2"/>
    <s v="Vikas"/>
    <n v="576"/>
    <n v="40"/>
    <n v="20"/>
    <x v="0"/>
    <n v="51"/>
    <x v="0"/>
    <n v="1"/>
    <n v="556"/>
    <x v="460"/>
    <x v="1"/>
    <n v="1"/>
  </r>
  <r>
    <s v="ORD1730"/>
    <s v="20-03-2021"/>
    <s v="CUST534"/>
    <x v="1"/>
    <x v="8"/>
    <x v="2"/>
    <s v="Imran"/>
    <n v="376"/>
    <n v="40"/>
    <n v="0"/>
    <x v="1"/>
    <n v="32"/>
    <x v="0"/>
    <n v="1"/>
    <n v="376"/>
    <x v="132"/>
    <x v="0"/>
    <n v="3"/>
  </r>
  <r>
    <s v="ORD1731"/>
    <s v="28-01-2021"/>
    <s v="CUST553"/>
    <x v="1"/>
    <x v="1"/>
    <x v="1"/>
    <s v="Karan"/>
    <n v="554"/>
    <n v="30"/>
    <n v="0"/>
    <x v="0"/>
    <n v="25"/>
    <x v="0"/>
    <n v="1"/>
    <n v="554"/>
    <x v="299"/>
    <x v="1"/>
    <n v="1"/>
  </r>
  <r>
    <s v="ORD1732"/>
    <s v="28-03-2021"/>
    <s v="CUST882"/>
    <x v="1"/>
    <x v="2"/>
    <x v="1"/>
    <s v="Imran"/>
    <n v="409"/>
    <n v="40"/>
    <n v="0"/>
    <x v="1"/>
    <n v="26"/>
    <x v="0"/>
    <n v="1"/>
    <n v="409"/>
    <x v="6"/>
    <x v="0"/>
    <n v="3"/>
  </r>
  <r>
    <s v="ORD1733"/>
    <s v="28-03-2021"/>
    <s v="CUST779"/>
    <x v="0"/>
    <x v="12"/>
    <x v="3"/>
    <s v="Arjun"/>
    <n v="336"/>
    <n v="50"/>
    <n v="50"/>
    <x v="0"/>
    <n v="48"/>
    <x v="0"/>
    <n v="1"/>
    <n v="286"/>
    <x v="85"/>
    <x v="0"/>
    <n v="3"/>
  </r>
  <r>
    <s v="ORD1734"/>
    <s v="17-02-2021"/>
    <s v="CUST1042"/>
    <x v="1"/>
    <x v="2"/>
    <x v="1"/>
    <s v="Rohit"/>
    <n v="354"/>
    <n v="40"/>
    <n v="50"/>
    <x v="0"/>
    <n v="29"/>
    <x v="1"/>
    <n v="1"/>
    <n v="304"/>
    <x v="210"/>
    <x v="2"/>
    <n v="2"/>
  </r>
  <r>
    <s v="ORD1735"/>
    <s v="11-03-2021"/>
    <s v="CUST686"/>
    <x v="1"/>
    <x v="8"/>
    <x v="2"/>
    <s v="Arjun"/>
    <n v="415"/>
    <n v="30"/>
    <n v="0"/>
    <x v="0"/>
    <n v="27"/>
    <x v="0"/>
    <n v="1"/>
    <n v="415"/>
    <x v="461"/>
    <x v="0"/>
    <n v="3"/>
  </r>
  <r>
    <s v="ORD1736"/>
    <s v="04-01-2021"/>
    <s v="CUST1178"/>
    <x v="0"/>
    <x v="10"/>
    <x v="0"/>
    <s v="Rohit"/>
    <n v="523"/>
    <n v="30"/>
    <n v="30"/>
    <x v="1"/>
    <n v="39"/>
    <x v="0"/>
    <n v="1"/>
    <n v="493"/>
    <x v="208"/>
    <x v="1"/>
    <n v="1"/>
  </r>
  <r>
    <s v="ORD1737"/>
    <s v="31-03-2021"/>
    <s v="CUST720"/>
    <x v="1"/>
    <x v="8"/>
    <x v="2"/>
    <s v="Karan"/>
    <n v="423"/>
    <n v="50"/>
    <n v="20"/>
    <x v="1"/>
    <n v="45"/>
    <x v="0"/>
    <n v="1"/>
    <n v="403"/>
    <x v="251"/>
    <x v="0"/>
    <n v="3"/>
  </r>
  <r>
    <s v="ORD1738"/>
    <s v="18-01-2021"/>
    <s v="CUST1007"/>
    <x v="0"/>
    <x v="0"/>
    <x v="0"/>
    <s v="Suresh"/>
    <n v="691"/>
    <n v="30"/>
    <n v="50"/>
    <x v="2"/>
    <n v="31"/>
    <x v="0"/>
    <n v="1"/>
    <n v="641"/>
    <x v="349"/>
    <x v="1"/>
    <n v="1"/>
  </r>
  <r>
    <s v="ORD1739"/>
    <s v="23-02-2021"/>
    <s v="CUST932"/>
    <x v="4"/>
    <x v="14"/>
    <x v="0"/>
    <s v="Suresh"/>
    <n v="307"/>
    <n v="20"/>
    <n v="100"/>
    <x v="1"/>
    <n v="48"/>
    <x v="0"/>
    <n v="1"/>
    <n v="207"/>
    <x v="141"/>
    <x v="2"/>
    <n v="2"/>
  </r>
  <r>
    <s v="ORD1740"/>
    <s v="27-01-2021"/>
    <s v="CUST509"/>
    <x v="0"/>
    <x v="10"/>
    <x v="0"/>
    <s v="Rohit"/>
    <n v="324"/>
    <n v="30"/>
    <n v="30"/>
    <x v="1"/>
    <n v="38"/>
    <x v="0"/>
    <n v="1"/>
    <n v="294"/>
    <x v="26"/>
    <x v="1"/>
    <n v="1"/>
  </r>
  <r>
    <s v="ORD1741"/>
    <s v="07-03-2021"/>
    <s v="CUST838"/>
    <x v="3"/>
    <x v="13"/>
    <x v="1"/>
    <s v="Rohit"/>
    <n v="519"/>
    <n v="50"/>
    <n v="30"/>
    <x v="0"/>
    <n v="38"/>
    <x v="0"/>
    <n v="1"/>
    <n v="489"/>
    <x v="84"/>
    <x v="0"/>
    <n v="3"/>
  </r>
  <r>
    <s v="ORD1742"/>
    <s v="28-01-2021"/>
    <s v="CUST1098"/>
    <x v="2"/>
    <x v="3"/>
    <x v="1"/>
    <s v="Imran"/>
    <n v="674"/>
    <n v="50"/>
    <n v="50"/>
    <x v="1"/>
    <n v="41"/>
    <x v="0"/>
    <n v="1"/>
    <n v="624"/>
    <x v="309"/>
    <x v="1"/>
    <n v="1"/>
  </r>
  <r>
    <s v="ORD1743"/>
    <s v="11-01-2021"/>
    <s v="CUST649"/>
    <x v="2"/>
    <x v="3"/>
    <x v="1"/>
    <s v="Rahul"/>
    <n v="177"/>
    <n v="20"/>
    <n v="100"/>
    <x v="1"/>
    <n v="39"/>
    <x v="0"/>
    <n v="1"/>
    <n v="77"/>
    <x v="462"/>
    <x v="1"/>
    <n v="1"/>
  </r>
  <r>
    <s v="ORD1744"/>
    <s v="07-01-2021"/>
    <s v="CUST631"/>
    <x v="1"/>
    <x v="2"/>
    <x v="1"/>
    <s v="Amit"/>
    <n v="168"/>
    <n v="40"/>
    <n v="30"/>
    <x v="0"/>
    <n v="54"/>
    <x v="0"/>
    <n v="1"/>
    <n v="138"/>
    <x v="463"/>
    <x v="1"/>
    <n v="1"/>
  </r>
  <r>
    <s v="ORD1745"/>
    <s v="20-01-2021"/>
    <s v="CUST1177"/>
    <x v="0"/>
    <x v="10"/>
    <x v="0"/>
    <s v="Amit"/>
    <n v="212"/>
    <n v="20"/>
    <n v="50"/>
    <x v="1"/>
    <n v="28"/>
    <x v="0"/>
    <n v="1"/>
    <n v="162"/>
    <x v="259"/>
    <x v="1"/>
    <n v="1"/>
  </r>
  <r>
    <s v="ORD1746"/>
    <s v="24-01-2021"/>
    <s v="CUST989"/>
    <x v="2"/>
    <x v="6"/>
    <x v="2"/>
    <s v="Deepak"/>
    <n v="169"/>
    <n v="50"/>
    <n v="30"/>
    <x v="1"/>
    <n v="53"/>
    <x v="0"/>
    <n v="1"/>
    <n v="139"/>
    <x v="173"/>
    <x v="1"/>
    <n v="1"/>
  </r>
  <r>
    <s v="ORD1747"/>
    <s v="17-01-2021"/>
    <s v="CUST1073"/>
    <x v="0"/>
    <x v="12"/>
    <x v="3"/>
    <s v="Deepak"/>
    <n v="598"/>
    <n v="30"/>
    <n v="0"/>
    <x v="2"/>
    <n v="33"/>
    <x v="0"/>
    <n v="1"/>
    <n v="598"/>
    <x v="154"/>
    <x v="1"/>
    <n v="1"/>
  </r>
  <r>
    <s v="ORD1748"/>
    <s v="09-02-2021"/>
    <s v="CUST1021"/>
    <x v="1"/>
    <x v="2"/>
    <x v="1"/>
    <s v="Rohit"/>
    <n v="347"/>
    <n v="40"/>
    <n v="30"/>
    <x v="2"/>
    <n v="50"/>
    <x v="0"/>
    <n v="1"/>
    <n v="317"/>
    <x v="149"/>
    <x v="2"/>
    <n v="2"/>
  </r>
  <r>
    <s v="ORD1749"/>
    <s v="12-03-2021"/>
    <s v="CUST1139"/>
    <x v="2"/>
    <x v="11"/>
    <x v="0"/>
    <s v="Suresh"/>
    <n v="572"/>
    <n v="30"/>
    <n v="30"/>
    <x v="0"/>
    <n v="60"/>
    <x v="0"/>
    <n v="1"/>
    <n v="542"/>
    <x v="128"/>
    <x v="0"/>
    <n v="3"/>
  </r>
  <r>
    <s v="ORD1750"/>
    <s v="03-03-2021"/>
    <s v="CUST999"/>
    <x v="1"/>
    <x v="2"/>
    <x v="1"/>
    <s v="Deepak"/>
    <n v="247"/>
    <n v="20"/>
    <n v="0"/>
    <x v="0"/>
    <n v="34"/>
    <x v="0"/>
    <n v="1"/>
    <n v="247"/>
    <x v="318"/>
    <x v="0"/>
    <n v="3"/>
  </r>
  <r>
    <s v="ORD1751"/>
    <s v="19-01-2021"/>
    <s v="CUST902"/>
    <x v="3"/>
    <x v="13"/>
    <x v="1"/>
    <s v="Suresh"/>
    <n v="730"/>
    <n v="50"/>
    <n v="20"/>
    <x v="2"/>
    <n v="22"/>
    <x v="0"/>
    <n v="1"/>
    <n v="710"/>
    <x v="41"/>
    <x v="1"/>
    <n v="1"/>
  </r>
  <r>
    <s v="ORD1752"/>
    <s v="11-01-2021"/>
    <s v="CUST620"/>
    <x v="2"/>
    <x v="3"/>
    <x v="1"/>
    <s v="Manoj"/>
    <n v="307"/>
    <n v="50"/>
    <n v="100"/>
    <x v="2"/>
    <n v="56"/>
    <x v="0"/>
    <n v="1"/>
    <n v="207"/>
    <x v="38"/>
    <x v="1"/>
    <n v="1"/>
  </r>
  <r>
    <s v="ORD1753"/>
    <s v="17-03-2021"/>
    <s v="CUST886"/>
    <x v="1"/>
    <x v="8"/>
    <x v="2"/>
    <s v="Rahul"/>
    <n v="692"/>
    <n v="20"/>
    <n v="100"/>
    <x v="0"/>
    <n v="55"/>
    <x v="1"/>
    <n v="1"/>
    <n v="592"/>
    <x v="464"/>
    <x v="0"/>
    <n v="3"/>
  </r>
  <r>
    <s v="ORD1754"/>
    <s v="06-01-2021"/>
    <s v="CUST594"/>
    <x v="2"/>
    <x v="6"/>
    <x v="2"/>
    <s v="Arjun"/>
    <n v="701"/>
    <n v="30"/>
    <n v="50"/>
    <x v="2"/>
    <n v="34"/>
    <x v="0"/>
    <n v="1"/>
    <n v="651"/>
    <x v="421"/>
    <x v="1"/>
    <n v="1"/>
  </r>
  <r>
    <s v="ORD1755"/>
    <s v="28-01-2021"/>
    <s v="CUST734"/>
    <x v="3"/>
    <x v="4"/>
    <x v="2"/>
    <s v="Manoj"/>
    <n v="669"/>
    <n v="20"/>
    <n v="50"/>
    <x v="2"/>
    <n v="43"/>
    <x v="0"/>
    <n v="1"/>
    <n v="619"/>
    <x v="263"/>
    <x v="1"/>
    <n v="1"/>
  </r>
  <r>
    <s v="ORD1756"/>
    <s v="21-02-2021"/>
    <s v="CUST1160"/>
    <x v="3"/>
    <x v="4"/>
    <x v="2"/>
    <s v="Imran"/>
    <n v="565"/>
    <n v="40"/>
    <n v="30"/>
    <x v="2"/>
    <n v="40"/>
    <x v="0"/>
    <n v="1"/>
    <n v="535"/>
    <x v="368"/>
    <x v="2"/>
    <n v="2"/>
  </r>
  <r>
    <s v="ORD1757"/>
    <s v="25-01-2021"/>
    <s v="CUST538"/>
    <x v="2"/>
    <x v="11"/>
    <x v="0"/>
    <s v="Deepak"/>
    <n v="671"/>
    <n v="40"/>
    <n v="0"/>
    <x v="0"/>
    <n v="21"/>
    <x v="0"/>
    <n v="1"/>
    <n v="671"/>
    <x v="435"/>
    <x v="1"/>
    <n v="1"/>
  </r>
  <r>
    <s v="ORD1758"/>
    <s v="11-03-2021"/>
    <s v="CUST514"/>
    <x v="2"/>
    <x v="3"/>
    <x v="1"/>
    <s v="Vikas"/>
    <n v="562"/>
    <n v="30"/>
    <n v="0"/>
    <x v="1"/>
    <n v="51"/>
    <x v="0"/>
    <n v="1"/>
    <n v="562"/>
    <x v="300"/>
    <x v="0"/>
    <n v="3"/>
  </r>
  <r>
    <s v="ORD1759"/>
    <s v="03-03-2021"/>
    <s v="CUST967"/>
    <x v="3"/>
    <x v="4"/>
    <x v="2"/>
    <s v="Imran"/>
    <n v="387"/>
    <n v="40"/>
    <n v="30"/>
    <x v="1"/>
    <n v="44"/>
    <x v="0"/>
    <n v="1"/>
    <n v="357"/>
    <x v="233"/>
    <x v="0"/>
    <n v="3"/>
  </r>
  <r>
    <s v="ORD1760"/>
    <s v="20-03-2021"/>
    <s v="CUST1067"/>
    <x v="2"/>
    <x v="3"/>
    <x v="1"/>
    <s v="Vikas"/>
    <n v="687"/>
    <n v="30"/>
    <n v="20"/>
    <x v="0"/>
    <n v="29"/>
    <x v="0"/>
    <n v="1"/>
    <n v="667"/>
    <x v="78"/>
    <x v="0"/>
    <n v="3"/>
  </r>
  <r>
    <s v="ORD1761"/>
    <s v="08-03-2021"/>
    <s v="CUST663"/>
    <x v="2"/>
    <x v="3"/>
    <x v="1"/>
    <s v="Deepak"/>
    <n v="250"/>
    <n v="30"/>
    <n v="20"/>
    <x v="1"/>
    <n v="32"/>
    <x v="0"/>
    <n v="1"/>
    <n v="230"/>
    <x v="425"/>
    <x v="0"/>
    <n v="3"/>
  </r>
  <r>
    <s v="ORD1762"/>
    <s v="02-02-2021"/>
    <s v="CUST981"/>
    <x v="2"/>
    <x v="6"/>
    <x v="2"/>
    <s v="Arjun"/>
    <n v="193"/>
    <n v="40"/>
    <n v="30"/>
    <x v="2"/>
    <n v="31"/>
    <x v="0"/>
    <n v="1"/>
    <n v="163"/>
    <x v="331"/>
    <x v="2"/>
    <n v="2"/>
  </r>
  <r>
    <s v="ORD1763"/>
    <s v="11-01-2021"/>
    <s v="CUST1005"/>
    <x v="0"/>
    <x v="0"/>
    <x v="0"/>
    <s v="Deepak"/>
    <n v="278"/>
    <n v="40"/>
    <n v="100"/>
    <x v="1"/>
    <n v="27"/>
    <x v="0"/>
    <n v="1"/>
    <n v="178"/>
    <x v="75"/>
    <x v="1"/>
    <n v="1"/>
  </r>
  <r>
    <s v="ORD1764"/>
    <s v="08-02-2021"/>
    <s v="CUST720"/>
    <x v="1"/>
    <x v="8"/>
    <x v="2"/>
    <s v="Amit"/>
    <n v="175"/>
    <n v="20"/>
    <n v="20"/>
    <x v="1"/>
    <n v="55"/>
    <x v="0"/>
    <n v="1"/>
    <n v="155"/>
    <x v="416"/>
    <x v="2"/>
    <n v="2"/>
  </r>
  <r>
    <s v="ORD1765"/>
    <s v="17-02-2021"/>
    <s v="CUST881"/>
    <x v="1"/>
    <x v="8"/>
    <x v="2"/>
    <s v="Arjun"/>
    <n v="242"/>
    <n v="20"/>
    <n v="20"/>
    <x v="1"/>
    <n v="36"/>
    <x v="0"/>
    <n v="1"/>
    <n v="222"/>
    <x v="105"/>
    <x v="2"/>
    <n v="2"/>
  </r>
  <r>
    <s v="ORD1766"/>
    <s v="13-03-2021"/>
    <s v="CUST771"/>
    <x v="2"/>
    <x v="6"/>
    <x v="2"/>
    <s v="Amit"/>
    <n v="249"/>
    <n v="40"/>
    <n v="100"/>
    <x v="0"/>
    <n v="46"/>
    <x v="0"/>
    <n v="1"/>
    <n v="149"/>
    <x v="173"/>
    <x v="0"/>
    <n v="3"/>
  </r>
  <r>
    <s v="ORD1767"/>
    <s v="07-01-2021"/>
    <s v="CUST950"/>
    <x v="3"/>
    <x v="4"/>
    <x v="2"/>
    <s v="Imran"/>
    <n v="182"/>
    <n v="30"/>
    <n v="100"/>
    <x v="0"/>
    <n v="33"/>
    <x v="0"/>
    <n v="1"/>
    <n v="82"/>
    <x v="465"/>
    <x v="1"/>
    <n v="1"/>
  </r>
  <r>
    <s v="ORD1768"/>
    <s v="16-01-2021"/>
    <s v="CUST859"/>
    <x v="0"/>
    <x v="0"/>
    <x v="0"/>
    <s v="Manoj"/>
    <n v="727"/>
    <n v="30"/>
    <n v="50"/>
    <x v="1"/>
    <n v="48"/>
    <x v="0"/>
    <n v="1"/>
    <n v="677"/>
    <x v="357"/>
    <x v="1"/>
    <n v="1"/>
  </r>
  <r>
    <s v="ORD1769"/>
    <s v="18-01-2021"/>
    <s v="CUST704"/>
    <x v="2"/>
    <x v="11"/>
    <x v="0"/>
    <s v="Amit"/>
    <n v="545"/>
    <n v="30"/>
    <n v="0"/>
    <x v="2"/>
    <n v="23"/>
    <x v="0"/>
    <n v="1"/>
    <n v="545"/>
    <x v="368"/>
    <x v="1"/>
    <n v="1"/>
  </r>
  <r>
    <s v="ORD1770"/>
    <s v="04-02-2021"/>
    <s v="CUST901"/>
    <x v="4"/>
    <x v="9"/>
    <x v="4"/>
    <s v="Rahul"/>
    <n v="622"/>
    <n v="40"/>
    <n v="20"/>
    <x v="0"/>
    <n v="57"/>
    <x v="0"/>
    <n v="1"/>
    <n v="602"/>
    <x v="412"/>
    <x v="2"/>
    <n v="2"/>
  </r>
  <r>
    <s v="ORD1771"/>
    <s v="24-02-2021"/>
    <s v="CUST1111"/>
    <x v="3"/>
    <x v="7"/>
    <x v="0"/>
    <s v="Rohit"/>
    <n v="441"/>
    <n v="50"/>
    <n v="0"/>
    <x v="2"/>
    <n v="31"/>
    <x v="0"/>
    <n v="1"/>
    <n v="441"/>
    <x v="466"/>
    <x v="2"/>
    <n v="2"/>
  </r>
  <r>
    <s v="ORD1772"/>
    <s v="22-03-2021"/>
    <s v="CUST554"/>
    <x v="0"/>
    <x v="12"/>
    <x v="3"/>
    <s v="Rohit"/>
    <n v="613"/>
    <n v="50"/>
    <n v="20"/>
    <x v="0"/>
    <n v="23"/>
    <x v="0"/>
    <n v="1"/>
    <n v="593"/>
    <x v="271"/>
    <x v="0"/>
    <n v="3"/>
  </r>
  <r>
    <s v="ORD1773"/>
    <s v="08-03-2021"/>
    <s v="CUST1132"/>
    <x v="3"/>
    <x v="13"/>
    <x v="1"/>
    <s v="Rohit"/>
    <n v="419"/>
    <n v="40"/>
    <n v="20"/>
    <x v="2"/>
    <n v="21"/>
    <x v="0"/>
    <n v="1"/>
    <n v="399"/>
    <x v="449"/>
    <x v="0"/>
    <n v="3"/>
  </r>
  <r>
    <s v="ORD1774"/>
    <s v="25-01-2021"/>
    <s v="CUST1179"/>
    <x v="1"/>
    <x v="1"/>
    <x v="1"/>
    <s v="Manoj"/>
    <n v="239"/>
    <n v="20"/>
    <n v="0"/>
    <x v="2"/>
    <n v="53"/>
    <x v="0"/>
    <n v="1"/>
    <n v="239"/>
    <x v="74"/>
    <x v="1"/>
    <n v="1"/>
  </r>
  <r>
    <s v="ORD1775"/>
    <s v="06-03-2021"/>
    <s v="CUST705"/>
    <x v="4"/>
    <x v="9"/>
    <x v="4"/>
    <s v="Amit"/>
    <n v="321"/>
    <n v="40"/>
    <n v="20"/>
    <x v="1"/>
    <n v="32"/>
    <x v="0"/>
    <n v="1"/>
    <n v="301"/>
    <x v="467"/>
    <x v="0"/>
    <n v="3"/>
  </r>
  <r>
    <s v="ORD1776"/>
    <s v="13-02-2021"/>
    <s v="CUST1056"/>
    <x v="3"/>
    <x v="13"/>
    <x v="1"/>
    <s v="Amit"/>
    <n v="303"/>
    <n v="20"/>
    <n v="0"/>
    <x v="2"/>
    <n v="46"/>
    <x v="0"/>
    <n v="1"/>
    <n v="303"/>
    <x v="314"/>
    <x v="2"/>
    <n v="2"/>
  </r>
  <r>
    <s v="ORD1777"/>
    <s v="18-02-2021"/>
    <s v="CUST797"/>
    <x v="4"/>
    <x v="5"/>
    <x v="3"/>
    <s v="Rahul"/>
    <n v="153"/>
    <n v="30"/>
    <n v="0"/>
    <x v="0"/>
    <n v="24"/>
    <x v="0"/>
    <n v="1"/>
    <n v="153"/>
    <x v="170"/>
    <x v="2"/>
    <n v="2"/>
  </r>
  <r>
    <s v="ORD1778"/>
    <s v="16-02-2021"/>
    <s v="CUST1006"/>
    <x v="2"/>
    <x v="11"/>
    <x v="0"/>
    <s v="Karan"/>
    <n v="213"/>
    <n v="30"/>
    <n v="0"/>
    <x v="2"/>
    <n v="30"/>
    <x v="0"/>
    <n v="1"/>
    <n v="213"/>
    <x v="19"/>
    <x v="2"/>
    <n v="2"/>
  </r>
  <r>
    <s v="ORD1779"/>
    <s v="15-02-2021"/>
    <s v="CUST1101"/>
    <x v="4"/>
    <x v="9"/>
    <x v="4"/>
    <s v="Rahul"/>
    <n v="508"/>
    <n v="40"/>
    <n v="100"/>
    <x v="1"/>
    <n v="20"/>
    <x v="0"/>
    <n v="1"/>
    <n v="408"/>
    <x v="429"/>
    <x v="2"/>
    <n v="2"/>
  </r>
  <r>
    <s v="ORD1780"/>
    <s v="21-02-2021"/>
    <s v="CUST557"/>
    <x v="3"/>
    <x v="4"/>
    <x v="2"/>
    <s v="Amit"/>
    <n v="627"/>
    <n v="20"/>
    <n v="50"/>
    <x v="0"/>
    <n v="47"/>
    <x v="0"/>
    <n v="1"/>
    <n v="577"/>
    <x v="468"/>
    <x v="2"/>
    <n v="2"/>
  </r>
  <r>
    <s v="ORD1781"/>
    <s v="16-02-2021"/>
    <s v="CUST755"/>
    <x v="0"/>
    <x v="0"/>
    <x v="0"/>
    <s v="Imran"/>
    <n v="727"/>
    <n v="20"/>
    <n v="20"/>
    <x v="0"/>
    <n v="44"/>
    <x v="0"/>
    <n v="1"/>
    <n v="707"/>
    <x v="73"/>
    <x v="2"/>
    <n v="2"/>
  </r>
  <r>
    <s v="ORD1782"/>
    <s v="24-01-2021"/>
    <s v="CUST605"/>
    <x v="1"/>
    <x v="8"/>
    <x v="2"/>
    <s v="Amit"/>
    <n v="678"/>
    <n v="30"/>
    <n v="50"/>
    <x v="2"/>
    <n v="44"/>
    <x v="0"/>
    <n v="1"/>
    <n v="628"/>
    <x v="231"/>
    <x v="1"/>
    <n v="1"/>
  </r>
  <r>
    <s v="ORD1783"/>
    <s v="15-03-2021"/>
    <s v="CUST831"/>
    <x v="0"/>
    <x v="0"/>
    <x v="0"/>
    <s v="Vikas"/>
    <n v="355"/>
    <n v="40"/>
    <n v="30"/>
    <x v="1"/>
    <n v="49"/>
    <x v="0"/>
    <n v="1"/>
    <n v="325"/>
    <x v="469"/>
    <x v="0"/>
    <n v="3"/>
  </r>
  <r>
    <s v="ORD1784"/>
    <s v="08-03-2021"/>
    <s v="CUST749"/>
    <x v="0"/>
    <x v="12"/>
    <x v="3"/>
    <s v="Rahul"/>
    <n v="333"/>
    <n v="40"/>
    <n v="20"/>
    <x v="2"/>
    <n v="56"/>
    <x v="0"/>
    <n v="1"/>
    <n v="313"/>
    <x v="241"/>
    <x v="0"/>
    <n v="3"/>
  </r>
  <r>
    <s v="ORD1785"/>
    <s v="04-01-2021"/>
    <s v="CUST604"/>
    <x v="4"/>
    <x v="14"/>
    <x v="0"/>
    <s v="Amit"/>
    <n v="584"/>
    <n v="30"/>
    <n v="100"/>
    <x v="2"/>
    <n v="31"/>
    <x v="0"/>
    <n v="1"/>
    <n v="484"/>
    <x v="436"/>
    <x v="1"/>
    <n v="1"/>
  </r>
  <r>
    <s v="ORD1786"/>
    <s v="24-02-2021"/>
    <s v="CUST774"/>
    <x v="0"/>
    <x v="12"/>
    <x v="3"/>
    <s v="Arjun"/>
    <n v="517"/>
    <n v="40"/>
    <n v="0"/>
    <x v="2"/>
    <n v="48"/>
    <x v="0"/>
    <n v="1"/>
    <n v="517"/>
    <x v="417"/>
    <x v="2"/>
    <n v="2"/>
  </r>
  <r>
    <s v="ORD1787"/>
    <s v="06-02-2021"/>
    <s v="CUST832"/>
    <x v="0"/>
    <x v="10"/>
    <x v="0"/>
    <s v="Manoj"/>
    <n v="437"/>
    <n v="50"/>
    <n v="30"/>
    <x v="0"/>
    <n v="33"/>
    <x v="0"/>
    <n v="1"/>
    <n v="407"/>
    <x v="102"/>
    <x v="2"/>
    <n v="2"/>
  </r>
  <r>
    <s v="ORD1788"/>
    <s v="31-03-2021"/>
    <s v="CUST1108"/>
    <x v="0"/>
    <x v="10"/>
    <x v="0"/>
    <s v="Imran"/>
    <n v="610"/>
    <n v="50"/>
    <n v="0"/>
    <x v="2"/>
    <n v="24"/>
    <x v="0"/>
    <n v="1"/>
    <n v="610"/>
    <x v="252"/>
    <x v="0"/>
    <n v="3"/>
  </r>
  <r>
    <s v="ORD1789"/>
    <s v="05-02-2021"/>
    <s v="CUST1139"/>
    <x v="2"/>
    <x v="3"/>
    <x v="1"/>
    <s v="Imran"/>
    <n v="681"/>
    <n v="50"/>
    <n v="20"/>
    <x v="2"/>
    <n v="47"/>
    <x v="0"/>
    <n v="1"/>
    <n v="661"/>
    <x v="435"/>
    <x v="2"/>
    <n v="2"/>
  </r>
  <r>
    <s v="ORD1790"/>
    <s v="26-03-2021"/>
    <s v="CUST1112"/>
    <x v="0"/>
    <x v="0"/>
    <x v="0"/>
    <s v="Deepak"/>
    <n v="233"/>
    <n v="40"/>
    <n v="30"/>
    <x v="2"/>
    <n v="46"/>
    <x v="0"/>
    <n v="1"/>
    <n v="203"/>
    <x v="19"/>
    <x v="0"/>
    <n v="3"/>
  </r>
  <r>
    <s v="ORD1791"/>
    <s v="26-01-2021"/>
    <s v="CUST893"/>
    <x v="1"/>
    <x v="1"/>
    <x v="1"/>
    <s v="Rahul"/>
    <n v="648"/>
    <n v="20"/>
    <n v="0"/>
    <x v="0"/>
    <n v="37"/>
    <x v="0"/>
    <n v="1"/>
    <n v="648"/>
    <x v="470"/>
    <x v="1"/>
    <n v="1"/>
  </r>
  <r>
    <s v="ORD1792"/>
    <s v="12-01-2021"/>
    <s v="CUST927"/>
    <x v="2"/>
    <x v="11"/>
    <x v="0"/>
    <s v="Amit"/>
    <n v="353"/>
    <n v="20"/>
    <n v="0"/>
    <x v="2"/>
    <n v="27"/>
    <x v="0"/>
    <n v="1"/>
    <n v="353"/>
    <x v="471"/>
    <x v="1"/>
    <n v="1"/>
  </r>
  <r>
    <s v="ORD1793"/>
    <s v="06-03-2021"/>
    <s v="CUST522"/>
    <x v="1"/>
    <x v="2"/>
    <x v="1"/>
    <s v="Vikas"/>
    <n v="446"/>
    <n v="50"/>
    <n v="20"/>
    <x v="0"/>
    <n v="54"/>
    <x v="0"/>
    <n v="1"/>
    <n v="426"/>
    <x v="472"/>
    <x v="0"/>
    <n v="3"/>
  </r>
  <r>
    <s v="ORD1794"/>
    <s v="23-01-2021"/>
    <s v="CUST878"/>
    <x v="0"/>
    <x v="10"/>
    <x v="0"/>
    <s v="Rahul"/>
    <n v="503"/>
    <n v="40"/>
    <n v="100"/>
    <x v="0"/>
    <n v="35"/>
    <x v="0"/>
    <n v="1"/>
    <n v="403"/>
    <x v="473"/>
    <x v="1"/>
    <n v="1"/>
  </r>
  <r>
    <s v="ORD1795"/>
    <s v="03-02-2021"/>
    <s v="CUST1096"/>
    <x v="4"/>
    <x v="5"/>
    <x v="3"/>
    <s v="Suresh"/>
    <n v="606"/>
    <n v="50"/>
    <n v="20"/>
    <x v="0"/>
    <n v="53"/>
    <x v="0"/>
    <n v="1"/>
    <n v="586"/>
    <x v="124"/>
    <x v="2"/>
    <n v="2"/>
  </r>
  <r>
    <s v="ORD1796"/>
    <s v="23-01-2021"/>
    <s v="CUST573"/>
    <x v="3"/>
    <x v="4"/>
    <x v="2"/>
    <s v="Manoj"/>
    <n v="521"/>
    <n v="50"/>
    <n v="20"/>
    <x v="2"/>
    <n v="55"/>
    <x v="0"/>
    <n v="1"/>
    <n v="501"/>
    <x v="373"/>
    <x v="1"/>
    <n v="1"/>
  </r>
  <r>
    <s v="ORD1797"/>
    <s v="22-01-2021"/>
    <s v="CUST906"/>
    <x v="4"/>
    <x v="5"/>
    <x v="3"/>
    <s v="Rahul"/>
    <n v="483"/>
    <n v="40"/>
    <n v="20"/>
    <x v="0"/>
    <n v="59"/>
    <x v="0"/>
    <n v="1"/>
    <n v="463"/>
    <x v="474"/>
    <x v="1"/>
    <n v="1"/>
  </r>
  <r>
    <s v="ORD1798"/>
    <s v="01-02-2021"/>
    <s v="CUST761"/>
    <x v="4"/>
    <x v="14"/>
    <x v="0"/>
    <s v="Manoj"/>
    <n v="462"/>
    <n v="50"/>
    <n v="0"/>
    <x v="2"/>
    <n v="33"/>
    <x v="0"/>
    <n v="1"/>
    <n v="462"/>
    <x v="2"/>
    <x v="2"/>
    <n v="2"/>
  </r>
  <r>
    <s v="ORD1799"/>
    <s v="27-03-2021"/>
    <s v="CUST819"/>
    <x v="0"/>
    <x v="10"/>
    <x v="0"/>
    <s v="Imran"/>
    <n v="308"/>
    <n v="30"/>
    <n v="100"/>
    <x v="1"/>
    <n v="27"/>
    <x v="0"/>
    <n v="1"/>
    <n v="208"/>
    <x v="13"/>
    <x v="0"/>
    <n v="3"/>
  </r>
  <r>
    <s v="ORD1800"/>
    <s v="07-01-2021"/>
    <s v="CUST790"/>
    <x v="1"/>
    <x v="1"/>
    <x v="1"/>
    <s v="Rohit"/>
    <n v="516"/>
    <n v="50"/>
    <n v="0"/>
    <x v="0"/>
    <n v="36"/>
    <x v="0"/>
    <n v="1"/>
    <n v="516"/>
    <x v="79"/>
    <x v="1"/>
    <n v="1"/>
  </r>
  <r>
    <s v="ORD1801"/>
    <s v="22-02-2021"/>
    <s v="CUST997"/>
    <x v="2"/>
    <x v="6"/>
    <x v="2"/>
    <s v="Arjun"/>
    <n v="679"/>
    <n v="30"/>
    <n v="50"/>
    <x v="1"/>
    <n v="37"/>
    <x v="0"/>
    <n v="1"/>
    <n v="629"/>
    <x v="356"/>
    <x v="2"/>
    <n v="2"/>
  </r>
  <r>
    <s v="ORD1802"/>
    <s v="11-01-2021"/>
    <s v="CUST745"/>
    <x v="2"/>
    <x v="3"/>
    <x v="1"/>
    <s v="Imran"/>
    <n v="361"/>
    <n v="40"/>
    <n v="20"/>
    <x v="0"/>
    <n v="27"/>
    <x v="0"/>
    <n v="1"/>
    <n v="341"/>
    <x v="204"/>
    <x v="1"/>
    <n v="1"/>
  </r>
  <r>
    <s v="ORD1803"/>
    <s v="19-02-2021"/>
    <s v="CUST1156"/>
    <x v="1"/>
    <x v="2"/>
    <x v="1"/>
    <s v="Manoj"/>
    <n v="483"/>
    <n v="50"/>
    <n v="100"/>
    <x v="1"/>
    <n v="52"/>
    <x v="1"/>
    <n v="1"/>
    <n v="383"/>
    <x v="475"/>
    <x v="2"/>
    <n v="2"/>
  </r>
  <r>
    <s v="ORD1804"/>
    <s v="24-02-2021"/>
    <s v="CUST1178"/>
    <x v="2"/>
    <x v="3"/>
    <x v="1"/>
    <s v="Karan"/>
    <n v="289"/>
    <n v="40"/>
    <n v="0"/>
    <x v="2"/>
    <n v="54"/>
    <x v="1"/>
    <n v="1"/>
    <n v="289"/>
    <x v="365"/>
    <x v="2"/>
    <n v="2"/>
  </r>
  <r>
    <s v="ORD1805"/>
    <s v="26-03-2021"/>
    <s v="CUST572"/>
    <x v="0"/>
    <x v="0"/>
    <x v="0"/>
    <s v="Rohit"/>
    <n v="346"/>
    <n v="50"/>
    <n v="0"/>
    <x v="0"/>
    <n v="47"/>
    <x v="0"/>
    <n v="1"/>
    <n v="346"/>
    <x v="56"/>
    <x v="0"/>
    <n v="3"/>
  </r>
  <r>
    <s v="ORD1806"/>
    <s v="30-03-2021"/>
    <s v="CUST1160"/>
    <x v="0"/>
    <x v="0"/>
    <x v="0"/>
    <s v="Rahul"/>
    <n v="595"/>
    <n v="40"/>
    <n v="30"/>
    <x v="0"/>
    <n v="31"/>
    <x v="0"/>
    <n v="1"/>
    <n v="565"/>
    <x v="90"/>
    <x v="0"/>
    <n v="3"/>
  </r>
  <r>
    <s v="ORD1807"/>
    <s v="20-02-2021"/>
    <s v="CUST960"/>
    <x v="4"/>
    <x v="14"/>
    <x v="0"/>
    <s v="Karan"/>
    <n v="570"/>
    <n v="20"/>
    <n v="100"/>
    <x v="2"/>
    <n v="37"/>
    <x v="0"/>
    <n v="1"/>
    <n v="470"/>
    <x v="243"/>
    <x v="2"/>
    <n v="2"/>
  </r>
  <r>
    <s v="ORD1808"/>
    <s v="22-01-2021"/>
    <s v="CUST544"/>
    <x v="2"/>
    <x v="3"/>
    <x v="1"/>
    <s v="Imran"/>
    <n v="267"/>
    <n v="30"/>
    <n v="100"/>
    <x v="2"/>
    <n v="55"/>
    <x v="0"/>
    <n v="1"/>
    <n v="167"/>
    <x v="476"/>
    <x v="1"/>
    <n v="1"/>
  </r>
  <r>
    <s v="ORD1809"/>
    <s v="13-02-2021"/>
    <s v="CUST981"/>
    <x v="1"/>
    <x v="2"/>
    <x v="1"/>
    <s v="Rohit"/>
    <n v="399"/>
    <n v="50"/>
    <n v="100"/>
    <x v="2"/>
    <n v="52"/>
    <x v="0"/>
    <n v="1"/>
    <n v="299"/>
    <x v="338"/>
    <x v="2"/>
    <n v="2"/>
  </r>
  <r>
    <s v="ORD1810"/>
    <s v="07-02-2021"/>
    <s v="CUST1174"/>
    <x v="0"/>
    <x v="0"/>
    <x v="0"/>
    <s v="Amit"/>
    <n v="679"/>
    <n v="30"/>
    <n v="0"/>
    <x v="0"/>
    <n v="46"/>
    <x v="0"/>
    <n v="1"/>
    <n v="679"/>
    <x v="229"/>
    <x v="2"/>
    <n v="2"/>
  </r>
  <r>
    <s v="ORD1811"/>
    <s v="22-01-2021"/>
    <s v="CUST576"/>
    <x v="4"/>
    <x v="5"/>
    <x v="3"/>
    <s v="Suresh"/>
    <n v="625"/>
    <n v="20"/>
    <n v="50"/>
    <x v="2"/>
    <n v="27"/>
    <x v="0"/>
    <n v="1"/>
    <n v="575"/>
    <x v="260"/>
    <x v="1"/>
    <n v="1"/>
  </r>
  <r>
    <s v="ORD1812"/>
    <s v="15-02-2021"/>
    <s v="CUST669"/>
    <x v="0"/>
    <x v="12"/>
    <x v="3"/>
    <s v="Arjun"/>
    <n v="495"/>
    <n v="40"/>
    <n v="0"/>
    <x v="2"/>
    <n v="21"/>
    <x v="0"/>
    <n v="1"/>
    <n v="495"/>
    <x v="385"/>
    <x v="2"/>
    <n v="2"/>
  </r>
  <r>
    <s v="ORD1813"/>
    <s v="14-01-2021"/>
    <s v="CUST840"/>
    <x v="3"/>
    <x v="13"/>
    <x v="1"/>
    <s v="Rahul"/>
    <n v="793"/>
    <n v="50"/>
    <n v="50"/>
    <x v="0"/>
    <n v="44"/>
    <x v="0"/>
    <n v="1"/>
    <n v="743"/>
    <x v="477"/>
    <x v="1"/>
    <n v="1"/>
  </r>
  <r>
    <s v="ORD1814"/>
    <s v="12-02-2021"/>
    <s v="CUST972"/>
    <x v="3"/>
    <x v="7"/>
    <x v="0"/>
    <s v="Rohit"/>
    <n v="465"/>
    <n v="50"/>
    <n v="20"/>
    <x v="1"/>
    <n v="59"/>
    <x v="0"/>
    <n v="1"/>
    <n v="445"/>
    <x v="433"/>
    <x v="2"/>
    <n v="2"/>
  </r>
  <r>
    <s v="ORD1815"/>
    <s v="08-01-2021"/>
    <s v="CUST712"/>
    <x v="1"/>
    <x v="2"/>
    <x v="1"/>
    <s v="Rohit"/>
    <n v="348"/>
    <n v="40"/>
    <n v="0"/>
    <x v="1"/>
    <n v="56"/>
    <x v="0"/>
    <n v="1"/>
    <n v="348"/>
    <x v="180"/>
    <x v="1"/>
    <n v="1"/>
  </r>
  <r>
    <s v="ORD1816"/>
    <s v="14-03-2021"/>
    <s v="CUST1175"/>
    <x v="1"/>
    <x v="2"/>
    <x v="1"/>
    <s v="Rohit"/>
    <n v="672"/>
    <n v="40"/>
    <n v="30"/>
    <x v="0"/>
    <n v="55"/>
    <x v="1"/>
    <n v="1"/>
    <n v="642"/>
    <x v="269"/>
    <x v="0"/>
    <n v="3"/>
  </r>
  <r>
    <s v="ORD1817"/>
    <s v="09-02-2021"/>
    <s v="CUST770"/>
    <x v="2"/>
    <x v="11"/>
    <x v="0"/>
    <s v="Vikas"/>
    <n v="332"/>
    <n v="50"/>
    <n v="50"/>
    <x v="1"/>
    <n v="37"/>
    <x v="0"/>
    <n v="1"/>
    <n v="282"/>
    <x v="298"/>
    <x v="2"/>
    <n v="2"/>
  </r>
  <r>
    <s v="ORD1818"/>
    <s v="02-02-2021"/>
    <s v="CUST1078"/>
    <x v="4"/>
    <x v="9"/>
    <x v="4"/>
    <s v="Rahul"/>
    <n v="588"/>
    <n v="40"/>
    <n v="0"/>
    <x v="0"/>
    <n v="34"/>
    <x v="1"/>
    <n v="1"/>
    <n v="588"/>
    <x v="154"/>
    <x v="2"/>
    <n v="2"/>
  </r>
  <r>
    <s v="ORD1819"/>
    <s v="02-02-2021"/>
    <s v="CUST826"/>
    <x v="3"/>
    <x v="13"/>
    <x v="1"/>
    <s v="Arjun"/>
    <n v="252"/>
    <n v="30"/>
    <n v="0"/>
    <x v="1"/>
    <n v="43"/>
    <x v="0"/>
    <n v="1"/>
    <n v="252"/>
    <x v="121"/>
    <x v="2"/>
    <n v="2"/>
  </r>
  <r>
    <s v="ORD1820"/>
    <s v="13-03-2021"/>
    <s v="CUST1193"/>
    <x v="4"/>
    <x v="9"/>
    <x v="4"/>
    <s v="Rohit"/>
    <n v="257"/>
    <n v="40"/>
    <n v="100"/>
    <x v="1"/>
    <n v="53"/>
    <x v="0"/>
    <n v="1"/>
    <n v="157"/>
    <x v="476"/>
    <x v="0"/>
    <n v="3"/>
  </r>
  <r>
    <s v="ORD1821"/>
    <s v="24-03-2021"/>
    <s v="CUST947"/>
    <x v="2"/>
    <x v="6"/>
    <x v="2"/>
    <s v="Suresh"/>
    <n v="290"/>
    <n v="40"/>
    <n v="100"/>
    <x v="2"/>
    <n v="35"/>
    <x v="0"/>
    <n v="1"/>
    <n v="190"/>
    <x v="253"/>
    <x v="0"/>
    <n v="3"/>
  </r>
  <r>
    <s v="ORD1822"/>
    <s v="06-02-2021"/>
    <s v="CUST793"/>
    <x v="2"/>
    <x v="11"/>
    <x v="0"/>
    <s v="Rohit"/>
    <n v="205"/>
    <n v="20"/>
    <n v="0"/>
    <x v="1"/>
    <n v="40"/>
    <x v="1"/>
    <n v="1"/>
    <n v="205"/>
    <x v="237"/>
    <x v="2"/>
    <n v="2"/>
  </r>
  <r>
    <s v="ORD1823"/>
    <s v="19-02-2021"/>
    <s v="CUST587"/>
    <x v="1"/>
    <x v="2"/>
    <x v="1"/>
    <s v="Manoj"/>
    <n v="427"/>
    <n v="20"/>
    <n v="30"/>
    <x v="0"/>
    <n v="54"/>
    <x v="0"/>
    <n v="1"/>
    <n v="397"/>
    <x v="108"/>
    <x v="2"/>
    <n v="2"/>
  </r>
  <r>
    <s v="ORD1824"/>
    <s v="27-03-2021"/>
    <s v="CUST715"/>
    <x v="4"/>
    <x v="5"/>
    <x v="3"/>
    <s v="Manoj"/>
    <n v="307"/>
    <n v="40"/>
    <n v="0"/>
    <x v="2"/>
    <n v="28"/>
    <x v="0"/>
    <n v="1"/>
    <n v="307"/>
    <x v="327"/>
    <x v="0"/>
    <n v="3"/>
  </r>
  <r>
    <s v="ORD1825"/>
    <s v="05-03-2021"/>
    <s v="CUST848"/>
    <x v="1"/>
    <x v="8"/>
    <x v="2"/>
    <s v="Rahul"/>
    <n v="599"/>
    <n v="40"/>
    <n v="30"/>
    <x v="1"/>
    <n v="36"/>
    <x v="1"/>
    <n v="1"/>
    <n v="569"/>
    <x v="81"/>
    <x v="0"/>
    <n v="3"/>
  </r>
  <r>
    <s v="ORD1826"/>
    <s v="19-02-2021"/>
    <s v="CUST853"/>
    <x v="4"/>
    <x v="9"/>
    <x v="4"/>
    <s v="Arjun"/>
    <n v="216"/>
    <n v="30"/>
    <n v="30"/>
    <x v="0"/>
    <n v="30"/>
    <x v="0"/>
    <n v="1"/>
    <n v="186"/>
    <x v="205"/>
    <x v="2"/>
    <n v="2"/>
  </r>
  <r>
    <s v="ORD1827"/>
    <s v="07-02-2021"/>
    <s v="CUST997"/>
    <x v="3"/>
    <x v="4"/>
    <x v="2"/>
    <s v="Manoj"/>
    <n v="614"/>
    <n v="20"/>
    <n v="0"/>
    <x v="0"/>
    <n v="50"/>
    <x v="0"/>
    <n v="1"/>
    <n v="614"/>
    <x v="278"/>
    <x v="2"/>
    <n v="2"/>
  </r>
  <r>
    <s v="ORD1828"/>
    <s v="14-01-2021"/>
    <s v="CUST1103"/>
    <x v="1"/>
    <x v="8"/>
    <x v="2"/>
    <s v="Karan"/>
    <n v="486"/>
    <n v="20"/>
    <n v="30"/>
    <x v="0"/>
    <n v="35"/>
    <x v="0"/>
    <n v="1"/>
    <n v="456"/>
    <x v="472"/>
    <x v="1"/>
    <n v="1"/>
  </r>
  <r>
    <s v="ORD1829"/>
    <s v="30-01-2021"/>
    <s v="CUST829"/>
    <x v="3"/>
    <x v="4"/>
    <x v="2"/>
    <s v="Suresh"/>
    <n v="153"/>
    <n v="30"/>
    <n v="50"/>
    <x v="1"/>
    <n v="22"/>
    <x v="0"/>
    <n v="1"/>
    <n v="103"/>
    <x v="478"/>
    <x v="1"/>
    <n v="1"/>
  </r>
  <r>
    <s v="ORD1830"/>
    <s v="20-01-2021"/>
    <s v="CUST669"/>
    <x v="4"/>
    <x v="5"/>
    <x v="3"/>
    <s v="Rohit"/>
    <n v="617"/>
    <n v="40"/>
    <n v="20"/>
    <x v="0"/>
    <n v="45"/>
    <x v="0"/>
    <n v="1"/>
    <n v="597"/>
    <x v="15"/>
    <x v="1"/>
    <n v="1"/>
  </r>
  <r>
    <s v="ORD1831"/>
    <s v="11-02-2021"/>
    <s v="CUST671"/>
    <x v="4"/>
    <x v="14"/>
    <x v="0"/>
    <s v="Vikas"/>
    <n v="500"/>
    <n v="20"/>
    <n v="20"/>
    <x v="1"/>
    <n v="51"/>
    <x v="0"/>
    <n v="1"/>
    <n v="480"/>
    <x v="308"/>
    <x v="2"/>
    <n v="2"/>
  </r>
  <r>
    <s v="ORD1832"/>
    <s v="26-03-2021"/>
    <s v="CUST955"/>
    <x v="2"/>
    <x v="3"/>
    <x v="1"/>
    <s v="Arjun"/>
    <n v="549"/>
    <n v="40"/>
    <n v="20"/>
    <x v="0"/>
    <n v="54"/>
    <x v="0"/>
    <n v="1"/>
    <n v="529"/>
    <x v="479"/>
    <x v="0"/>
    <n v="3"/>
  </r>
  <r>
    <s v="ORD1833"/>
    <s v="03-01-2021"/>
    <s v="CUST750"/>
    <x v="0"/>
    <x v="10"/>
    <x v="0"/>
    <s v="Arjun"/>
    <n v="678"/>
    <n v="20"/>
    <n v="20"/>
    <x v="0"/>
    <n v="48"/>
    <x v="0"/>
    <n v="1"/>
    <n v="658"/>
    <x v="89"/>
    <x v="1"/>
    <n v="1"/>
  </r>
  <r>
    <s v="ORD1834"/>
    <s v="10-02-2021"/>
    <s v="CUST1121"/>
    <x v="3"/>
    <x v="7"/>
    <x v="0"/>
    <s v="Rahul"/>
    <n v="388"/>
    <n v="30"/>
    <n v="30"/>
    <x v="1"/>
    <n v="57"/>
    <x v="0"/>
    <n v="1"/>
    <n v="358"/>
    <x v="180"/>
    <x v="2"/>
    <n v="2"/>
  </r>
  <r>
    <s v="ORD1835"/>
    <s v="08-02-2021"/>
    <s v="CUST762"/>
    <x v="1"/>
    <x v="2"/>
    <x v="1"/>
    <s v="Karan"/>
    <n v="597"/>
    <n v="30"/>
    <n v="100"/>
    <x v="2"/>
    <n v="30"/>
    <x v="0"/>
    <n v="1"/>
    <n v="497"/>
    <x v="480"/>
    <x v="2"/>
    <n v="2"/>
  </r>
  <r>
    <s v="ORD1836"/>
    <s v="25-01-2021"/>
    <s v="CUST579"/>
    <x v="1"/>
    <x v="2"/>
    <x v="1"/>
    <s v="Deepak"/>
    <n v="371"/>
    <n v="20"/>
    <n v="50"/>
    <x v="0"/>
    <n v="23"/>
    <x v="0"/>
    <n v="1"/>
    <n v="321"/>
    <x v="467"/>
    <x v="1"/>
    <n v="1"/>
  </r>
  <r>
    <s v="ORD1837"/>
    <s v="16-02-2021"/>
    <s v="CUST748"/>
    <x v="2"/>
    <x v="3"/>
    <x v="1"/>
    <s v="Rahul"/>
    <n v="261"/>
    <n v="20"/>
    <n v="30"/>
    <x v="2"/>
    <n v="52"/>
    <x v="0"/>
    <n v="1"/>
    <n v="231"/>
    <x v="256"/>
    <x v="2"/>
    <n v="2"/>
  </r>
  <r>
    <s v="ORD1838"/>
    <s v="13-02-2021"/>
    <s v="CUST841"/>
    <x v="4"/>
    <x v="5"/>
    <x v="3"/>
    <s v="Manoj"/>
    <n v="496"/>
    <n v="20"/>
    <n v="100"/>
    <x v="2"/>
    <n v="29"/>
    <x v="0"/>
    <n v="1"/>
    <n v="396"/>
    <x v="132"/>
    <x v="2"/>
    <n v="2"/>
  </r>
  <r>
    <s v="ORD1839"/>
    <s v="25-01-2021"/>
    <s v="CUST691"/>
    <x v="1"/>
    <x v="1"/>
    <x v="1"/>
    <s v="Vikas"/>
    <n v="577"/>
    <n v="20"/>
    <n v="0"/>
    <x v="0"/>
    <n v="53"/>
    <x v="0"/>
    <n v="1"/>
    <n v="577"/>
    <x v="468"/>
    <x v="1"/>
    <n v="1"/>
  </r>
  <r>
    <s v="ORD1840"/>
    <s v="24-01-2021"/>
    <s v="CUST659"/>
    <x v="2"/>
    <x v="11"/>
    <x v="0"/>
    <s v="Vikas"/>
    <n v="359"/>
    <n v="40"/>
    <n v="0"/>
    <x v="2"/>
    <n v="56"/>
    <x v="0"/>
    <n v="1"/>
    <n v="359"/>
    <x v="443"/>
    <x v="1"/>
    <n v="1"/>
  </r>
  <r>
    <s v="ORD1841"/>
    <s v="25-02-2021"/>
    <s v="CUST1012"/>
    <x v="1"/>
    <x v="1"/>
    <x v="1"/>
    <s v="Rahul"/>
    <n v="265"/>
    <n v="40"/>
    <n v="30"/>
    <x v="2"/>
    <n v="60"/>
    <x v="0"/>
    <n v="1"/>
    <n v="235"/>
    <x v="22"/>
    <x v="2"/>
    <n v="2"/>
  </r>
  <r>
    <s v="ORD1842"/>
    <s v="21-03-2021"/>
    <s v="CUST799"/>
    <x v="3"/>
    <x v="7"/>
    <x v="0"/>
    <s v="Rohit"/>
    <n v="654"/>
    <n v="50"/>
    <n v="30"/>
    <x v="1"/>
    <n v="50"/>
    <x v="0"/>
    <n v="1"/>
    <n v="624"/>
    <x v="309"/>
    <x v="0"/>
    <n v="3"/>
  </r>
  <r>
    <s v="ORD1843"/>
    <s v="25-03-2021"/>
    <s v="CUST925"/>
    <x v="3"/>
    <x v="7"/>
    <x v="0"/>
    <s v="Karan"/>
    <n v="422"/>
    <n v="20"/>
    <n v="0"/>
    <x v="0"/>
    <n v="30"/>
    <x v="0"/>
    <n v="1"/>
    <n v="422"/>
    <x v="481"/>
    <x v="0"/>
    <n v="3"/>
  </r>
  <r>
    <s v="ORD1844"/>
    <s v="29-01-2021"/>
    <s v="CUST528"/>
    <x v="2"/>
    <x v="3"/>
    <x v="1"/>
    <s v="Amit"/>
    <n v="357"/>
    <n v="20"/>
    <n v="30"/>
    <x v="1"/>
    <n v="34"/>
    <x v="0"/>
    <n v="1"/>
    <n v="327"/>
    <x v="327"/>
    <x v="1"/>
    <n v="1"/>
  </r>
  <r>
    <s v="ORD1845"/>
    <s v="18-03-2021"/>
    <s v="CUST1093"/>
    <x v="0"/>
    <x v="0"/>
    <x v="0"/>
    <s v="Suresh"/>
    <n v="510"/>
    <n v="30"/>
    <n v="0"/>
    <x v="1"/>
    <n v="38"/>
    <x v="0"/>
    <n v="1"/>
    <n v="510"/>
    <x v="80"/>
    <x v="0"/>
    <n v="3"/>
  </r>
  <r>
    <s v="ORD1846"/>
    <s v="07-01-2021"/>
    <s v="CUST532"/>
    <x v="3"/>
    <x v="7"/>
    <x v="0"/>
    <s v="Imran"/>
    <n v="359"/>
    <n v="30"/>
    <n v="20"/>
    <x v="0"/>
    <n v="60"/>
    <x v="0"/>
    <n v="1"/>
    <n v="339"/>
    <x v="65"/>
    <x v="1"/>
    <n v="1"/>
  </r>
  <r>
    <s v="ORD1847"/>
    <s v="06-01-2021"/>
    <s v="CUST516"/>
    <x v="2"/>
    <x v="6"/>
    <x v="2"/>
    <s v="Amit"/>
    <n v="727"/>
    <n v="20"/>
    <n v="50"/>
    <x v="1"/>
    <n v="60"/>
    <x v="0"/>
    <n v="1"/>
    <n v="677"/>
    <x v="78"/>
    <x v="1"/>
    <n v="1"/>
  </r>
  <r>
    <s v="ORD1848"/>
    <s v="26-01-2021"/>
    <s v="CUST1079"/>
    <x v="0"/>
    <x v="0"/>
    <x v="0"/>
    <s v="Imran"/>
    <n v="240"/>
    <n v="30"/>
    <n v="20"/>
    <x v="1"/>
    <n v="35"/>
    <x v="0"/>
    <n v="1"/>
    <n v="220"/>
    <x v="117"/>
    <x v="1"/>
    <n v="1"/>
  </r>
  <r>
    <s v="ORD1849"/>
    <s v="25-03-2021"/>
    <s v="CUST798"/>
    <x v="3"/>
    <x v="7"/>
    <x v="0"/>
    <s v="Rohit"/>
    <n v="506"/>
    <n v="30"/>
    <n v="50"/>
    <x v="1"/>
    <n v="44"/>
    <x v="0"/>
    <n v="1"/>
    <n v="456"/>
    <x v="218"/>
    <x v="0"/>
    <n v="3"/>
  </r>
  <r>
    <s v="ORD1850"/>
    <s v="10-03-2021"/>
    <s v="CUST726"/>
    <x v="0"/>
    <x v="12"/>
    <x v="3"/>
    <s v="Rohit"/>
    <n v="153"/>
    <n v="50"/>
    <n v="50"/>
    <x v="1"/>
    <n v="35"/>
    <x v="0"/>
    <n v="1"/>
    <n v="103"/>
    <x v="482"/>
    <x v="0"/>
    <n v="3"/>
  </r>
  <r>
    <s v="ORD1851"/>
    <s v="12-02-2021"/>
    <s v="CUST709"/>
    <x v="0"/>
    <x v="12"/>
    <x v="3"/>
    <s v="Arjun"/>
    <n v="710"/>
    <n v="30"/>
    <n v="100"/>
    <x v="2"/>
    <n v="27"/>
    <x v="0"/>
    <n v="1"/>
    <n v="610"/>
    <x v="399"/>
    <x v="2"/>
    <n v="2"/>
  </r>
  <r>
    <s v="ORD1852"/>
    <s v="06-03-2021"/>
    <s v="CUST543"/>
    <x v="2"/>
    <x v="3"/>
    <x v="1"/>
    <s v="Rohit"/>
    <n v="535"/>
    <n v="30"/>
    <n v="20"/>
    <x v="0"/>
    <n v="47"/>
    <x v="0"/>
    <n v="1"/>
    <n v="515"/>
    <x v="272"/>
    <x v="0"/>
    <n v="3"/>
  </r>
  <r>
    <s v="ORD1853"/>
    <s v="13-03-2021"/>
    <s v="CUST699"/>
    <x v="4"/>
    <x v="14"/>
    <x v="0"/>
    <s v="Rohit"/>
    <n v="215"/>
    <n v="30"/>
    <n v="20"/>
    <x v="0"/>
    <n v="49"/>
    <x v="0"/>
    <n v="1"/>
    <n v="195"/>
    <x v="237"/>
    <x v="0"/>
    <n v="3"/>
  </r>
  <r>
    <s v="ORD1854"/>
    <s v="07-03-2021"/>
    <s v="CUST1011"/>
    <x v="3"/>
    <x v="13"/>
    <x v="1"/>
    <s v="Suresh"/>
    <n v="361"/>
    <n v="20"/>
    <n v="20"/>
    <x v="1"/>
    <n v="49"/>
    <x v="0"/>
    <n v="1"/>
    <n v="341"/>
    <x v="483"/>
    <x v="0"/>
    <n v="3"/>
  </r>
  <r>
    <s v="ORD1855"/>
    <s v="11-03-2021"/>
    <s v="CUST764"/>
    <x v="1"/>
    <x v="8"/>
    <x v="2"/>
    <s v="Suresh"/>
    <n v="180"/>
    <n v="30"/>
    <n v="20"/>
    <x v="0"/>
    <n v="20"/>
    <x v="1"/>
    <n v="1"/>
    <n v="160"/>
    <x v="484"/>
    <x v="0"/>
    <n v="3"/>
  </r>
  <r>
    <s v="ORD1856"/>
    <s v="10-02-2021"/>
    <s v="CUST577"/>
    <x v="2"/>
    <x v="6"/>
    <x v="2"/>
    <s v="Rahul"/>
    <n v="667"/>
    <n v="40"/>
    <n v="0"/>
    <x v="0"/>
    <n v="40"/>
    <x v="0"/>
    <n v="1"/>
    <n v="667"/>
    <x v="357"/>
    <x v="2"/>
    <n v="2"/>
  </r>
  <r>
    <s v="ORD1857"/>
    <s v="28-03-2021"/>
    <s v="CUST798"/>
    <x v="0"/>
    <x v="12"/>
    <x v="3"/>
    <s v="Imran"/>
    <n v="249"/>
    <n v="20"/>
    <n v="100"/>
    <x v="0"/>
    <n v="54"/>
    <x v="0"/>
    <n v="1"/>
    <n v="149"/>
    <x v="310"/>
    <x v="0"/>
    <n v="3"/>
  </r>
  <r>
    <s v="ORD1858"/>
    <s v="06-01-2021"/>
    <s v="CUST1031"/>
    <x v="4"/>
    <x v="9"/>
    <x v="4"/>
    <s v="Manoj"/>
    <n v="573"/>
    <n v="40"/>
    <n v="0"/>
    <x v="0"/>
    <n v="37"/>
    <x v="0"/>
    <n v="1"/>
    <n v="573"/>
    <x v="265"/>
    <x v="1"/>
    <n v="1"/>
  </r>
  <r>
    <s v="ORD1859"/>
    <s v="23-01-2021"/>
    <s v="CUST817"/>
    <x v="4"/>
    <x v="9"/>
    <x v="4"/>
    <s v="Suresh"/>
    <n v="532"/>
    <n v="20"/>
    <n v="20"/>
    <x v="1"/>
    <n v="36"/>
    <x v="0"/>
    <n v="1"/>
    <n v="512"/>
    <x v="3"/>
    <x v="1"/>
    <n v="1"/>
  </r>
  <r>
    <s v="ORD1860"/>
    <s v="10-03-2021"/>
    <s v="CUST603"/>
    <x v="2"/>
    <x v="3"/>
    <x v="1"/>
    <s v="Suresh"/>
    <n v="279"/>
    <n v="20"/>
    <n v="0"/>
    <x v="2"/>
    <n v="37"/>
    <x v="1"/>
    <n v="1"/>
    <n v="279"/>
    <x v="485"/>
    <x v="0"/>
    <n v="3"/>
  </r>
  <r>
    <s v="ORD1861"/>
    <s v="19-03-2021"/>
    <s v="CUST812"/>
    <x v="3"/>
    <x v="4"/>
    <x v="2"/>
    <s v="Rohit"/>
    <n v="272"/>
    <n v="30"/>
    <n v="20"/>
    <x v="2"/>
    <n v="46"/>
    <x v="0"/>
    <n v="1"/>
    <n v="252"/>
    <x v="121"/>
    <x v="0"/>
    <n v="3"/>
  </r>
  <r>
    <s v="ORD1862"/>
    <s v="08-01-2021"/>
    <s v="CUST975"/>
    <x v="0"/>
    <x v="12"/>
    <x v="3"/>
    <s v="Rahul"/>
    <n v="736"/>
    <n v="50"/>
    <n v="20"/>
    <x v="0"/>
    <n v="60"/>
    <x v="0"/>
    <n v="1"/>
    <n v="716"/>
    <x v="486"/>
    <x v="1"/>
    <n v="1"/>
  </r>
  <r>
    <s v="ORD1863"/>
    <s v="04-01-2021"/>
    <s v="CUST797"/>
    <x v="1"/>
    <x v="8"/>
    <x v="2"/>
    <s v="Vikas"/>
    <n v="534"/>
    <n v="20"/>
    <n v="30"/>
    <x v="1"/>
    <n v="29"/>
    <x v="0"/>
    <n v="1"/>
    <n v="504"/>
    <x v="301"/>
    <x v="1"/>
    <n v="1"/>
  </r>
  <r>
    <s v="ORD1864"/>
    <s v="21-01-2021"/>
    <s v="CUST742"/>
    <x v="1"/>
    <x v="8"/>
    <x v="2"/>
    <s v="Suresh"/>
    <n v="165"/>
    <n v="50"/>
    <n v="0"/>
    <x v="0"/>
    <n v="23"/>
    <x v="0"/>
    <n v="1"/>
    <n v="165"/>
    <x v="66"/>
    <x v="1"/>
    <n v="1"/>
  </r>
  <r>
    <s v="ORD1865"/>
    <s v="22-02-2021"/>
    <s v="CUST835"/>
    <x v="4"/>
    <x v="9"/>
    <x v="4"/>
    <s v="Deepak"/>
    <n v="187"/>
    <n v="20"/>
    <n v="30"/>
    <x v="0"/>
    <n v="48"/>
    <x v="0"/>
    <n v="1"/>
    <n v="157"/>
    <x v="487"/>
    <x v="2"/>
    <n v="2"/>
  </r>
  <r>
    <s v="ORD1866"/>
    <s v="16-03-2021"/>
    <s v="CUST1136"/>
    <x v="0"/>
    <x v="10"/>
    <x v="0"/>
    <s v="Rahul"/>
    <n v="172"/>
    <n v="20"/>
    <n v="30"/>
    <x v="2"/>
    <n v="21"/>
    <x v="0"/>
    <n v="1"/>
    <n v="142"/>
    <x v="488"/>
    <x v="0"/>
    <n v="3"/>
  </r>
  <r>
    <s v="ORD1867"/>
    <s v="06-02-2021"/>
    <s v="CUST1125"/>
    <x v="1"/>
    <x v="8"/>
    <x v="2"/>
    <s v="Vikas"/>
    <n v="418"/>
    <n v="20"/>
    <n v="30"/>
    <x v="0"/>
    <n v="40"/>
    <x v="1"/>
    <n v="1"/>
    <n v="388"/>
    <x v="36"/>
    <x v="2"/>
    <n v="2"/>
  </r>
  <r>
    <s v="ORD1868"/>
    <s v="14-02-2021"/>
    <s v="CUST732"/>
    <x v="1"/>
    <x v="8"/>
    <x v="2"/>
    <s v="Arjun"/>
    <n v="626"/>
    <n v="40"/>
    <n v="100"/>
    <x v="0"/>
    <n v="58"/>
    <x v="0"/>
    <n v="1"/>
    <n v="526"/>
    <x v="79"/>
    <x v="2"/>
    <n v="2"/>
  </r>
  <r>
    <s v="ORD1869"/>
    <s v="24-02-2021"/>
    <s v="CUST1111"/>
    <x v="1"/>
    <x v="1"/>
    <x v="1"/>
    <s v="Amit"/>
    <n v="192"/>
    <n v="40"/>
    <n v="0"/>
    <x v="0"/>
    <n v="38"/>
    <x v="0"/>
    <n v="1"/>
    <n v="192"/>
    <x v="489"/>
    <x v="2"/>
    <n v="2"/>
  </r>
  <r>
    <s v="ORD1870"/>
    <s v="30-03-2021"/>
    <s v="CUST636"/>
    <x v="2"/>
    <x v="11"/>
    <x v="0"/>
    <s v="Manoj"/>
    <n v="264"/>
    <n v="50"/>
    <n v="30"/>
    <x v="2"/>
    <n v="60"/>
    <x v="0"/>
    <n v="1"/>
    <n v="234"/>
    <x v="490"/>
    <x v="0"/>
    <n v="3"/>
  </r>
  <r>
    <s v="ORD1871"/>
    <s v="13-03-2021"/>
    <s v="CUST822"/>
    <x v="3"/>
    <x v="7"/>
    <x v="0"/>
    <s v="Imran"/>
    <n v="694"/>
    <n v="40"/>
    <n v="0"/>
    <x v="2"/>
    <n v="34"/>
    <x v="0"/>
    <n v="1"/>
    <n v="694"/>
    <x v="426"/>
    <x v="0"/>
    <n v="3"/>
  </r>
  <r>
    <s v="ORD1872"/>
    <s v="01-02-2021"/>
    <s v="CUST857"/>
    <x v="0"/>
    <x v="0"/>
    <x v="0"/>
    <s v="Suresh"/>
    <n v="574"/>
    <n v="40"/>
    <n v="0"/>
    <x v="0"/>
    <n v="47"/>
    <x v="0"/>
    <n v="1"/>
    <n v="574"/>
    <x v="23"/>
    <x v="2"/>
    <n v="2"/>
  </r>
  <r>
    <s v="ORD1873"/>
    <s v="03-02-2021"/>
    <s v="CUST680"/>
    <x v="2"/>
    <x v="6"/>
    <x v="2"/>
    <s v="Deepak"/>
    <n v="240"/>
    <n v="40"/>
    <n v="30"/>
    <x v="0"/>
    <n v="58"/>
    <x v="0"/>
    <n v="1"/>
    <n v="210"/>
    <x v="117"/>
    <x v="2"/>
    <n v="2"/>
  </r>
  <r>
    <s v="ORD1874"/>
    <s v="17-01-2021"/>
    <s v="CUST979"/>
    <x v="3"/>
    <x v="13"/>
    <x v="1"/>
    <s v="Rohit"/>
    <n v="428"/>
    <n v="30"/>
    <n v="50"/>
    <x v="0"/>
    <n v="26"/>
    <x v="0"/>
    <n v="1"/>
    <n v="378"/>
    <x v="36"/>
    <x v="1"/>
    <n v="1"/>
  </r>
  <r>
    <s v="ORD1875"/>
    <s v="22-01-2021"/>
    <s v="CUST675"/>
    <x v="3"/>
    <x v="13"/>
    <x v="1"/>
    <s v="Amit"/>
    <n v="502"/>
    <n v="20"/>
    <n v="100"/>
    <x v="1"/>
    <n v="24"/>
    <x v="0"/>
    <n v="1"/>
    <n v="402"/>
    <x v="294"/>
    <x v="1"/>
    <n v="1"/>
  </r>
  <r>
    <s v="ORD1876"/>
    <s v="01-01-2021"/>
    <s v="CUST596"/>
    <x v="0"/>
    <x v="12"/>
    <x v="3"/>
    <s v="Rahul"/>
    <n v="736"/>
    <n v="50"/>
    <n v="30"/>
    <x v="2"/>
    <n v="29"/>
    <x v="0"/>
    <n v="1"/>
    <n v="706"/>
    <x v="491"/>
    <x v="1"/>
    <n v="1"/>
  </r>
  <r>
    <s v="ORD1877"/>
    <s v="16-01-2021"/>
    <s v="CUST1119"/>
    <x v="1"/>
    <x v="8"/>
    <x v="2"/>
    <s v="Suresh"/>
    <n v="784"/>
    <n v="30"/>
    <n v="20"/>
    <x v="1"/>
    <n v="38"/>
    <x v="0"/>
    <n v="1"/>
    <n v="764"/>
    <x v="44"/>
    <x v="1"/>
    <n v="1"/>
  </r>
  <r>
    <s v="ORD1878"/>
    <s v="28-03-2021"/>
    <s v="CUST867"/>
    <x v="1"/>
    <x v="1"/>
    <x v="1"/>
    <s v="Manoj"/>
    <n v="468"/>
    <n v="40"/>
    <n v="100"/>
    <x v="2"/>
    <n v="39"/>
    <x v="0"/>
    <n v="1"/>
    <n v="368"/>
    <x v="36"/>
    <x v="0"/>
    <n v="3"/>
  </r>
  <r>
    <s v="ORD1879"/>
    <s v="10-03-2021"/>
    <s v="CUST800"/>
    <x v="1"/>
    <x v="2"/>
    <x v="1"/>
    <s v="Suresh"/>
    <n v="552"/>
    <n v="30"/>
    <n v="100"/>
    <x v="0"/>
    <n v="22"/>
    <x v="0"/>
    <n v="1"/>
    <n v="452"/>
    <x v="335"/>
    <x v="0"/>
    <n v="3"/>
  </r>
  <r>
    <s v="ORD1880"/>
    <s v="25-01-2021"/>
    <s v="CUST759"/>
    <x v="1"/>
    <x v="8"/>
    <x v="2"/>
    <s v="Manoj"/>
    <n v="568"/>
    <n v="30"/>
    <n v="30"/>
    <x v="0"/>
    <n v="51"/>
    <x v="0"/>
    <n v="1"/>
    <n v="538"/>
    <x v="333"/>
    <x v="1"/>
    <n v="1"/>
  </r>
  <r>
    <s v="ORD1881"/>
    <s v="12-03-2021"/>
    <s v="CUST731"/>
    <x v="3"/>
    <x v="13"/>
    <x v="1"/>
    <s v="Suresh"/>
    <n v="601"/>
    <n v="40"/>
    <n v="100"/>
    <x v="1"/>
    <n v="58"/>
    <x v="0"/>
    <n v="1"/>
    <n v="501"/>
    <x v="453"/>
    <x v="0"/>
    <n v="3"/>
  </r>
  <r>
    <s v="ORD1882"/>
    <s v="31-03-2021"/>
    <s v="CUST1096"/>
    <x v="2"/>
    <x v="3"/>
    <x v="1"/>
    <s v="Karan"/>
    <n v="391"/>
    <n v="50"/>
    <n v="0"/>
    <x v="1"/>
    <n v="59"/>
    <x v="0"/>
    <n v="1"/>
    <n v="391"/>
    <x v="424"/>
    <x v="0"/>
    <n v="3"/>
  </r>
  <r>
    <s v="ORD1883"/>
    <s v="31-01-2021"/>
    <s v="CUST896"/>
    <x v="2"/>
    <x v="11"/>
    <x v="0"/>
    <s v="Suresh"/>
    <n v="582"/>
    <n v="30"/>
    <n v="50"/>
    <x v="0"/>
    <n v="26"/>
    <x v="0"/>
    <n v="1"/>
    <n v="532"/>
    <x v="492"/>
    <x v="1"/>
    <n v="1"/>
  </r>
  <r>
    <s v="ORD1884"/>
    <s v="02-02-2021"/>
    <s v="CUST915"/>
    <x v="0"/>
    <x v="10"/>
    <x v="0"/>
    <s v="Suresh"/>
    <n v="438"/>
    <n v="20"/>
    <n v="50"/>
    <x v="2"/>
    <n v="27"/>
    <x v="0"/>
    <n v="1"/>
    <n v="388"/>
    <x v="36"/>
    <x v="2"/>
    <n v="2"/>
  </r>
  <r>
    <s v="ORD1885"/>
    <s v="06-03-2021"/>
    <s v="CUST958"/>
    <x v="4"/>
    <x v="5"/>
    <x v="3"/>
    <s v="Amit"/>
    <n v="337"/>
    <n v="50"/>
    <n v="0"/>
    <x v="1"/>
    <n v="25"/>
    <x v="0"/>
    <n v="1"/>
    <n v="337"/>
    <x v="221"/>
    <x v="0"/>
    <n v="3"/>
  </r>
  <r>
    <s v="ORD1886"/>
    <s v="12-01-2021"/>
    <s v="CUST1166"/>
    <x v="0"/>
    <x v="10"/>
    <x v="0"/>
    <s v="Arjun"/>
    <n v="467"/>
    <n v="20"/>
    <n v="30"/>
    <x v="2"/>
    <n v="31"/>
    <x v="0"/>
    <n v="1"/>
    <n v="437"/>
    <x v="102"/>
    <x v="1"/>
    <n v="1"/>
  </r>
  <r>
    <s v="ORD1887"/>
    <s v="20-02-2021"/>
    <s v="CUST643"/>
    <x v="2"/>
    <x v="6"/>
    <x v="2"/>
    <s v="Imran"/>
    <n v="781"/>
    <n v="20"/>
    <n v="100"/>
    <x v="2"/>
    <n v="55"/>
    <x v="0"/>
    <n v="1"/>
    <n v="681"/>
    <x v="42"/>
    <x v="2"/>
    <n v="2"/>
  </r>
  <r>
    <s v="ORD1888"/>
    <s v="22-01-2021"/>
    <s v="CUST758"/>
    <x v="2"/>
    <x v="3"/>
    <x v="1"/>
    <s v="Suresh"/>
    <n v="519"/>
    <n v="30"/>
    <n v="30"/>
    <x v="0"/>
    <n v="54"/>
    <x v="0"/>
    <n v="1"/>
    <n v="489"/>
    <x v="93"/>
    <x v="1"/>
    <n v="1"/>
  </r>
  <r>
    <s v="ORD1889"/>
    <s v="22-01-2021"/>
    <s v="CUST713"/>
    <x v="3"/>
    <x v="4"/>
    <x v="2"/>
    <s v="Vikas"/>
    <n v="173"/>
    <n v="30"/>
    <n v="30"/>
    <x v="2"/>
    <n v="51"/>
    <x v="0"/>
    <n v="1"/>
    <n v="143"/>
    <x v="4"/>
    <x v="1"/>
    <n v="1"/>
  </r>
  <r>
    <s v="ORD1890"/>
    <s v="23-02-2021"/>
    <s v="CUST1151"/>
    <x v="3"/>
    <x v="7"/>
    <x v="0"/>
    <s v="Deepak"/>
    <n v="512"/>
    <n v="20"/>
    <n v="50"/>
    <x v="0"/>
    <n v="29"/>
    <x v="0"/>
    <n v="1"/>
    <n v="462"/>
    <x v="335"/>
    <x v="2"/>
    <n v="2"/>
  </r>
  <r>
    <s v="ORD1891"/>
    <s v="28-01-2021"/>
    <s v="CUST922"/>
    <x v="2"/>
    <x v="3"/>
    <x v="1"/>
    <s v="Deepak"/>
    <n v="754"/>
    <n v="20"/>
    <n v="100"/>
    <x v="1"/>
    <n v="23"/>
    <x v="0"/>
    <n v="1"/>
    <n v="654"/>
    <x v="309"/>
    <x v="1"/>
    <n v="1"/>
  </r>
  <r>
    <s v="ORD1892"/>
    <s v="24-01-2021"/>
    <s v="CUST827"/>
    <x v="0"/>
    <x v="10"/>
    <x v="0"/>
    <s v="Vikas"/>
    <n v="471"/>
    <n v="20"/>
    <n v="100"/>
    <x v="0"/>
    <n v="53"/>
    <x v="0"/>
    <n v="1"/>
    <n v="371"/>
    <x v="493"/>
    <x v="1"/>
    <n v="1"/>
  </r>
  <r>
    <s v="ORD1893"/>
    <s v="21-02-2021"/>
    <s v="CUST807"/>
    <x v="3"/>
    <x v="13"/>
    <x v="1"/>
    <s v="Deepak"/>
    <n v="290"/>
    <n v="50"/>
    <n v="100"/>
    <x v="2"/>
    <n v="41"/>
    <x v="0"/>
    <n v="1"/>
    <n v="190"/>
    <x v="378"/>
    <x v="2"/>
    <n v="2"/>
  </r>
  <r>
    <s v="ORD1894"/>
    <s v="24-01-2021"/>
    <s v="CUST565"/>
    <x v="3"/>
    <x v="7"/>
    <x v="0"/>
    <s v="Suresh"/>
    <n v="647"/>
    <n v="30"/>
    <n v="30"/>
    <x v="2"/>
    <n v="55"/>
    <x v="0"/>
    <n v="1"/>
    <n v="617"/>
    <x v="11"/>
    <x v="1"/>
    <n v="1"/>
  </r>
  <r>
    <s v="ORD1895"/>
    <s v="15-03-2021"/>
    <s v="CUST681"/>
    <x v="4"/>
    <x v="5"/>
    <x v="3"/>
    <s v="Deepak"/>
    <n v="315"/>
    <n v="20"/>
    <n v="20"/>
    <x v="0"/>
    <n v="29"/>
    <x v="0"/>
    <n v="1"/>
    <n v="295"/>
    <x v="342"/>
    <x v="0"/>
    <n v="3"/>
  </r>
  <r>
    <s v="ORD1896"/>
    <s v="24-02-2021"/>
    <s v="CUST747"/>
    <x v="2"/>
    <x v="11"/>
    <x v="0"/>
    <s v="Suresh"/>
    <n v="415"/>
    <n v="30"/>
    <n v="30"/>
    <x v="0"/>
    <n v="60"/>
    <x v="0"/>
    <n v="1"/>
    <n v="385"/>
    <x v="169"/>
    <x v="2"/>
    <n v="2"/>
  </r>
  <r>
    <s v="ORD1897"/>
    <s v="15-01-2021"/>
    <s v="CUST687"/>
    <x v="2"/>
    <x v="11"/>
    <x v="0"/>
    <s v="Amit"/>
    <n v="327"/>
    <n v="40"/>
    <n v="20"/>
    <x v="0"/>
    <n v="42"/>
    <x v="0"/>
    <n v="1"/>
    <n v="307"/>
    <x v="327"/>
    <x v="1"/>
    <n v="1"/>
  </r>
  <r>
    <s v="ORD1898"/>
    <s v="10-01-2021"/>
    <s v="CUST625"/>
    <x v="0"/>
    <x v="10"/>
    <x v="0"/>
    <s v="Rahul"/>
    <n v="478"/>
    <n v="30"/>
    <n v="0"/>
    <x v="2"/>
    <n v="33"/>
    <x v="0"/>
    <n v="1"/>
    <n v="478"/>
    <x v="494"/>
    <x v="1"/>
    <n v="1"/>
  </r>
  <r>
    <s v="ORD1899"/>
    <s v="06-03-2021"/>
    <s v="CUST662"/>
    <x v="4"/>
    <x v="5"/>
    <x v="3"/>
    <s v="Vikas"/>
    <n v="249"/>
    <n v="50"/>
    <n v="100"/>
    <x v="1"/>
    <n v="31"/>
    <x v="0"/>
    <n v="1"/>
    <n v="149"/>
    <x v="495"/>
    <x v="0"/>
    <n v="3"/>
  </r>
  <r>
    <s v="ORD1900"/>
    <s v="03-03-2021"/>
    <s v="CUST1175"/>
    <x v="3"/>
    <x v="13"/>
    <x v="1"/>
    <s v="Arjun"/>
    <n v="664"/>
    <n v="50"/>
    <n v="30"/>
    <x v="0"/>
    <n v="39"/>
    <x v="0"/>
    <n v="1"/>
    <n v="634"/>
    <x v="47"/>
    <x v="0"/>
    <n v="3"/>
  </r>
  <r>
    <s v="ORD1901"/>
    <s v="17-01-2021"/>
    <s v="CUST632"/>
    <x v="4"/>
    <x v="9"/>
    <x v="4"/>
    <s v="Imran"/>
    <n v="678"/>
    <n v="20"/>
    <n v="100"/>
    <x v="2"/>
    <n v="60"/>
    <x v="0"/>
    <n v="1"/>
    <n v="578"/>
    <x v="496"/>
    <x v="1"/>
    <n v="1"/>
  </r>
  <r>
    <s v="ORD1902"/>
    <s v="05-01-2021"/>
    <s v="CUST1038"/>
    <x v="2"/>
    <x v="6"/>
    <x v="2"/>
    <s v="Vikas"/>
    <n v="728"/>
    <n v="30"/>
    <n v="100"/>
    <x v="1"/>
    <n v="20"/>
    <x v="1"/>
    <n v="1"/>
    <n v="628"/>
    <x v="231"/>
    <x v="1"/>
    <n v="1"/>
  </r>
  <r>
    <s v="ORD1903"/>
    <s v="02-02-2021"/>
    <s v="CUST907"/>
    <x v="4"/>
    <x v="14"/>
    <x v="0"/>
    <s v="Amit"/>
    <n v="577"/>
    <n v="40"/>
    <n v="0"/>
    <x v="1"/>
    <n v="33"/>
    <x v="0"/>
    <n v="1"/>
    <n v="577"/>
    <x v="387"/>
    <x v="2"/>
    <n v="2"/>
  </r>
  <r>
    <s v="ORD1904"/>
    <s v="25-03-2021"/>
    <s v="CUST519"/>
    <x v="4"/>
    <x v="9"/>
    <x v="4"/>
    <s v="Vikas"/>
    <n v="613"/>
    <n v="40"/>
    <n v="0"/>
    <x v="2"/>
    <n v="54"/>
    <x v="0"/>
    <n v="1"/>
    <n v="613"/>
    <x v="497"/>
    <x v="0"/>
    <n v="3"/>
  </r>
  <r>
    <s v="ORD1905"/>
    <s v="23-03-2021"/>
    <s v="CUST849"/>
    <x v="3"/>
    <x v="4"/>
    <x v="2"/>
    <s v="Suresh"/>
    <n v="555"/>
    <n v="30"/>
    <n v="100"/>
    <x v="1"/>
    <n v="48"/>
    <x v="0"/>
    <n v="1"/>
    <n v="455"/>
    <x v="107"/>
    <x v="0"/>
    <n v="3"/>
  </r>
  <r>
    <s v="ORD1906"/>
    <s v="14-02-2021"/>
    <s v="CUST840"/>
    <x v="4"/>
    <x v="5"/>
    <x v="3"/>
    <s v="Rahul"/>
    <n v="730"/>
    <n v="20"/>
    <n v="100"/>
    <x v="0"/>
    <n v="23"/>
    <x v="0"/>
    <n v="1"/>
    <n v="630"/>
    <x v="280"/>
    <x v="2"/>
    <n v="2"/>
  </r>
  <r>
    <s v="ORD1907"/>
    <s v="01-01-2021"/>
    <s v="CUST1053"/>
    <x v="0"/>
    <x v="0"/>
    <x v="0"/>
    <s v="Arjun"/>
    <n v="312"/>
    <n v="40"/>
    <n v="0"/>
    <x v="2"/>
    <n v="54"/>
    <x v="0"/>
    <n v="1"/>
    <n v="312"/>
    <x v="498"/>
    <x v="1"/>
    <n v="1"/>
  </r>
  <r>
    <s v="ORD1908"/>
    <s v="24-01-2021"/>
    <s v="CUST667"/>
    <x v="3"/>
    <x v="7"/>
    <x v="0"/>
    <s v="Deepak"/>
    <n v="536"/>
    <n v="40"/>
    <n v="20"/>
    <x v="1"/>
    <n v="35"/>
    <x v="0"/>
    <n v="1"/>
    <n v="516"/>
    <x v="193"/>
    <x v="1"/>
    <n v="1"/>
  </r>
  <r>
    <s v="ORD1909"/>
    <s v="21-01-2021"/>
    <s v="CUST933"/>
    <x v="2"/>
    <x v="6"/>
    <x v="2"/>
    <s v="Manoj"/>
    <n v="259"/>
    <n v="50"/>
    <n v="50"/>
    <x v="2"/>
    <n v="43"/>
    <x v="0"/>
    <n v="1"/>
    <n v="209"/>
    <x v="74"/>
    <x v="1"/>
    <n v="1"/>
  </r>
  <r>
    <s v="ORD1910"/>
    <s v="17-02-2021"/>
    <s v="CUST661"/>
    <x v="3"/>
    <x v="13"/>
    <x v="1"/>
    <s v="Arjun"/>
    <n v="536"/>
    <n v="40"/>
    <n v="20"/>
    <x v="1"/>
    <n v="31"/>
    <x v="0"/>
    <n v="1"/>
    <n v="516"/>
    <x v="193"/>
    <x v="2"/>
    <n v="2"/>
  </r>
  <r>
    <s v="ORD1911"/>
    <s v="08-02-2021"/>
    <s v="CUST839"/>
    <x v="1"/>
    <x v="8"/>
    <x v="2"/>
    <s v="Arjun"/>
    <n v="635"/>
    <n v="50"/>
    <n v="100"/>
    <x v="0"/>
    <n v="47"/>
    <x v="0"/>
    <n v="1"/>
    <n v="535"/>
    <x v="499"/>
    <x v="2"/>
    <n v="2"/>
  </r>
  <r>
    <s v="ORD1912"/>
    <s v="20-03-2021"/>
    <s v="CUST790"/>
    <x v="2"/>
    <x v="3"/>
    <x v="1"/>
    <s v="Suresh"/>
    <n v="377"/>
    <n v="30"/>
    <n v="30"/>
    <x v="2"/>
    <n v="30"/>
    <x v="0"/>
    <n v="1"/>
    <n v="347"/>
    <x v="1"/>
    <x v="0"/>
    <n v="3"/>
  </r>
  <r>
    <s v="ORD1913"/>
    <s v="30-01-2021"/>
    <s v="CUST948"/>
    <x v="1"/>
    <x v="8"/>
    <x v="2"/>
    <s v="Manoj"/>
    <n v="462"/>
    <n v="20"/>
    <n v="0"/>
    <x v="1"/>
    <n v="45"/>
    <x v="0"/>
    <n v="1"/>
    <n v="462"/>
    <x v="335"/>
    <x v="1"/>
    <n v="1"/>
  </r>
  <r>
    <s v="ORD1914"/>
    <s v="24-01-2021"/>
    <s v="CUST1175"/>
    <x v="0"/>
    <x v="10"/>
    <x v="0"/>
    <s v="Vikas"/>
    <n v="425"/>
    <n v="20"/>
    <n v="20"/>
    <x v="2"/>
    <n v="23"/>
    <x v="0"/>
    <n v="1"/>
    <n v="405"/>
    <x v="442"/>
    <x v="1"/>
    <n v="1"/>
  </r>
  <r>
    <s v="ORD1915"/>
    <s v="27-01-2021"/>
    <s v="CUST557"/>
    <x v="2"/>
    <x v="6"/>
    <x v="2"/>
    <s v="Deepak"/>
    <n v="461"/>
    <n v="40"/>
    <n v="50"/>
    <x v="2"/>
    <n v="58"/>
    <x v="0"/>
    <n v="1"/>
    <n v="411"/>
    <x v="455"/>
    <x v="1"/>
    <n v="1"/>
  </r>
  <r>
    <s v="ORD1916"/>
    <s v="03-03-2021"/>
    <s v="CUST974"/>
    <x v="3"/>
    <x v="13"/>
    <x v="1"/>
    <s v="Vikas"/>
    <n v="485"/>
    <n v="40"/>
    <n v="50"/>
    <x v="1"/>
    <n v="38"/>
    <x v="0"/>
    <n v="1"/>
    <n v="435"/>
    <x v="230"/>
    <x v="0"/>
    <n v="3"/>
  </r>
  <r>
    <s v="ORD1917"/>
    <s v="30-03-2021"/>
    <s v="CUST1058"/>
    <x v="3"/>
    <x v="13"/>
    <x v="1"/>
    <s v="Manoj"/>
    <n v="587"/>
    <n v="20"/>
    <n v="50"/>
    <x v="1"/>
    <n v="21"/>
    <x v="0"/>
    <n v="1"/>
    <n v="537"/>
    <x v="417"/>
    <x v="0"/>
    <n v="3"/>
  </r>
  <r>
    <s v="ORD1918"/>
    <s v="18-01-2021"/>
    <s v="CUST1066"/>
    <x v="0"/>
    <x v="10"/>
    <x v="0"/>
    <s v="Suresh"/>
    <n v="587"/>
    <n v="30"/>
    <n v="100"/>
    <x v="1"/>
    <n v="53"/>
    <x v="0"/>
    <n v="1"/>
    <n v="487"/>
    <x v="322"/>
    <x v="1"/>
    <n v="1"/>
  </r>
  <r>
    <s v="ORD1919"/>
    <s v="29-01-2021"/>
    <s v="CUST552"/>
    <x v="2"/>
    <x v="6"/>
    <x v="2"/>
    <s v="Suresh"/>
    <n v="604"/>
    <n v="50"/>
    <n v="50"/>
    <x v="1"/>
    <n v="22"/>
    <x v="0"/>
    <n v="1"/>
    <n v="554"/>
    <x v="398"/>
    <x v="1"/>
    <n v="1"/>
  </r>
  <r>
    <s v="ORD1920"/>
    <s v="25-01-2021"/>
    <s v="CUST1025"/>
    <x v="0"/>
    <x v="10"/>
    <x v="0"/>
    <s v="Imran"/>
    <n v="502"/>
    <n v="50"/>
    <n v="30"/>
    <x v="0"/>
    <n v="27"/>
    <x v="0"/>
    <n v="1"/>
    <n v="472"/>
    <x v="313"/>
    <x v="1"/>
    <n v="1"/>
  </r>
  <r>
    <s v="ORD1921"/>
    <s v="21-01-2021"/>
    <s v="CUST1102"/>
    <x v="2"/>
    <x v="11"/>
    <x v="0"/>
    <s v="Karan"/>
    <n v="702"/>
    <n v="50"/>
    <n v="50"/>
    <x v="0"/>
    <n v="32"/>
    <x v="0"/>
    <n v="1"/>
    <n v="652"/>
    <x v="32"/>
    <x v="1"/>
    <n v="1"/>
  </r>
  <r>
    <s v="ORD1922"/>
    <s v="01-02-2021"/>
    <s v="CUST550"/>
    <x v="1"/>
    <x v="1"/>
    <x v="1"/>
    <s v="Vikas"/>
    <n v="687"/>
    <n v="40"/>
    <n v="100"/>
    <x v="1"/>
    <n v="38"/>
    <x v="0"/>
    <n v="1"/>
    <n v="587"/>
    <x v="500"/>
    <x v="2"/>
    <n v="2"/>
  </r>
  <r>
    <s v="ORD1923"/>
    <s v="02-02-2021"/>
    <s v="CUST737"/>
    <x v="0"/>
    <x v="10"/>
    <x v="0"/>
    <s v="Amit"/>
    <n v="199"/>
    <n v="40"/>
    <n v="100"/>
    <x v="1"/>
    <n v="45"/>
    <x v="0"/>
    <n v="1"/>
    <n v="99"/>
    <x v="135"/>
    <x v="2"/>
    <n v="2"/>
  </r>
  <r>
    <s v="ORD1924"/>
    <s v="31-03-2021"/>
    <s v="CUST1187"/>
    <x v="2"/>
    <x v="3"/>
    <x v="1"/>
    <s v="Karan"/>
    <n v="668"/>
    <n v="40"/>
    <n v="100"/>
    <x v="0"/>
    <n v="33"/>
    <x v="0"/>
    <n v="1"/>
    <n v="568"/>
    <x v="445"/>
    <x v="0"/>
    <n v="3"/>
  </r>
  <r>
    <s v="ORD1925"/>
    <s v="22-01-2021"/>
    <s v="CUST745"/>
    <x v="3"/>
    <x v="7"/>
    <x v="0"/>
    <s v="Vikas"/>
    <n v="357"/>
    <n v="20"/>
    <n v="30"/>
    <x v="0"/>
    <n v="43"/>
    <x v="0"/>
    <n v="1"/>
    <n v="327"/>
    <x v="327"/>
    <x v="1"/>
    <n v="1"/>
  </r>
  <r>
    <s v="ORD1926"/>
    <s v="20-01-2021"/>
    <s v="CUST1180"/>
    <x v="1"/>
    <x v="1"/>
    <x v="1"/>
    <s v="Rahul"/>
    <n v="584"/>
    <n v="30"/>
    <n v="50"/>
    <x v="1"/>
    <n v="48"/>
    <x v="0"/>
    <n v="1"/>
    <n v="534"/>
    <x v="501"/>
    <x v="1"/>
    <n v="1"/>
  </r>
  <r>
    <s v="ORD1927"/>
    <s v="25-03-2021"/>
    <s v="CUST1052"/>
    <x v="2"/>
    <x v="11"/>
    <x v="0"/>
    <s v="Rahul"/>
    <n v="667"/>
    <n v="50"/>
    <n v="20"/>
    <x v="1"/>
    <n v="54"/>
    <x v="0"/>
    <n v="1"/>
    <n v="647"/>
    <x v="78"/>
    <x v="0"/>
    <n v="3"/>
  </r>
  <r>
    <s v="ORD1928"/>
    <s v="06-01-2021"/>
    <s v="CUST644"/>
    <x v="2"/>
    <x v="6"/>
    <x v="2"/>
    <s v="Rahul"/>
    <n v="406"/>
    <n v="50"/>
    <n v="50"/>
    <x v="0"/>
    <n v="43"/>
    <x v="0"/>
    <n v="1"/>
    <n v="356"/>
    <x v="502"/>
    <x v="1"/>
    <n v="1"/>
  </r>
  <r>
    <s v="ORD1929"/>
    <s v="27-02-2021"/>
    <s v="CUST594"/>
    <x v="1"/>
    <x v="2"/>
    <x v="1"/>
    <s v="Amit"/>
    <n v="368"/>
    <n v="30"/>
    <n v="100"/>
    <x v="1"/>
    <n v="28"/>
    <x v="0"/>
    <n v="1"/>
    <n v="268"/>
    <x v="315"/>
    <x v="2"/>
    <n v="2"/>
  </r>
  <r>
    <s v="ORD1930"/>
    <s v="11-03-2021"/>
    <s v="CUST1036"/>
    <x v="3"/>
    <x v="13"/>
    <x v="1"/>
    <s v="Rohit"/>
    <n v="750"/>
    <n v="30"/>
    <n v="100"/>
    <x v="0"/>
    <n v="37"/>
    <x v="0"/>
    <n v="1"/>
    <n v="650"/>
    <x v="376"/>
    <x v="0"/>
    <n v="3"/>
  </r>
  <r>
    <s v="ORD1931"/>
    <s v="26-03-2021"/>
    <s v="CUST819"/>
    <x v="1"/>
    <x v="8"/>
    <x v="2"/>
    <s v="Imran"/>
    <n v="530"/>
    <n v="30"/>
    <n v="100"/>
    <x v="2"/>
    <n v="54"/>
    <x v="0"/>
    <n v="1"/>
    <n v="430"/>
    <x v="45"/>
    <x v="0"/>
    <n v="3"/>
  </r>
  <r>
    <s v="ORD1932"/>
    <s v="09-01-2021"/>
    <s v="CUST700"/>
    <x v="4"/>
    <x v="5"/>
    <x v="3"/>
    <s v="Suresh"/>
    <n v="427"/>
    <n v="50"/>
    <n v="50"/>
    <x v="0"/>
    <n v="45"/>
    <x v="0"/>
    <n v="1"/>
    <n v="377"/>
    <x v="503"/>
    <x v="1"/>
    <n v="1"/>
  </r>
  <r>
    <s v="ORD1933"/>
    <s v="08-03-2021"/>
    <s v="CUST583"/>
    <x v="4"/>
    <x v="9"/>
    <x v="4"/>
    <s v="Suresh"/>
    <n v="779"/>
    <n v="20"/>
    <n v="20"/>
    <x v="0"/>
    <n v="58"/>
    <x v="1"/>
    <n v="1"/>
    <n v="759"/>
    <x v="504"/>
    <x v="0"/>
    <n v="3"/>
  </r>
  <r>
    <s v="ORD1934"/>
    <s v="07-01-2021"/>
    <s v="CUST1176"/>
    <x v="3"/>
    <x v="7"/>
    <x v="0"/>
    <s v="Suresh"/>
    <n v="580"/>
    <n v="50"/>
    <n v="20"/>
    <x v="1"/>
    <n v="57"/>
    <x v="0"/>
    <n v="1"/>
    <n v="560"/>
    <x v="394"/>
    <x v="1"/>
    <n v="1"/>
  </r>
  <r>
    <s v="ORD1935"/>
    <s v="14-01-2021"/>
    <s v="CUST1087"/>
    <x v="0"/>
    <x v="12"/>
    <x v="3"/>
    <s v="Suresh"/>
    <n v="279"/>
    <n v="40"/>
    <n v="30"/>
    <x v="0"/>
    <n v="20"/>
    <x v="0"/>
    <n v="1"/>
    <n v="249"/>
    <x v="505"/>
    <x v="1"/>
    <n v="1"/>
  </r>
  <r>
    <s v="ORD1936"/>
    <s v="04-03-2021"/>
    <s v="CUST817"/>
    <x v="3"/>
    <x v="13"/>
    <x v="1"/>
    <s v="Karan"/>
    <n v="240"/>
    <n v="30"/>
    <n v="100"/>
    <x v="1"/>
    <n v="41"/>
    <x v="0"/>
    <n v="1"/>
    <n v="140"/>
    <x v="176"/>
    <x v="0"/>
    <n v="3"/>
  </r>
  <r>
    <s v="ORD1937"/>
    <s v="08-03-2021"/>
    <s v="CUST783"/>
    <x v="1"/>
    <x v="8"/>
    <x v="2"/>
    <s v="Amit"/>
    <n v="661"/>
    <n v="20"/>
    <n v="20"/>
    <x v="1"/>
    <n v="27"/>
    <x v="0"/>
    <n v="1"/>
    <n v="641"/>
    <x v="40"/>
    <x v="0"/>
    <n v="3"/>
  </r>
  <r>
    <s v="ORD1938"/>
    <s v="10-01-2021"/>
    <s v="CUST1073"/>
    <x v="2"/>
    <x v="3"/>
    <x v="1"/>
    <s v="Vikas"/>
    <n v="249"/>
    <n v="50"/>
    <n v="50"/>
    <x v="1"/>
    <n v="34"/>
    <x v="0"/>
    <n v="1"/>
    <n v="199"/>
    <x v="147"/>
    <x v="1"/>
    <n v="1"/>
  </r>
  <r>
    <s v="ORD1939"/>
    <s v="10-02-2021"/>
    <s v="CUST994"/>
    <x v="4"/>
    <x v="14"/>
    <x v="0"/>
    <s v="Arjun"/>
    <n v="165"/>
    <n v="40"/>
    <n v="0"/>
    <x v="1"/>
    <n v="30"/>
    <x v="0"/>
    <n v="1"/>
    <n v="165"/>
    <x v="506"/>
    <x v="2"/>
    <n v="2"/>
  </r>
  <r>
    <s v="ORD1940"/>
    <s v="22-01-2021"/>
    <s v="CUST810"/>
    <x v="4"/>
    <x v="5"/>
    <x v="3"/>
    <s v="Deepak"/>
    <n v="408"/>
    <n v="40"/>
    <n v="30"/>
    <x v="2"/>
    <n v="48"/>
    <x v="0"/>
    <n v="1"/>
    <n v="378"/>
    <x v="507"/>
    <x v="1"/>
    <n v="1"/>
  </r>
  <r>
    <s v="ORD1941"/>
    <s v="17-01-2021"/>
    <s v="CUST1027"/>
    <x v="1"/>
    <x v="8"/>
    <x v="2"/>
    <s v="Rohit"/>
    <n v="228"/>
    <n v="30"/>
    <n v="0"/>
    <x v="2"/>
    <n v="40"/>
    <x v="0"/>
    <n v="1"/>
    <n v="228"/>
    <x v="508"/>
    <x v="1"/>
    <n v="1"/>
  </r>
  <r>
    <s v="ORD1942"/>
    <s v="05-03-2021"/>
    <s v="CUST606"/>
    <x v="4"/>
    <x v="9"/>
    <x v="4"/>
    <s v="Rahul"/>
    <n v="233"/>
    <n v="20"/>
    <n v="50"/>
    <x v="0"/>
    <n v="38"/>
    <x v="0"/>
    <n v="1"/>
    <n v="183"/>
    <x v="331"/>
    <x v="0"/>
    <n v="3"/>
  </r>
  <r>
    <s v="ORD1943"/>
    <s v="24-02-2021"/>
    <s v="CUST1142"/>
    <x v="3"/>
    <x v="13"/>
    <x v="1"/>
    <s v="Deepak"/>
    <n v="337"/>
    <n v="20"/>
    <n v="50"/>
    <x v="1"/>
    <n v="55"/>
    <x v="0"/>
    <n v="1"/>
    <n v="287"/>
    <x v="509"/>
    <x v="2"/>
    <n v="2"/>
  </r>
  <r>
    <s v="ORD1944"/>
    <s v="17-02-2021"/>
    <s v="CUST714"/>
    <x v="3"/>
    <x v="4"/>
    <x v="2"/>
    <s v="Amit"/>
    <n v="730"/>
    <n v="40"/>
    <n v="30"/>
    <x v="1"/>
    <n v="42"/>
    <x v="0"/>
    <n v="1"/>
    <n v="700"/>
    <x v="34"/>
    <x v="2"/>
    <n v="2"/>
  </r>
  <r>
    <s v="ORD1945"/>
    <s v="18-01-2021"/>
    <s v="CUST835"/>
    <x v="4"/>
    <x v="14"/>
    <x v="0"/>
    <s v="Rohit"/>
    <n v="367"/>
    <n v="40"/>
    <n v="100"/>
    <x v="0"/>
    <n v="45"/>
    <x v="0"/>
    <n v="1"/>
    <n v="267"/>
    <x v="509"/>
    <x v="1"/>
    <n v="1"/>
  </r>
  <r>
    <s v="ORD1946"/>
    <s v="07-01-2021"/>
    <s v="CUST552"/>
    <x v="4"/>
    <x v="9"/>
    <x v="4"/>
    <s v="Manoj"/>
    <n v="341"/>
    <n v="50"/>
    <n v="20"/>
    <x v="1"/>
    <n v="24"/>
    <x v="0"/>
    <n v="1"/>
    <n v="321"/>
    <x v="72"/>
    <x v="1"/>
    <n v="1"/>
  </r>
  <r>
    <s v="ORD1947"/>
    <s v="06-01-2021"/>
    <s v="CUST734"/>
    <x v="2"/>
    <x v="6"/>
    <x v="2"/>
    <s v="Rahul"/>
    <n v="799"/>
    <n v="50"/>
    <n v="0"/>
    <x v="1"/>
    <n v="57"/>
    <x v="0"/>
    <n v="1"/>
    <n v="799"/>
    <x v="510"/>
    <x v="1"/>
    <n v="1"/>
  </r>
  <r>
    <s v="ORD1948"/>
    <s v="10-02-2021"/>
    <s v="CUST558"/>
    <x v="4"/>
    <x v="5"/>
    <x v="3"/>
    <s v="Imran"/>
    <n v="413"/>
    <n v="20"/>
    <n v="0"/>
    <x v="1"/>
    <n v="25"/>
    <x v="0"/>
    <n v="1"/>
    <n v="413"/>
    <x v="475"/>
    <x v="2"/>
    <n v="2"/>
  </r>
  <r>
    <s v="ORD1949"/>
    <s v="02-03-2021"/>
    <s v="CUST1138"/>
    <x v="3"/>
    <x v="4"/>
    <x v="2"/>
    <s v="Amit"/>
    <n v="377"/>
    <n v="30"/>
    <n v="30"/>
    <x v="0"/>
    <n v="29"/>
    <x v="0"/>
    <n v="1"/>
    <n v="347"/>
    <x v="1"/>
    <x v="0"/>
    <n v="3"/>
  </r>
  <r>
    <s v="ORD1950"/>
    <s v="19-03-2021"/>
    <s v="CUST611"/>
    <x v="2"/>
    <x v="11"/>
    <x v="0"/>
    <s v="Deepak"/>
    <n v="700"/>
    <n v="40"/>
    <n v="20"/>
    <x v="1"/>
    <n v="22"/>
    <x v="0"/>
    <n v="1"/>
    <n v="680"/>
    <x v="379"/>
    <x v="0"/>
    <n v="3"/>
  </r>
  <r>
    <s v="ORD1951"/>
    <s v="30-03-2021"/>
    <s v="CUST722"/>
    <x v="1"/>
    <x v="1"/>
    <x v="1"/>
    <s v="Amit"/>
    <n v="777"/>
    <n v="20"/>
    <n v="50"/>
    <x v="2"/>
    <n v="38"/>
    <x v="0"/>
    <n v="1"/>
    <n v="727"/>
    <x v="511"/>
    <x v="0"/>
    <n v="3"/>
  </r>
  <r>
    <s v="ORD1952"/>
    <s v="06-01-2021"/>
    <s v="CUST806"/>
    <x v="2"/>
    <x v="6"/>
    <x v="2"/>
    <s v="Rahul"/>
    <n v="150"/>
    <n v="40"/>
    <n v="0"/>
    <x v="0"/>
    <n v="44"/>
    <x v="0"/>
    <n v="1"/>
    <n v="150"/>
    <x v="484"/>
    <x v="1"/>
    <n v="1"/>
  </r>
  <r>
    <s v="ORD1953"/>
    <s v="06-02-2021"/>
    <s v="CUST1145"/>
    <x v="0"/>
    <x v="10"/>
    <x v="0"/>
    <s v="Deepak"/>
    <n v="665"/>
    <n v="40"/>
    <n v="0"/>
    <x v="2"/>
    <n v="32"/>
    <x v="0"/>
    <n v="1"/>
    <n v="665"/>
    <x v="142"/>
    <x v="2"/>
    <n v="2"/>
  </r>
  <r>
    <s v="ORD1954"/>
    <s v="19-02-2021"/>
    <s v="CUST639"/>
    <x v="2"/>
    <x v="6"/>
    <x v="2"/>
    <s v="Rahul"/>
    <n v="202"/>
    <n v="50"/>
    <n v="100"/>
    <x v="1"/>
    <n v="24"/>
    <x v="0"/>
    <n v="1"/>
    <n v="102"/>
    <x v="512"/>
    <x v="2"/>
    <n v="2"/>
  </r>
  <r>
    <s v="ORD1955"/>
    <s v="23-02-2021"/>
    <s v="CUST1103"/>
    <x v="3"/>
    <x v="4"/>
    <x v="2"/>
    <s v="Suresh"/>
    <n v="225"/>
    <n v="30"/>
    <n v="100"/>
    <x v="0"/>
    <n v="50"/>
    <x v="0"/>
    <n v="1"/>
    <n v="125"/>
    <x v="143"/>
    <x v="2"/>
    <n v="2"/>
  </r>
  <r>
    <s v="ORD1956"/>
    <s v="20-03-2021"/>
    <s v="CUST1079"/>
    <x v="4"/>
    <x v="9"/>
    <x v="4"/>
    <s v="Amit"/>
    <n v="347"/>
    <n v="20"/>
    <n v="100"/>
    <x v="2"/>
    <n v="51"/>
    <x v="0"/>
    <n v="1"/>
    <n v="247"/>
    <x v="318"/>
    <x v="0"/>
    <n v="3"/>
  </r>
  <r>
    <s v="ORD1957"/>
    <s v="29-01-2021"/>
    <s v="CUST1141"/>
    <x v="4"/>
    <x v="14"/>
    <x v="0"/>
    <s v="Manoj"/>
    <n v="557"/>
    <n v="40"/>
    <n v="30"/>
    <x v="1"/>
    <n v="24"/>
    <x v="0"/>
    <n v="1"/>
    <n v="527"/>
    <x v="419"/>
    <x v="1"/>
    <n v="1"/>
  </r>
  <r>
    <s v="ORD1958"/>
    <s v="29-01-2021"/>
    <s v="CUST812"/>
    <x v="3"/>
    <x v="4"/>
    <x v="2"/>
    <s v="Imran"/>
    <n v="530"/>
    <n v="30"/>
    <n v="20"/>
    <x v="0"/>
    <n v="21"/>
    <x v="0"/>
    <n v="1"/>
    <n v="510"/>
    <x v="80"/>
    <x v="1"/>
    <n v="1"/>
  </r>
  <r>
    <s v="ORD1959"/>
    <s v="09-01-2021"/>
    <s v="CUST601"/>
    <x v="2"/>
    <x v="6"/>
    <x v="2"/>
    <s v="Manoj"/>
    <n v="554"/>
    <n v="50"/>
    <n v="0"/>
    <x v="2"/>
    <n v="21"/>
    <x v="0"/>
    <n v="1"/>
    <n v="554"/>
    <x v="398"/>
    <x v="1"/>
    <n v="1"/>
  </r>
  <r>
    <s v="ORD1960"/>
    <s v="29-01-2021"/>
    <s v="CUST1044"/>
    <x v="2"/>
    <x v="11"/>
    <x v="0"/>
    <s v="Vikas"/>
    <n v="160"/>
    <n v="50"/>
    <n v="0"/>
    <x v="1"/>
    <n v="56"/>
    <x v="0"/>
    <n v="1"/>
    <n v="160"/>
    <x v="513"/>
    <x v="1"/>
    <n v="1"/>
  </r>
  <r>
    <s v="ORD1961"/>
    <s v="16-01-2021"/>
    <s v="CUST918"/>
    <x v="2"/>
    <x v="11"/>
    <x v="0"/>
    <s v="Karan"/>
    <n v="675"/>
    <n v="50"/>
    <n v="20"/>
    <x v="2"/>
    <n v="25"/>
    <x v="0"/>
    <n v="1"/>
    <n v="655"/>
    <x v="142"/>
    <x v="1"/>
    <n v="1"/>
  </r>
  <r>
    <s v="ORD1962"/>
    <s v="19-03-2021"/>
    <s v="CUST669"/>
    <x v="1"/>
    <x v="8"/>
    <x v="2"/>
    <s v="Rohit"/>
    <n v="372"/>
    <n v="50"/>
    <n v="20"/>
    <x v="0"/>
    <n v="51"/>
    <x v="0"/>
    <n v="1"/>
    <n v="352"/>
    <x v="514"/>
    <x v="0"/>
    <n v="3"/>
  </r>
  <r>
    <s v="ORD1963"/>
    <s v="25-03-2021"/>
    <s v="CUST762"/>
    <x v="2"/>
    <x v="11"/>
    <x v="0"/>
    <s v="Karan"/>
    <n v="324"/>
    <n v="50"/>
    <n v="0"/>
    <x v="0"/>
    <n v="41"/>
    <x v="0"/>
    <n v="1"/>
    <n v="324"/>
    <x v="383"/>
    <x v="0"/>
    <n v="3"/>
  </r>
  <r>
    <s v="ORD1964"/>
    <s v="26-03-2021"/>
    <s v="CUST1055"/>
    <x v="3"/>
    <x v="7"/>
    <x v="0"/>
    <s v="Deepak"/>
    <n v="217"/>
    <n v="20"/>
    <n v="50"/>
    <x v="0"/>
    <n v="59"/>
    <x v="0"/>
    <n v="1"/>
    <n v="167"/>
    <x v="97"/>
    <x v="0"/>
    <n v="3"/>
  </r>
  <r>
    <s v="ORD1965"/>
    <s v="09-02-2021"/>
    <s v="CUST1038"/>
    <x v="4"/>
    <x v="5"/>
    <x v="3"/>
    <s v="Manoj"/>
    <n v="245"/>
    <n v="50"/>
    <n v="0"/>
    <x v="1"/>
    <n v="21"/>
    <x v="0"/>
    <n v="1"/>
    <n v="245"/>
    <x v="515"/>
    <x v="2"/>
    <n v="2"/>
  </r>
  <r>
    <s v="ORD1966"/>
    <s v="02-02-2021"/>
    <s v="CUST1096"/>
    <x v="0"/>
    <x v="12"/>
    <x v="3"/>
    <s v="Rohit"/>
    <n v="392"/>
    <n v="40"/>
    <n v="100"/>
    <x v="2"/>
    <n v="29"/>
    <x v="0"/>
    <n v="1"/>
    <n v="292"/>
    <x v="298"/>
    <x v="2"/>
    <n v="2"/>
  </r>
  <r>
    <s v="ORD1967"/>
    <s v="03-02-2021"/>
    <s v="CUST968"/>
    <x v="3"/>
    <x v="13"/>
    <x v="1"/>
    <s v="Rahul"/>
    <n v="437"/>
    <n v="50"/>
    <n v="30"/>
    <x v="1"/>
    <n v="37"/>
    <x v="0"/>
    <n v="1"/>
    <n v="407"/>
    <x v="102"/>
    <x v="2"/>
    <n v="2"/>
  </r>
  <r>
    <s v="ORD1968"/>
    <s v="22-02-2021"/>
    <s v="CUST1113"/>
    <x v="0"/>
    <x v="0"/>
    <x v="0"/>
    <s v="Arjun"/>
    <n v="470"/>
    <n v="20"/>
    <n v="20"/>
    <x v="0"/>
    <n v="39"/>
    <x v="0"/>
    <n v="1"/>
    <n v="450"/>
    <x v="62"/>
    <x v="2"/>
    <n v="2"/>
  </r>
  <r>
    <s v="ORD1969"/>
    <s v="07-03-2021"/>
    <s v="CUST524"/>
    <x v="1"/>
    <x v="8"/>
    <x v="2"/>
    <s v="Rahul"/>
    <n v="236"/>
    <n v="20"/>
    <n v="30"/>
    <x v="1"/>
    <n v="36"/>
    <x v="1"/>
    <n v="1"/>
    <n v="206"/>
    <x v="516"/>
    <x v="0"/>
    <n v="3"/>
  </r>
  <r>
    <s v="ORD1970"/>
    <s v="15-03-2021"/>
    <s v="CUST537"/>
    <x v="4"/>
    <x v="9"/>
    <x v="4"/>
    <s v="Manoj"/>
    <n v="726"/>
    <n v="40"/>
    <n v="100"/>
    <x v="1"/>
    <n v="21"/>
    <x v="0"/>
    <n v="1"/>
    <n v="626"/>
    <x v="119"/>
    <x v="0"/>
    <n v="3"/>
  </r>
  <r>
    <s v="ORD1971"/>
    <s v="13-01-2021"/>
    <s v="CUST1139"/>
    <x v="3"/>
    <x v="13"/>
    <x v="1"/>
    <s v="Rohit"/>
    <n v="439"/>
    <n v="30"/>
    <n v="0"/>
    <x v="0"/>
    <n v="44"/>
    <x v="0"/>
    <n v="1"/>
    <n v="439"/>
    <x v="517"/>
    <x v="1"/>
    <n v="1"/>
  </r>
  <r>
    <s v="ORD1972"/>
    <s v="26-01-2021"/>
    <s v="CUST669"/>
    <x v="3"/>
    <x v="4"/>
    <x v="2"/>
    <s v="Imran"/>
    <n v="782"/>
    <n v="20"/>
    <n v="50"/>
    <x v="0"/>
    <n v="46"/>
    <x v="0"/>
    <n v="1"/>
    <n v="732"/>
    <x v="295"/>
    <x v="1"/>
    <n v="1"/>
  </r>
  <r>
    <s v="ORD1973"/>
    <s v="27-01-2021"/>
    <s v="CUST1050"/>
    <x v="3"/>
    <x v="7"/>
    <x v="0"/>
    <s v="Rohit"/>
    <n v="168"/>
    <n v="50"/>
    <n v="100"/>
    <x v="0"/>
    <n v="35"/>
    <x v="0"/>
    <n v="1"/>
    <n v="68"/>
    <x v="172"/>
    <x v="1"/>
    <n v="1"/>
  </r>
  <r>
    <s v="ORD1974"/>
    <s v="24-02-2021"/>
    <s v="CUST866"/>
    <x v="4"/>
    <x v="9"/>
    <x v="4"/>
    <s v="Karan"/>
    <n v="415"/>
    <n v="50"/>
    <n v="50"/>
    <x v="0"/>
    <n v="24"/>
    <x v="0"/>
    <n v="1"/>
    <n v="365"/>
    <x v="169"/>
    <x v="2"/>
    <n v="2"/>
  </r>
  <r>
    <s v="ORD1975"/>
    <s v="11-02-2021"/>
    <s v="CUST1074"/>
    <x v="0"/>
    <x v="12"/>
    <x v="3"/>
    <s v="Karan"/>
    <n v="752"/>
    <n v="50"/>
    <n v="100"/>
    <x v="1"/>
    <n v="40"/>
    <x v="0"/>
    <n v="1"/>
    <n v="652"/>
    <x v="32"/>
    <x v="2"/>
    <n v="2"/>
  </r>
  <r>
    <s v="ORD1976"/>
    <s v="22-01-2021"/>
    <s v="CUST723"/>
    <x v="3"/>
    <x v="13"/>
    <x v="1"/>
    <s v="Vikas"/>
    <n v="306"/>
    <n v="20"/>
    <n v="50"/>
    <x v="2"/>
    <n v="22"/>
    <x v="0"/>
    <n v="1"/>
    <n v="256"/>
    <x v="155"/>
    <x v="1"/>
    <n v="1"/>
  </r>
  <r>
    <s v="ORD1977"/>
    <s v="31-01-2021"/>
    <s v="CUST1106"/>
    <x v="1"/>
    <x v="1"/>
    <x v="1"/>
    <s v="Rohit"/>
    <n v="355"/>
    <n v="40"/>
    <n v="30"/>
    <x v="2"/>
    <n v="42"/>
    <x v="0"/>
    <n v="1"/>
    <n v="325"/>
    <x v="469"/>
    <x v="1"/>
    <n v="1"/>
  </r>
  <r>
    <s v="ORD1978"/>
    <s v="08-03-2021"/>
    <s v="CUST911"/>
    <x v="3"/>
    <x v="4"/>
    <x v="2"/>
    <s v="Vikas"/>
    <n v="664"/>
    <n v="40"/>
    <n v="100"/>
    <x v="2"/>
    <n v="26"/>
    <x v="0"/>
    <n v="1"/>
    <n v="564"/>
    <x v="398"/>
    <x v="0"/>
    <n v="3"/>
  </r>
  <r>
    <s v="ORD1979"/>
    <s v="23-02-2021"/>
    <s v="CUST634"/>
    <x v="1"/>
    <x v="8"/>
    <x v="2"/>
    <s v="Rahul"/>
    <n v="634"/>
    <n v="30"/>
    <n v="0"/>
    <x v="2"/>
    <n v="38"/>
    <x v="1"/>
    <n v="1"/>
    <n v="634"/>
    <x v="60"/>
    <x v="2"/>
    <n v="2"/>
  </r>
  <r>
    <s v="ORD1980"/>
    <s v="03-01-2021"/>
    <s v="CUST1102"/>
    <x v="3"/>
    <x v="7"/>
    <x v="0"/>
    <s v="Amit"/>
    <n v="344"/>
    <n v="50"/>
    <n v="50"/>
    <x v="0"/>
    <n v="23"/>
    <x v="0"/>
    <n v="1"/>
    <n v="294"/>
    <x v="210"/>
    <x v="1"/>
    <n v="1"/>
  </r>
  <r>
    <s v="ORD1981"/>
    <s v="09-02-2021"/>
    <s v="CUST948"/>
    <x v="2"/>
    <x v="11"/>
    <x v="0"/>
    <s v="Suresh"/>
    <n v="540"/>
    <n v="50"/>
    <n v="20"/>
    <x v="0"/>
    <n v="47"/>
    <x v="0"/>
    <n v="1"/>
    <n v="520"/>
    <x v="408"/>
    <x v="2"/>
    <n v="2"/>
  </r>
  <r>
    <s v="ORD1982"/>
    <s v="18-02-2021"/>
    <s v="CUST849"/>
    <x v="2"/>
    <x v="11"/>
    <x v="0"/>
    <s v="Rohit"/>
    <n v="248"/>
    <n v="50"/>
    <n v="100"/>
    <x v="1"/>
    <n v="37"/>
    <x v="0"/>
    <n v="1"/>
    <n v="148"/>
    <x v="518"/>
    <x v="2"/>
    <n v="2"/>
  </r>
  <r>
    <s v="ORD1983"/>
    <s v="04-01-2021"/>
    <s v="CUST643"/>
    <x v="4"/>
    <x v="9"/>
    <x v="4"/>
    <s v="Imran"/>
    <n v="764"/>
    <n v="50"/>
    <n v="20"/>
    <x v="0"/>
    <n v="37"/>
    <x v="1"/>
    <n v="1"/>
    <n v="744"/>
    <x v="44"/>
    <x v="1"/>
    <n v="1"/>
  </r>
  <r>
    <s v="ORD1984"/>
    <s v="23-01-2021"/>
    <s v="CUST1092"/>
    <x v="2"/>
    <x v="3"/>
    <x v="1"/>
    <s v="Manoj"/>
    <n v="708"/>
    <n v="50"/>
    <n v="50"/>
    <x v="1"/>
    <n v="31"/>
    <x v="0"/>
    <n v="1"/>
    <n v="658"/>
    <x v="29"/>
    <x v="1"/>
    <n v="1"/>
  </r>
  <r>
    <s v="ORD1985"/>
    <s v="31-03-2021"/>
    <s v="CUST1007"/>
    <x v="4"/>
    <x v="5"/>
    <x v="3"/>
    <s v="Manoj"/>
    <n v="628"/>
    <n v="50"/>
    <n v="20"/>
    <x v="0"/>
    <n v="40"/>
    <x v="0"/>
    <n v="1"/>
    <n v="608"/>
    <x v="231"/>
    <x v="0"/>
    <n v="3"/>
  </r>
  <r>
    <s v="ORD1986"/>
    <s v="01-02-2021"/>
    <s v="CUST612"/>
    <x v="2"/>
    <x v="3"/>
    <x v="1"/>
    <s v="Manoj"/>
    <n v="585"/>
    <n v="30"/>
    <n v="100"/>
    <x v="1"/>
    <n v="39"/>
    <x v="0"/>
    <n v="1"/>
    <n v="485"/>
    <x v="144"/>
    <x v="2"/>
    <n v="2"/>
  </r>
  <r>
    <s v="ORD1987"/>
    <s v="24-02-2021"/>
    <s v="CUST602"/>
    <x v="0"/>
    <x v="12"/>
    <x v="3"/>
    <s v="Suresh"/>
    <n v="296"/>
    <n v="30"/>
    <n v="20"/>
    <x v="2"/>
    <n v="40"/>
    <x v="0"/>
    <n v="1"/>
    <n v="276"/>
    <x v="345"/>
    <x v="2"/>
    <n v="2"/>
  </r>
  <r>
    <s v="ORD1988"/>
    <s v="17-03-2021"/>
    <s v="CUST1086"/>
    <x v="0"/>
    <x v="0"/>
    <x v="0"/>
    <s v="Rohit"/>
    <n v="353"/>
    <n v="30"/>
    <n v="0"/>
    <x v="0"/>
    <n v="42"/>
    <x v="0"/>
    <n v="1"/>
    <n v="353"/>
    <x v="451"/>
    <x v="0"/>
    <n v="3"/>
  </r>
  <r>
    <s v="ORD1989"/>
    <s v="11-01-2021"/>
    <s v="CUST708"/>
    <x v="0"/>
    <x v="0"/>
    <x v="0"/>
    <s v="Amit"/>
    <n v="419"/>
    <n v="30"/>
    <n v="0"/>
    <x v="2"/>
    <n v="53"/>
    <x v="0"/>
    <n v="1"/>
    <n v="419"/>
    <x v="6"/>
    <x v="1"/>
    <n v="1"/>
  </r>
  <r>
    <s v="ORD1990"/>
    <s v="02-02-2021"/>
    <s v="CUST860"/>
    <x v="0"/>
    <x v="12"/>
    <x v="3"/>
    <s v="Suresh"/>
    <n v="185"/>
    <n v="50"/>
    <n v="0"/>
    <x v="2"/>
    <n v="27"/>
    <x v="0"/>
    <n v="1"/>
    <n v="185"/>
    <x v="519"/>
    <x v="2"/>
    <n v="2"/>
  </r>
  <r>
    <s v="ORD1991"/>
    <s v="10-02-2021"/>
    <s v="CUST722"/>
    <x v="3"/>
    <x v="4"/>
    <x v="2"/>
    <s v="Vikas"/>
    <n v="536"/>
    <n v="50"/>
    <n v="0"/>
    <x v="0"/>
    <n v="23"/>
    <x v="0"/>
    <n v="1"/>
    <n v="536"/>
    <x v="54"/>
    <x v="2"/>
    <n v="2"/>
  </r>
  <r>
    <s v="ORD1992"/>
    <s v="25-01-2021"/>
    <s v="CUST865"/>
    <x v="2"/>
    <x v="3"/>
    <x v="1"/>
    <s v="Karan"/>
    <n v="158"/>
    <n v="40"/>
    <n v="30"/>
    <x v="1"/>
    <n v="21"/>
    <x v="0"/>
    <n v="1"/>
    <n v="128"/>
    <x v="179"/>
    <x v="1"/>
    <n v="1"/>
  </r>
  <r>
    <s v="ORD1993"/>
    <s v="08-03-2021"/>
    <s v="CUST854"/>
    <x v="1"/>
    <x v="2"/>
    <x v="1"/>
    <s v="Rohit"/>
    <n v="603"/>
    <n v="20"/>
    <n v="30"/>
    <x v="0"/>
    <n v="40"/>
    <x v="0"/>
    <n v="1"/>
    <n v="573"/>
    <x v="348"/>
    <x v="0"/>
    <n v="3"/>
  </r>
  <r>
    <s v="ORD1994"/>
    <s v="24-02-2021"/>
    <s v="CUST835"/>
    <x v="2"/>
    <x v="3"/>
    <x v="1"/>
    <s v="Suresh"/>
    <n v="360"/>
    <n v="30"/>
    <n v="30"/>
    <x v="0"/>
    <n v="26"/>
    <x v="0"/>
    <n v="1"/>
    <n v="330"/>
    <x v="520"/>
    <x v="2"/>
    <n v="2"/>
  </r>
  <r>
    <s v="ORD1995"/>
    <s v="20-01-2021"/>
    <s v="CUST1119"/>
    <x v="3"/>
    <x v="4"/>
    <x v="2"/>
    <s v="Vikas"/>
    <n v="736"/>
    <n v="50"/>
    <n v="0"/>
    <x v="1"/>
    <n v="25"/>
    <x v="0"/>
    <n v="1"/>
    <n v="736"/>
    <x v="250"/>
    <x v="1"/>
    <n v="1"/>
  </r>
  <r>
    <s v="ORD1996"/>
    <s v="02-01-2021"/>
    <s v="CUST779"/>
    <x v="1"/>
    <x v="8"/>
    <x v="2"/>
    <s v="Arjun"/>
    <n v="358"/>
    <n v="40"/>
    <n v="100"/>
    <x v="1"/>
    <n v="44"/>
    <x v="0"/>
    <n v="1"/>
    <n v="258"/>
    <x v="315"/>
    <x v="1"/>
    <n v="1"/>
  </r>
  <r>
    <s v="ORD1997"/>
    <s v="11-03-2021"/>
    <s v="CUST916"/>
    <x v="4"/>
    <x v="14"/>
    <x v="0"/>
    <s v="Rohit"/>
    <n v="475"/>
    <n v="40"/>
    <n v="100"/>
    <x v="2"/>
    <n v="48"/>
    <x v="1"/>
    <n v="1"/>
    <n v="375"/>
    <x v="169"/>
    <x v="0"/>
    <n v="3"/>
  </r>
  <r>
    <s v="ORD1998"/>
    <s v="06-02-2021"/>
    <s v="CUST910"/>
    <x v="0"/>
    <x v="0"/>
    <x v="0"/>
    <s v="Manoj"/>
    <n v="372"/>
    <n v="50"/>
    <n v="50"/>
    <x v="1"/>
    <n v="25"/>
    <x v="0"/>
    <n v="1"/>
    <n v="322"/>
    <x v="181"/>
    <x v="2"/>
    <n v="2"/>
  </r>
  <r>
    <s v="ORD1999"/>
    <s v="17-03-2021"/>
    <s v="CUST1055"/>
    <x v="3"/>
    <x v="4"/>
    <x v="2"/>
    <s v="Vikas"/>
    <n v="703"/>
    <n v="50"/>
    <n v="100"/>
    <x v="2"/>
    <n v="21"/>
    <x v="0"/>
    <n v="1"/>
    <n v="603"/>
    <x v="497"/>
    <x v="0"/>
    <n v="3"/>
  </r>
  <r>
    <s v="ORD2000"/>
    <s v="09-03-2021"/>
    <s v="CUST779"/>
    <x v="0"/>
    <x v="0"/>
    <x v="0"/>
    <s v="Rahul"/>
    <n v="313"/>
    <n v="30"/>
    <n v="0"/>
    <x v="2"/>
    <n v="53"/>
    <x v="0"/>
    <n v="1"/>
    <n v="313"/>
    <x v="246"/>
    <x v="0"/>
    <n v="3"/>
  </r>
  <r>
    <s v="ORD2001"/>
    <s v="10-03-2021"/>
    <s v="CUST883"/>
    <x v="0"/>
    <x v="0"/>
    <x v="0"/>
    <s v="Manoj"/>
    <n v="198"/>
    <n v="20"/>
    <n v="50"/>
    <x v="2"/>
    <n v="28"/>
    <x v="0"/>
    <n v="1"/>
    <n v="148"/>
    <x v="179"/>
    <x v="0"/>
    <n v="3"/>
  </r>
  <r>
    <s v="ORD2002"/>
    <s v="14-03-2021"/>
    <s v="CUST687"/>
    <x v="3"/>
    <x v="13"/>
    <x v="1"/>
    <s v="Imran"/>
    <n v="307"/>
    <n v="20"/>
    <n v="0"/>
    <x v="1"/>
    <n v="56"/>
    <x v="0"/>
    <n v="1"/>
    <n v="307"/>
    <x v="209"/>
    <x v="0"/>
    <n v="3"/>
  </r>
  <r>
    <s v="ORD2003"/>
    <s v="31-01-2021"/>
    <s v="CUST1125"/>
    <x v="1"/>
    <x v="1"/>
    <x v="1"/>
    <s v="Deepak"/>
    <n v="584"/>
    <n v="30"/>
    <n v="20"/>
    <x v="1"/>
    <n v="31"/>
    <x v="0"/>
    <n v="1"/>
    <n v="564"/>
    <x v="174"/>
    <x v="1"/>
    <n v="1"/>
  </r>
  <r>
    <s v="ORD2004"/>
    <s v="07-01-2021"/>
    <s v="CUST929"/>
    <x v="2"/>
    <x v="6"/>
    <x v="2"/>
    <s v="Suresh"/>
    <n v="275"/>
    <n v="50"/>
    <n v="0"/>
    <x v="0"/>
    <n v="27"/>
    <x v="0"/>
    <n v="1"/>
    <n v="275"/>
    <x v="226"/>
    <x v="1"/>
    <n v="1"/>
  </r>
  <r>
    <s v="ORD2005"/>
    <s v="25-03-2021"/>
    <s v="CUST656"/>
    <x v="1"/>
    <x v="8"/>
    <x v="2"/>
    <s v="Suresh"/>
    <n v="371"/>
    <n v="40"/>
    <n v="50"/>
    <x v="1"/>
    <n v="33"/>
    <x v="0"/>
    <n v="1"/>
    <n v="321"/>
    <x v="483"/>
    <x v="0"/>
    <n v="3"/>
  </r>
  <r>
    <s v="ORD2006"/>
    <s v="03-01-2021"/>
    <s v="CUST707"/>
    <x v="2"/>
    <x v="6"/>
    <x v="2"/>
    <s v="Vikas"/>
    <n v="290"/>
    <n v="30"/>
    <n v="0"/>
    <x v="1"/>
    <n v="39"/>
    <x v="0"/>
    <n v="1"/>
    <n v="290"/>
    <x v="217"/>
    <x v="1"/>
    <n v="1"/>
  </r>
  <r>
    <s v="ORD2007"/>
    <s v="14-02-2021"/>
    <s v="CUST1045"/>
    <x v="3"/>
    <x v="4"/>
    <x v="2"/>
    <s v="Rohit"/>
    <n v="554"/>
    <n v="40"/>
    <n v="50"/>
    <x v="0"/>
    <n v="35"/>
    <x v="0"/>
    <n v="1"/>
    <n v="504"/>
    <x v="177"/>
    <x v="2"/>
    <n v="2"/>
  </r>
  <r>
    <s v="ORD2008"/>
    <s v="19-03-2021"/>
    <s v="CUST550"/>
    <x v="0"/>
    <x v="10"/>
    <x v="0"/>
    <s v="Karan"/>
    <n v="778"/>
    <n v="20"/>
    <n v="0"/>
    <x v="2"/>
    <n v="28"/>
    <x v="0"/>
    <n v="1"/>
    <n v="778"/>
    <x v="521"/>
    <x v="0"/>
    <n v="3"/>
  </r>
  <r>
    <s v="ORD2009"/>
    <s v="05-03-2021"/>
    <s v="CUST739"/>
    <x v="1"/>
    <x v="1"/>
    <x v="1"/>
    <s v="Amit"/>
    <n v="239"/>
    <n v="30"/>
    <n v="30"/>
    <x v="0"/>
    <n v="53"/>
    <x v="0"/>
    <n v="1"/>
    <n v="209"/>
    <x v="522"/>
    <x v="0"/>
    <n v="3"/>
  </r>
  <r>
    <s v="ORD2010"/>
    <s v="10-03-2021"/>
    <s v="CUST672"/>
    <x v="3"/>
    <x v="7"/>
    <x v="0"/>
    <s v="Suresh"/>
    <n v="637"/>
    <n v="30"/>
    <n v="20"/>
    <x v="1"/>
    <n v="48"/>
    <x v="0"/>
    <n v="1"/>
    <n v="617"/>
    <x v="11"/>
    <x v="0"/>
    <n v="3"/>
  </r>
  <r>
    <s v="ORD2011"/>
    <s v="29-03-2021"/>
    <s v="CUST718"/>
    <x v="3"/>
    <x v="4"/>
    <x v="2"/>
    <s v="Rohit"/>
    <n v="692"/>
    <n v="40"/>
    <n v="50"/>
    <x v="2"/>
    <n v="46"/>
    <x v="0"/>
    <n v="1"/>
    <n v="642"/>
    <x v="269"/>
    <x v="0"/>
    <n v="3"/>
  </r>
  <r>
    <s v="ORD2012"/>
    <s v="02-02-2021"/>
    <s v="CUST1083"/>
    <x v="4"/>
    <x v="5"/>
    <x v="3"/>
    <s v="Arjun"/>
    <n v="444"/>
    <n v="50"/>
    <n v="0"/>
    <x v="1"/>
    <n v="50"/>
    <x v="0"/>
    <n v="1"/>
    <n v="444"/>
    <x v="523"/>
    <x v="2"/>
    <n v="2"/>
  </r>
  <r>
    <s v="ORD2013"/>
    <s v="15-01-2021"/>
    <s v="CUST722"/>
    <x v="1"/>
    <x v="2"/>
    <x v="1"/>
    <s v="Arjun"/>
    <n v="435"/>
    <n v="40"/>
    <n v="20"/>
    <x v="1"/>
    <n v="30"/>
    <x v="0"/>
    <n v="1"/>
    <n v="415"/>
    <x v="68"/>
    <x v="1"/>
    <n v="1"/>
  </r>
  <r>
    <s v="ORD2014"/>
    <s v="29-01-2021"/>
    <s v="CUST1067"/>
    <x v="4"/>
    <x v="14"/>
    <x v="0"/>
    <s v="Vikas"/>
    <n v="263"/>
    <n v="50"/>
    <n v="50"/>
    <x v="0"/>
    <n v="27"/>
    <x v="1"/>
    <n v="1"/>
    <n v="213"/>
    <x v="524"/>
    <x v="1"/>
    <n v="1"/>
  </r>
  <r>
    <s v="ORD2015"/>
    <s v="12-02-2021"/>
    <s v="CUST778"/>
    <x v="1"/>
    <x v="2"/>
    <x v="1"/>
    <s v="Arjun"/>
    <n v="709"/>
    <n v="50"/>
    <n v="0"/>
    <x v="2"/>
    <n v="58"/>
    <x v="0"/>
    <n v="1"/>
    <n v="709"/>
    <x v="422"/>
    <x v="2"/>
    <n v="2"/>
  </r>
  <r>
    <s v="ORD2016"/>
    <s v="24-01-2021"/>
    <s v="CUST549"/>
    <x v="0"/>
    <x v="12"/>
    <x v="3"/>
    <s v="Arjun"/>
    <n v="658"/>
    <n v="50"/>
    <n v="100"/>
    <x v="2"/>
    <n v="38"/>
    <x v="0"/>
    <n v="1"/>
    <n v="558"/>
    <x v="445"/>
    <x v="1"/>
    <n v="1"/>
  </r>
  <r>
    <s v="ORD2017"/>
    <s v="22-03-2021"/>
    <s v="CUST761"/>
    <x v="1"/>
    <x v="2"/>
    <x v="1"/>
    <s v="Deepak"/>
    <n v="379"/>
    <n v="50"/>
    <n v="20"/>
    <x v="2"/>
    <n v="21"/>
    <x v="0"/>
    <n v="1"/>
    <n v="359"/>
    <x v="525"/>
    <x v="0"/>
    <n v="3"/>
  </r>
  <r>
    <s v="ORD2018"/>
    <s v="03-02-2021"/>
    <s v="CUST1166"/>
    <x v="1"/>
    <x v="2"/>
    <x v="1"/>
    <s v="Suresh"/>
    <n v="624"/>
    <n v="40"/>
    <n v="0"/>
    <x v="2"/>
    <n v="48"/>
    <x v="0"/>
    <n v="1"/>
    <n v="624"/>
    <x v="60"/>
    <x v="2"/>
    <n v="2"/>
  </r>
  <r>
    <s v="ORD2019"/>
    <s v="01-01-2021"/>
    <s v="CUST1032"/>
    <x v="4"/>
    <x v="5"/>
    <x v="3"/>
    <s v="Rahul"/>
    <n v="777"/>
    <n v="40"/>
    <n v="100"/>
    <x v="1"/>
    <n v="30"/>
    <x v="0"/>
    <n v="1"/>
    <n v="677"/>
    <x v="186"/>
    <x v="1"/>
    <n v="1"/>
  </r>
  <r>
    <s v="ORD2020"/>
    <s v="24-03-2021"/>
    <s v="CUST569"/>
    <x v="4"/>
    <x v="14"/>
    <x v="0"/>
    <s v="Manoj"/>
    <n v="491"/>
    <n v="30"/>
    <n v="0"/>
    <x v="2"/>
    <n v="27"/>
    <x v="0"/>
    <n v="1"/>
    <n v="491"/>
    <x v="166"/>
    <x v="0"/>
    <n v="3"/>
  </r>
  <r>
    <s v="ORD2021"/>
    <s v="04-03-2021"/>
    <s v="CUST900"/>
    <x v="1"/>
    <x v="1"/>
    <x v="1"/>
    <s v="Rahul"/>
    <n v="423"/>
    <n v="50"/>
    <n v="30"/>
    <x v="1"/>
    <n v="24"/>
    <x v="1"/>
    <n v="1"/>
    <n v="393"/>
    <x v="473"/>
    <x v="0"/>
    <n v="3"/>
  </r>
  <r>
    <s v="ORD2022"/>
    <s v="03-03-2021"/>
    <s v="CUST804"/>
    <x v="4"/>
    <x v="5"/>
    <x v="3"/>
    <s v="Rahul"/>
    <n v="165"/>
    <n v="40"/>
    <n v="20"/>
    <x v="1"/>
    <n v="43"/>
    <x v="1"/>
    <n v="1"/>
    <n v="145"/>
    <x v="24"/>
    <x v="0"/>
    <n v="3"/>
  </r>
  <r>
    <s v="ORD2023"/>
    <s v="10-02-2021"/>
    <s v="CUST568"/>
    <x v="3"/>
    <x v="13"/>
    <x v="1"/>
    <s v="Imran"/>
    <n v="754"/>
    <n v="30"/>
    <n v="100"/>
    <x v="2"/>
    <n v="30"/>
    <x v="0"/>
    <n v="1"/>
    <n v="654"/>
    <x v="47"/>
    <x v="2"/>
    <n v="2"/>
  </r>
  <r>
    <s v="ORD2024"/>
    <s v="09-02-2021"/>
    <s v="CUST912"/>
    <x v="3"/>
    <x v="13"/>
    <x v="1"/>
    <s v="Deepak"/>
    <n v="509"/>
    <n v="20"/>
    <n v="0"/>
    <x v="0"/>
    <n v="42"/>
    <x v="0"/>
    <n v="1"/>
    <n v="509"/>
    <x v="526"/>
    <x v="2"/>
    <n v="2"/>
  </r>
  <r>
    <s v="ORD2025"/>
    <s v="18-01-2021"/>
    <s v="CUST1044"/>
    <x v="4"/>
    <x v="5"/>
    <x v="3"/>
    <s v="Amit"/>
    <n v="488"/>
    <n v="30"/>
    <n v="100"/>
    <x v="1"/>
    <n v="39"/>
    <x v="0"/>
    <n v="1"/>
    <n v="388"/>
    <x v="507"/>
    <x v="1"/>
    <n v="1"/>
  </r>
  <r>
    <s v="ORD2026"/>
    <s v="29-01-2021"/>
    <s v="CUST977"/>
    <x v="2"/>
    <x v="6"/>
    <x v="2"/>
    <s v="Vikas"/>
    <n v="313"/>
    <n v="20"/>
    <n v="100"/>
    <x v="1"/>
    <n v="34"/>
    <x v="0"/>
    <n v="1"/>
    <n v="213"/>
    <x v="63"/>
    <x v="1"/>
    <n v="1"/>
  </r>
  <r>
    <s v="ORD2027"/>
    <s v="02-01-2021"/>
    <s v="CUST1166"/>
    <x v="2"/>
    <x v="6"/>
    <x v="2"/>
    <s v="Imran"/>
    <n v="621"/>
    <n v="40"/>
    <n v="30"/>
    <x v="1"/>
    <n v="27"/>
    <x v="0"/>
    <n v="1"/>
    <n v="591"/>
    <x v="152"/>
    <x v="1"/>
    <n v="1"/>
  </r>
  <r>
    <s v="ORD2028"/>
    <s v="17-03-2021"/>
    <s v="CUST641"/>
    <x v="4"/>
    <x v="5"/>
    <x v="3"/>
    <s v="Suresh"/>
    <n v="369"/>
    <n v="50"/>
    <n v="30"/>
    <x v="2"/>
    <n v="59"/>
    <x v="1"/>
    <n v="1"/>
    <n v="339"/>
    <x v="407"/>
    <x v="0"/>
    <n v="3"/>
  </r>
  <r>
    <s v="ORD2029"/>
    <s v="27-01-2021"/>
    <s v="CUST1056"/>
    <x v="1"/>
    <x v="1"/>
    <x v="1"/>
    <s v="Rohit"/>
    <n v="373"/>
    <n v="50"/>
    <n v="50"/>
    <x v="0"/>
    <n v="33"/>
    <x v="0"/>
    <n v="1"/>
    <n v="323"/>
    <x v="471"/>
    <x v="1"/>
    <n v="1"/>
  </r>
  <r>
    <s v="ORD2030"/>
    <s v="16-03-2021"/>
    <s v="CUST716"/>
    <x v="0"/>
    <x v="10"/>
    <x v="0"/>
    <s v="Amit"/>
    <n v="365"/>
    <n v="30"/>
    <n v="20"/>
    <x v="1"/>
    <n v="35"/>
    <x v="0"/>
    <n v="1"/>
    <n v="345"/>
    <x v="134"/>
    <x v="0"/>
    <n v="3"/>
  </r>
  <r>
    <s v="ORD2031"/>
    <s v="16-02-2021"/>
    <s v="CUST651"/>
    <x v="2"/>
    <x v="3"/>
    <x v="1"/>
    <s v="Manoj"/>
    <n v="517"/>
    <n v="50"/>
    <n v="0"/>
    <x v="0"/>
    <n v="37"/>
    <x v="0"/>
    <n v="1"/>
    <n v="517"/>
    <x v="419"/>
    <x v="2"/>
    <n v="2"/>
  </r>
  <r>
    <s v="ORD2032"/>
    <s v="15-03-2021"/>
    <s v="CUST706"/>
    <x v="3"/>
    <x v="4"/>
    <x v="2"/>
    <s v="Arjun"/>
    <n v="687"/>
    <n v="40"/>
    <n v="0"/>
    <x v="1"/>
    <n v="55"/>
    <x v="0"/>
    <n v="1"/>
    <n v="687"/>
    <x v="73"/>
    <x v="0"/>
    <n v="3"/>
  </r>
  <r>
    <s v="ORD2033"/>
    <s v="01-01-2021"/>
    <s v="CUST691"/>
    <x v="4"/>
    <x v="14"/>
    <x v="0"/>
    <s v="Suresh"/>
    <n v="759"/>
    <n v="30"/>
    <n v="20"/>
    <x v="0"/>
    <n v="53"/>
    <x v="0"/>
    <n v="1"/>
    <n v="739"/>
    <x v="126"/>
    <x v="1"/>
    <n v="1"/>
  </r>
  <r>
    <s v="ORD2034"/>
    <s v="04-01-2021"/>
    <s v="CUST722"/>
    <x v="3"/>
    <x v="7"/>
    <x v="0"/>
    <s v="Arjun"/>
    <n v="800"/>
    <n v="40"/>
    <n v="0"/>
    <x v="1"/>
    <n v="22"/>
    <x v="0"/>
    <n v="1"/>
    <n v="800"/>
    <x v="527"/>
    <x v="1"/>
    <n v="1"/>
  </r>
  <r>
    <s v="ORD2035"/>
    <s v="04-03-2021"/>
    <s v="CUST576"/>
    <x v="4"/>
    <x v="9"/>
    <x v="4"/>
    <s v="Karan"/>
    <n v="341"/>
    <n v="20"/>
    <n v="100"/>
    <x v="0"/>
    <n v="31"/>
    <x v="1"/>
    <n v="1"/>
    <n v="241"/>
    <x v="148"/>
    <x v="0"/>
    <n v="3"/>
  </r>
  <r>
    <s v="ORD2036"/>
    <s v="01-03-2021"/>
    <s v="CUST691"/>
    <x v="1"/>
    <x v="1"/>
    <x v="1"/>
    <s v="Imran"/>
    <n v="227"/>
    <n v="40"/>
    <n v="100"/>
    <x v="0"/>
    <n v="32"/>
    <x v="0"/>
    <n v="1"/>
    <n v="127"/>
    <x v="215"/>
    <x v="0"/>
    <n v="3"/>
  </r>
  <r>
    <s v="ORD2037"/>
    <s v="15-03-2021"/>
    <s v="CUST1199"/>
    <x v="1"/>
    <x v="1"/>
    <x v="1"/>
    <s v="Arjun"/>
    <n v="620"/>
    <n v="30"/>
    <n v="20"/>
    <x v="0"/>
    <n v="21"/>
    <x v="0"/>
    <n v="1"/>
    <n v="600"/>
    <x v="138"/>
    <x v="0"/>
    <n v="3"/>
  </r>
  <r>
    <s v="ORD2038"/>
    <s v="01-02-2021"/>
    <s v="CUST783"/>
    <x v="0"/>
    <x v="10"/>
    <x v="0"/>
    <s v="Rohit"/>
    <n v="183"/>
    <n v="20"/>
    <n v="0"/>
    <x v="2"/>
    <n v="36"/>
    <x v="0"/>
    <n v="1"/>
    <n v="183"/>
    <x v="331"/>
    <x v="2"/>
    <n v="2"/>
  </r>
  <r>
    <s v="ORD2039"/>
    <s v="14-03-2021"/>
    <s v="CUST605"/>
    <x v="0"/>
    <x v="12"/>
    <x v="3"/>
    <s v="Suresh"/>
    <n v="317"/>
    <n v="30"/>
    <n v="100"/>
    <x v="2"/>
    <n v="60"/>
    <x v="0"/>
    <n v="1"/>
    <n v="217"/>
    <x v="216"/>
    <x v="0"/>
    <n v="3"/>
  </r>
  <r>
    <s v="ORD2040"/>
    <s v="21-03-2021"/>
    <s v="CUST1107"/>
    <x v="1"/>
    <x v="1"/>
    <x v="1"/>
    <s v="Imran"/>
    <n v="324"/>
    <n v="40"/>
    <n v="50"/>
    <x v="1"/>
    <n v="42"/>
    <x v="0"/>
    <n v="1"/>
    <n v="274"/>
    <x v="528"/>
    <x v="0"/>
    <n v="3"/>
  </r>
  <r>
    <s v="ORD2041"/>
    <s v="01-03-2021"/>
    <s v="CUST1108"/>
    <x v="3"/>
    <x v="7"/>
    <x v="0"/>
    <s v="Deepak"/>
    <n v="332"/>
    <n v="20"/>
    <n v="50"/>
    <x v="2"/>
    <n v="24"/>
    <x v="0"/>
    <n v="1"/>
    <n v="282"/>
    <x v="529"/>
    <x v="0"/>
    <n v="3"/>
  </r>
  <r>
    <s v="ORD2042"/>
    <s v="28-01-2021"/>
    <s v="CUST905"/>
    <x v="1"/>
    <x v="8"/>
    <x v="2"/>
    <s v="Arjun"/>
    <n v="556"/>
    <n v="20"/>
    <n v="0"/>
    <x v="2"/>
    <n v="36"/>
    <x v="1"/>
    <n v="1"/>
    <n v="556"/>
    <x v="530"/>
    <x v="1"/>
    <n v="1"/>
  </r>
  <r>
    <s v="ORD2043"/>
    <s v="17-03-2021"/>
    <s v="CUST877"/>
    <x v="3"/>
    <x v="4"/>
    <x v="2"/>
    <s v="Arjun"/>
    <n v="177"/>
    <n v="30"/>
    <n v="20"/>
    <x v="1"/>
    <n v="30"/>
    <x v="0"/>
    <n v="1"/>
    <n v="157"/>
    <x v="97"/>
    <x v="0"/>
    <n v="3"/>
  </r>
  <r>
    <s v="ORD2044"/>
    <s v="19-02-2021"/>
    <s v="CUST1035"/>
    <x v="0"/>
    <x v="10"/>
    <x v="0"/>
    <s v="Manoj"/>
    <n v="151"/>
    <n v="40"/>
    <n v="30"/>
    <x v="0"/>
    <n v="52"/>
    <x v="0"/>
    <n v="1"/>
    <n v="121"/>
    <x v="531"/>
    <x v="2"/>
    <n v="2"/>
  </r>
  <r>
    <s v="ORD2045"/>
    <s v="23-02-2021"/>
    <s v="CUST850"/>
    <x v="2"/>
    <x v="6"/>
    <x v="2"/>
    <s v="Rohit"/>
    <n v="594"/>
    <n v="50"/>
    <n v="100"/>
    <x v="2"/>
    <n v="45"/>
    <x v="0"/>
    <n v="1"/>
    <n v="494"/>
    <x v="177"/>
    <x v="2"/>
    <n v="2"/>
  </r>
  <r>
    <s v="ORD2046"/>
    <s v="11-01-2021"/>
    <s v="CUST1013"/>
    <x v="0"/>
    <x v="12"/>
    <x v="3"/>
    <s v="Manoj"/>
    <n v="449"/>
    <n v="50"/>
    <n v="50"/>
    <x v="1"/>
    <n v="24"/>
    <x v="1"/>
    <n v="1"/>
    <n v="399"/>
    <x v="6"/>
    <x v="1"/>
    <n v="1"/>
  </r>
  <r>
    <s v="ORD2047"/>
    <s v="06-01-2021"/>
    <s v="CUST1008"/>
    <x v="3"/>
    <x v="4"/>
    <x v="2"/>
    <s v="Amit"/>
    <n v="681"/>
    <n v="40"/>
    <n v="100"/>
    <x v="2"/>
    <n v="30"/>
    <x v="0"/>
    <n v="1"/>
    <n v="581"/>
    <x v="137"/>
    <x v="1"/>
    <n v="1"/>
  </r>
  <r>
    <s v="ORD2048"/>
    <s v="09-01-2021"/>
    <s v="CUST759"/>
    <x v="3"/>
    <x v="13"/>
    <x v="1"/>
    <s v="Manoj"/>
    <n v="539"/>
    <n v="50"/>
    <n v="50"/>
    <x v="0"/>
    <n v="40"/>
    <x v="0"/>
    <n v="1"/>
    <n v="489"/>
    <x v="84"/>
    <x v="1"/>
    <n v="1"/>
  </r>
  <r>
    <s v="ORD2049"/>
    <s v="14-02-2021"/>
    <s v="CUST957"/>
    <x v="4"/>
    <x v="5"/>
    <x v="3"/>
    <s v="Suresh"/>
    <n v="383"/>
    <n v="20"/>
    <n v="50"/>
    <x v="0"/>
    <n v="23"/>
    <x v="0"/>
    <n v="1"/>
    <n v="333"/>
    <x v="241"/>
    <x v="2"/>
    <n v="2"/>
  </r>
  <r>
    <s v="ORD2050"/>
    <s v="23-02-2021"/>
    <s v="CUST529"/>
    <x v="4"/>
    <x v="5"/>
    <x v="3"/>
    <s v="Vikas"/>
    <n v="419"/>
    <n v="30"/>
    <n v="0"/>
    <x v="2"/>
    <n v="29"/>
    <x v="1"/>
    <n v="1"/>
    <n v="419"/>
    <x v="6"/>
    <x v="2"/>
    <n v="2"/>
  </r>
  <r>
    <s v="ORD2051"/>
    <s v="10-01-2021"/>
    <s v="CUST790"/>
    <x v="0"/>
    <x v="0"/>
    <x v="0"/>
    <s v="Deepak"/>
    <n v="700"/>
    <n v="50"/>
    <n v="30"/>
    <x v="1"/>
    <n v="28"/>
    <x v="0"/>
    <n v="1"/>
    <n v="670"/>
    <x v="379"/>
    <x v="1"/>
    <n v="1"/>
  </r>
  <r>
    <s v="ORD2052"/>
    <s v="01-03-2021"/>
    <s v="CUST1126"/>
    <x v="2"/>
    <x v="3"/>
    <x v="1"/>
    <s v="Rohit"/>
    <n v="374"/>
    <n v="50"/>
    <n v="50"/>
    <x v="1"/>
    <n v="50"/>
    <x v="0"/>
    <n v="1"/>
    <n v="324"/>
    <x v="383"/>
    <x v="0"/>
    <n v="3"/>
  </r>
  <r>
    <s v="ORD2053"/>
    <s v="25-03-2021"/>
    <s v="CUST736"/>
    <x v="1"/>
    <x v="8"/>
    <x v="2"/>
    <s v="Karan"/>
    <n v="310"/>
    <n v="30"/>
    <n v="100"/>
    <x v="2"/>
    <n v="22"/>
    <x v="0"/>
    <n v="1"/>
    <n v="210"/>
    <x v="378"/>
    <x v="0"/>
    <n v="3"/>
  </r>
  <r>
    <s v="ORD2054"/>
    <s v="10-02-2021"/>
    <s v="CUST929"/>
    <x v="2"/>
    <x v="11"/>
    <x v="0"/>
    <s v="Suresh"/>
    <n v="705"/>
    <n v="40"/>
    <n v="50"/>
    <x v="0"/>
    <n v="34"/>
    <x v="0"/>
    <n v="1"/>
    <n v="655"/>
    <x v="386"/>
    <x v="2"/>
    <n v="2"/>
  </r>
  <r>
    <s v="ORD2055"/>
    <s v="04-01-2021"/>
    <s v="CUST587"/>
    <x v="2"/>
    <x v="3"/>
    <x v="1"/>
    <s v="Amit"/>
    <n v="608"/>
    <n v="50"/>
    <n v="20"/>
    <x v="0"/>
    <n v="26"/>
    <x v="1"/>
    <n v="1"/>
    <n v="588"/>
    <x v="171"/>
    <x v="1"/>
    <n v="1"/>
  </r>
  <r>
    <s v="ORD2056"/>
    <s v="14-03-2021"/>
    <s v="CUST900"/>
    <x v="2"/>
    <x v="3"/>
    <x v="1"/>
    <s v="Vikas"/>
    <n v="654"/>
    <n v="20"/>
    <n v="30"/>
    <x v="0"/>
    <n v="26"/>
    <x v="0"/>
    <n v="1"/>
    <n v="624"/>
    <x v="532"/>
    <x v="0"/>
    <n v="3"/>
  </r>
  <r>
    <s v="ORD2057"/>
    <s v="21-02-2021"/>
    <s v="CUST916"/>
    <x v="3"/>
    <x v="13"/>
    <x v="1"/>
    <s v="Manoj"/>
    <n v="150"/>
    <n v="20"/>
    <n v="100"/>
    <x v="0"/>
    <n v="29"/>
    <x v="0"/>
    <n v="1"/>
    <n v="50"/>
    <x v="533"/>
    <x v="2"/>
    <n v="2"/>
  </r>
  <r>
    <s v="ORD2058"/>
    <s v="01-01-2021"/>
    <s v="CUST968"/>
    <x v="1"/>
    <x v="1"/>
    <x v="1"/>
    <s v="Arjun"/>
    <n v="430"/>
    <n v="40"/>
    <n v="30"/>
    <x v="1"/>
    <n v="60"/>
    <x v="0"/>
    <n v="1"/>
    <n v="400"/>
    <x v="190"/>
    <x v="1"/>
    <n v="1"/>
  </r>
  <r>
    <s v="ORD2059"/>
    <s v="12-01-2021"/>
    <s v="CUST1173"/>
    <x v="4"/>
    <x v="9"/>
    <x v="4"/>
    <s v="Arjun"/>
    <n v="726"/>
    <n v="30"/>
    <n v="50"/>
    <x v="2"/>
    <n v="52"/>
    <x v="0"/>
    <n v="1"/>
    <n v="676"/>
    <x v="534"/>
    <x v="1"/>
    <n v="1"/>
  </r>
  <r>
    <s v="ORD2060"/>
    <s v="01-03-2021"/>
    <s v="CUST540"/>
    <x v="2"/>
    <x v="3"/>
    <x v="1"/>
    <s v="Suresh"/>
    <n v="660"/>
    <n v="50"/>
    <n v="30"/>
    <x v="1"/>
    <n v="37"/>
    <x v="0"/>
    <n v="1"/>
    <n v="630"/>
    <x v="376"/>
    <x v="0"/>
    <n v="3"/>
  </r>
  <r>
    <s v="ORD2061"/>
    <s v="25-02-2021"/>
    <s v="CUST620"/>
    <x v="0"/>
    <x v="12"/>
    <x v="3"/>
    <s v="Rohit"/>
    <n v="200"/>
    <n v="30"/>
    <n v="30"/>
    <x v="0"/>
    <n v="57"/>
    <x v="0"/>
    <n v="1"/>
    <n v="170"/>
    <x v="444"/>
    <x v="2"/>
    <n v="2"/>
  </r>
  <r>
    <s v="ORD2062"/>
    <s v="12-03-2021"/>
    <s v="CUST584"/>
    <x v="2"/>
    <x v="3"/>
    <x v="1"/>
    <s v="Rahul"/>
    <n v="786"/>
    <n v="20"/>
    <n v="20"/>
    <x v="2"/>
    <n v="46"/>
    <x v="0"/>
    <n v="1"/>
    <n v="766"/>
    <x v="250"/>
    <x v="0"/>
    <n v="3"/>
  </r>
  <r>
    <s v="ORD2063"/>
    <s v="31-03-2021"/>
    <s v="CUST523"/>
    <x v="0"/>
    <x v="12"/>
    <x v="3"/>
    <s v="Imran"/>
    <n v="455"/>
    <n v="40"/>
    <n v="30"/>
    <x v="1"/>
    <n v="48"/>
    <x v="0"/>
    <n v="1"/>
    <n v="425"/>
    <x v="206"/>
    <x v="0"/>
    <n v="3"/>
  </r>
  <r>
    <s v="ORD2064"/>
    <s v="31-01-2021"/>
    <s v="CUST874"/>
    <x v="2"/>
    <x v="6"/>
    <x v="2"/>
    <s v="Arjun"/>
    <n v="640"/>
    <n v="50"/>
    <n v="20"/>
    <x v="0"/>
    <n v="44"/>
    <x v="0"/>
    <n v="1"/>
    <n v="620"/>
    <x v="535"/>
    <x v="1"/>
    <n v="1"/>
  </r>
  <r>
    <s v="ORD2065"/>
    <s v="06-02-2021"/>
    <s v="CUST672"/>
    <x v="2"/>
    <x v="3"/>
    <x v="1"/>
    <s v="Arjun"/>
    <n v="470"/>
    <n v="50"/>
    <n v="0"/>
    <x v="2"/>
    <n v="51"/>
    <x v="0"/>
    <n v="1"/>
    <n v="470"/>
    <x v="202"/>
    <x v="2"/>
    <n v="2"/>
  </r>
  <r>
    <s v="ORD2066"/>
    <s v="10-03-2021"/>
    <s v="CUST570"/>
    <x v="0"/>
    <x v="0"/>
    <x v="0"/>
    <s v="Imran"/>
    <n v="736"/>
    <n v="40"/>
    <n v="50"/>
    <x v="2"/>
    <n v="55"/>
    <x v="0"/>
    <n v="1"/>
    <n v="686"/>
    <x v="223"/>
    <x v="0"/>
    <n v="3"/>
  </r>
  <r>
    <s v="ORD2067"/>
    <s v="04-02-2021"/>
    <s v="CUST1020"/>
    <x v="0"/>
    <x v="0"/>
    <x v="0"/>
    <s v="Karan"/>
    <n v="339"/>
    <n v="50"/>
    <n v="100"/>
    <x v="2"/>
    <n v="23"/>
    <x v="0"/>
    <n v="1"/>
    <n v="239"/>
    <x v="505"/>
    <x v="2"/>
    <n v="2"/>
  </r>
  <r>
    <s v="ORD2068"/>
    <s v="01-03-2021"/>
    <s v="CUST565"/>
    <x v="4"/>
    <x v="5"/>
    <x v="3"/>
    <s v="Amit"/>
    <n v="207"/>
    <n v="30"/>
    <n v="50"/>
    <x v="2"/>
    <n v="22"/>
    <x v="0"/>
    <n v="1"/>
    <n v="157"/>
    <x v="97"/>
    <x v="0"/>
    <n v="3"/>
  </r>
  <r>
    <s v="ORD2069"/>
    <s v="19-02-2021"/>
    <s v="CUST671"/>
    <x v="4"/>
    <x v="5"/>
    <x v="3"/>
    <s v="Imran"/>
    <n v="158"/>
    <n v="50"/>
    <n v="50"/>
    <x v="1"/>
    <n v="52"/>
    <x v="0"/>
    <n v="1"/>
    <n v="108"/>
    <x v="536"/>
    <x v="2"/>
    <n v="2"/>
  </r>
  <r>
    <s v="ORD2070"/>
    <s v="11-03-2021"/>
    <s v="CUST1029"/>
    <x v="3"/>
    <x v="4"/>
    <x v="2"/>
    <s v="Arjun"/>
    <n v="151"/>
    <n v="40"/>
    <n v="30"/>
    <x v="1"/>
    <n v="38"/>
    <x v="0"/>
    <n v="1"/>
    <n v="121"/>
    <x v="531"/>
    <x v="0"/>
    <n v="3"/>
  </r>
  <r>
    <s v="ORD2071"/>
    <s v="08-01-2021"/>
    <s v="CUST727"/>
    <x v="1"/>
    <x v="2"/>
    <x v="1"/>
    <s v="Rohit"/>
    <n v="673"/>
    <n v="40"/>
    <n v="30"/>
    <x v="2"/>
    <n v="22"/>
    <x v="0"/>
    <n v="1"/>
    <n v="643"/>
    <x v="537"/>
    <x v="1"/>
    <n v="1"/>
  </r>
  <r>
    <s v="ORD2072"/>
    <s v="12-03-2021"/>
    <s v="CUST637"/>
    <x v="4"/>
    <x v="5"/>
    <x v="3"/>
    <s v="Arjun"/>
    <n v="470"/>
    <n v="50"/>
    <n v="30"/>
    <x v="0"/>
    <n v="32"/>
    <x v="1"/>
    <n v="1"/>
    <n v="440"/>
    <x v="243"/>
    <x v="0"/>
    <n v="3"/>
  </r>
  <r>
    <s v="ORD2073"/>
    <s v="01-02-2021"/>
    <s v="CUST717"/>
    <x v="0"/>
    <x v="0"/>
    <x v="0"/>
    <s v="Manoj"/>
    <n v="665"/>
    <n v="40"/>
    <n v="100"/>
    <x v="1"/>
    <n v="57"/>
    <x v="0"/>
    <n v="1"/>
    <n v="565"/>
    <x v="90"/>
    <x v="2"/>
    <n v="2"/>
  </r>
  <r>
    <s v="ORD2074"/>
    <s v="26-01-2021"/>
    <s v="CUST593"/>
    <x v="4"/>
    <x v="9"/>
    <x v="4"/>
    <s v="Amit"/>
    <n v="560"/>
    <n v="30"/>
    <n v="30"/>
    <x v="2"/>
    <n v="23"/>
    <x v="0"/>
    <n v="1"/>
    <n v="530"/>
    <x v="311"/>
    <x v="1"/>
    <n v="1"/>
  </r>
  <r>
    <s v="ORD2075"/>
    <s v="11-01-2021"/>
    <s v="CUST1039"/>
    <x v="2"/>
    <x v="11"/>
    <x v="0"/>
    <s v="Rohit"/>
    <n v="301"/>
    <n v="20"/>
    <n v="50"/>
    <x v="1"/>
    <n v="21"/>
    <x v="0"/>
    <n v="1"/>
    <n v="251"/>
    <x v="33"/>
    <x v="1"/>
    <n v="1"/>
  </r>
  <r>
    <s v="ORD2076"/>
    <s v="09-01-2021"/>
    <s v="CUST1007"/>
    <x v="1"/>
    <x v="8"/>
    <x v="2"/>
    <s v="Amit"/>
    <n v="677"/>
    <n v="20"/>
    <n v="50"/>
    <x v="0"/>
    <n v="20"/>
    <x v="0"/>
    <n v="1"/>
    <n v="627"/>
    <x v="11"/>
    <x v="1"/>
    <n v="1"/>
  </r>
  <r>
    <s v="ORD2077"/>
    <s v="03-03-2021"/>
    <s v="CUST1123"/>
    <x v="4"/>
    <x v="5"/>
    <x v="3"/>
    <s v="Deepak"/>
    <n v="206"/>
    <n v="30"/>
    <n v="20"/>
    <x v="0"/>
    <n v="60"/>
    <x v="0"/>
    <n v="1"/>
    <n v="186"/>
    <x v="205"/>
    <x v="0"/>
    <n v="3"/>
  </r>
  <r>
    <s v="ORD2078"/>
    <s v="27-03-2021"/>
    <s v="CUST636"/>
    <x v="0"/>
    <x v="12"/>
    <x v="3"/>
    <s v="Manoj"/>
    <n v="652"/>
    <n v="40"/>
    <n v="50"/>
    <x v="1"/>
    <n v="35"/>
    <x v="0"/>
    <n v="1"/>
    <n v="602"/>
    <x v="412"/>
    <x v="0"/>
    <n v="3"/>
  </r>
  <r>
    <s v="ORD2079"/>
    <s v="06-01-2021"/>
    <s v="CUST631"/>
    <x v="1"/>
    <x v="2"/>
    <x v="1"/>
    <s v="Karan"/>
    <n v="482"/>
    <n v="20"/>
    <n v="100"/>
    <x v="1"/>
    <n v="31"/>
    <x v="0"/>
    <n v="1"/>
    <n v="382"/>
    <x v="514"/>
    <x v="1"/>
    <n v="1"/>
  </r>
  <r>
    <s v="ORD2080"/>
    <s v="15-01-2021"/>
    <s v="CUST796"/>
    <x v="2"/>
    <x v="6"/>
    <x v="2"/>
    <s v="Rahul"/>
    <n v="589"/>
    <n v="40"/>
    <n v="50"/>
    <x v="2"/>
    <n v="55"/>
    <x v="0"/>
    <n v="1"/>
    <n v="539"/>
    <x v="355"/>
    <x v="1"/>
    <n v="1"/>
  </r>
  <r>
    <s v="ORD2081"/>
    <s v="07-01-2021"/>
    <s v="CUST537"/>
    <x v="0"/>
    <x v="0"/>
    <x v="0"/>
    <s v="Amit"/>
    <n v="720"/>
    <n v="20"/>
    <n v="0"/>
    <x v="0"/>
    <n v="34"/>
    <x v="0"/>
    <n v="1"/>
    <n v="720"/>
    <x v="34"/>
    <x v="1"/>
    <n v="1"/>
  </r>
  <r>
    <s v="ORD2082"/>
    <s v="30-03-2021"/>
    <s v="CUST1120"/>
    <x v="4"/>
    <x v="5"/>
    <x v="3"/>
    <s v="Arjun"/>
    <n v="650"/>
    <n v="20"/>
    <n v="20"/>
    <x v="1"/>
    <n v="51"/>
    <x v="0"/>
    <n v="1"/>
    <n v="630"/>
    <x v="280"/>
    <x v="0"/>
    <n v="3"/>
  </r>
  <r>
    <s v="ORD2083"/>
    <s v="18-01-2021"/>
    <s v="CUST797"/>
    <x v="0"/>
    <x v="10"/>
    <x v="0"/>
    <s v="Karan"/>
    <n v="674"/>
    <n v="40"/>
    <n v="50"/>
    <x v="1"/>
    <n v="47"/>
    <x v="0"/>
    <n v="1"/>
    <n v="624"/>
    <x v="60"/>
    <x v="1"/>
    <n v="1"/>
  </r>
  <r>
    <s v="ORD2084"/>
    <s v="19-03-2021"/>
    <s v="CUST681"/>
    <x v="4"/>
    <x v="9"/>
    <x v="4"/>
    <s v="Suresh"/>
    <n v="782"/>
    <n v="30"/>
    <n v="100"/>
    <x v="2"/>
    <n v="35"/>
    <x v="1"/>
    <n v="1"/>
    <n v="682"/>
    <x v="211"/>
    <x v="0"/>
    <n v="3"/>
  </r>
  <r>
    <s v="ORD2085"/>
    <s v="18-03-2021"/>
    <s v="CUST1150"/>
    <x v="3"/>
    <x v="4"/>
    <x v="2"/>
    <s v="Suresh"/>
    <n v="439"/>
    <n v="50"/>
    <n v="100"/>
    <x v="1"/>
    <n v="56"/>
    <x v="0"/>
    <n v="1"/>
    <n v="339"/>
    <x v="407"/>
    <x v="0"/>
    <n v="3"/>
  </r>
  <r>
    <s v="ORD2086"/>
    <s v="14-01-2021"/>
    <s v="CUST930"/>
    <x v="3"/>
    <x v="7"/>
    <x v="0"/>
    <s v="Karan"/>
    <n v="399"/>
    <n v="50"/>
    <n v="0"/>
    <x v="0"/>
    <n v="45"/>
    <x v="0"/>
    <n v="1"/>
    <n v="399"/>
    <x v="6"/>
    <x v="1"/>
    <n v="1"/>
  </r>
  <r>
    <s v="ORD2087"/>
    <s v="17-03-2021"/>
    <s v="CUST738"/>
    <x v="3"/>
    <x v="13"/>
    <x v="1"/>
    <s v="Imran"/>
    <n v="528"/>
    <n v="50"/>
    <n v="20"/>
    <x v="2"/>
    <n v="48"/>
    <x v="1"/>
    <n v="1"/>
    <n v="508"/>
    <x v="344"/>
    <x v="0"/>
    <n v="3"/>
  </r>
  <r>
    <s v="ORD2088"/>
    <s v="04-03-2021"/>
    <s v="CUST574"/>
    <x v="4"/>
    <x v="5"/>
    <x v="3"/>
    <s v="Rohit"/>
    <n v="583"/>
    <n v="30"/>
    <n v="50"/>
    <x v="2"/>
    <n v="23"/>
    <x v="0"/>
    <n v="1"/>
    <n v="533"/>
    <x v="538"/>
    <x v="0"/>
    <n v="3"/>
  </r>
  <r>
    <s v="ORD2089"/>
    <s v="16-01-2021"/>
    <s v="CUST658"/>
    <x v="2"/>
    <x v="3"/>
    <x v="1"/>
    <s v="Rohit"/>
    <n v="686"/>
    <n v="20"/>
    <n v="50"/>
    <x v="1"/>
    <n v="47"/>
    <x v="0"/>
    <n v="1"/>
    <n v="636"/>
    <x v="367"/>
    <x v="1"/>
    <n v="1"/>
  </r>
  <r>
    <s v="ORD2090"/>
    <s v="02-02-2021"/>
    <s v="CUST740"/>
    <x v="2"/>
    <x v="11"/>
    <x v="0"/>
    <s v="Vikas"/>
    <n v="248"/>
    <n v="50"/>
    <n v="20"/>
    <x v="2"/>
    <n v="22"/>
    <x v="0"/>
    <n v="1"/>
    <n v="228"/>
    <x v="347"/>
    <x v="2"/>
    <n v="2"/>
  </r>
  <r>
    <s v="ORD2091"/>
    <s v="19-03-2021"/>
    <s v="CUST1022"/>
    <x v="2"/>
    <x v="6"/>
    <x v="2"/>
    <s v="Imran"/>
    <n v="568"/>
    <n v="30"/>
    <n v="20"/>
    <x v="2"/>
    <n v="46"/>
    <x v="0"/>
    <n v="1"/>
    <n v="548"/>
    <x v="438"/>
    <x v="0"/>
    <n v="3"/>
  </r>
  <r>
    <s v="ORD2092"/>
    <s v="03-03-2021"/>
    <s v="CUST652"/>
    <x v="4"/>
    <x v="5"/>
    <x v="3"/>
    <s v="Vikas"/>
    <n v="350"/>
    <n v="20"/>
    <n v="0"/>
    <x v="2"/>
    <n v="32"/>
    <x v="0"/>
    <n v="1"/>
    <n v="350"/>
    <x v="539"/>
    <x v="0"/>
    <n v="3"/>
  </r>
  <r>
    <s v="ORD2093"/>
    <s v="25-01-2021"/>
    <s v="CUST896"/>
    <x v="0"/>
    <x v="0"/>
    <x v="0"/>
    <s v="Karan"/>
    <n v="643"/>
    <n v="30"/>
    <n v="30"/>
    <x v="1"/>
    <n v="45"/>
    <x v="0"/>
    <n v="1"/>
    <n v="613"/>
    <x v="271"/>
    <x v="1"/>
    <n v="1"/>
  </r>
  <r>
    <s v="ORD2094"/>
    <s v="10-01-2021"/>
    <s v="CUST970"/>
    <x v="1"/>
    <x v="8"/>
    <x v="2"/>
    <s v="Rahul"/>
    <n v="245"/>
    <n v="40"/>
    <n v="20"/>
    <x v="1"/>
    <n v="45"/>
    <x v="0"/>
    <n v="1"/>
    <n v="225"/>
    <x v="275"/>
    <x v="1"/>
    <n v="1"/>
  </r>
  <r>
    <s v="ORD2095"/>
    <s v="01-02-2021"/>
    <s v="CUST520"/>
    <x v="4"/>
    <x v="5"/>
    <x v="3"/>
    <s v="Amit"/>
    <n v="244"/>
    <n v="40"/>
    <n v="0"/>
    <x v="2"/>
    <n v="32"/>
    <x v="0"/>
    <n v="1"/>
    <n v="244"/>
    <x v="490"/>
    <x v="2"/>
    <n v="2"/>
  </r>
  <r>
    <s v="ORD2096"/>
    <s v="12-01-2021"/>
    <s v="CUST1157"/>
    <x v="4"/>
    <x v="9"/>
    <x v="4"/>
    <s v="Arjun"/>
    <n v="593"/>
    <n v="50"/>
    <n v="30"/>
    <x v="1"/>
    <n v="38"/>
    <x v="0"/>
    <n v="1"/>
    <n v="563"/>
    <x v="265"/>
    <x v="1"/>
    <n v="1"/>
  </r>
  <r>
    <s v="ORD2097"/>
    <s v="10-02-2021"/>
    <s v="CUST749"/>
    <x v="0"/>
    <x v="12"/>
    <x v="3"/>
    <s v="Arjun"/>
    <n v="315"/>
    <n v="20"/>
    <n v="0"/>
    <x v="2"/>
    <n v="59"/>
    <x v="0"/>
    <n v="1"/>
    <n v="315"/>
    <x v="262"/>
    <x v="2"/>
    <n v="2"/>
  </r>
  <r>
    <s v="ORD2098"/>
    <s v="05-02-2021"/>
    <s v="CUST1016"/>
    <x v="1"/>
    <x v="1"/>
    <x v="1"/>
    <s v="Amit"/>
    <n v="456"/>
    <n v="40"/>
    <n v="0"/>
    <x v="1"/>
    <n v="20"/>
    <x v="0"/>
    <n v="1"/>
    <n v="456"/>
    <x v="30"/>
    <x v="2"/>
    <n v="2"/>
  </r>
  <r>
    <s v="ORD2099"/>
    <s v="28-01-2021"/>
    <s v="CUST516"/>
    <x v="3"/>
    <x v="4"/>
    <x v="2"/>
    <s v="Karan"/>
    <n v="762"/>
    <n v="50"/>
    <n v="30"/>
    <x v="2"/>
    <n v="29"/>
    <x v="0"/>
    <n v="1"/>
    <n v="732"/>
    <x v="540"/>
    <x v="1"/>
    <n v="1"/>
  </r>
  <r>
    <s v="ORD2100"/>
    <s v="13-03-2021"/>
    <s v="CUST919"/>
    <x v="2"/>
    <x v="3"/>
    <x v="1"/>
    <s v="Arjun"/>
    <n v="572"/>
    <n v="50"/>
    <n v="30"/>
    <x v="0"/>
    <n v="31"/>
    <x v="0"/>
    <n v="1"/>
    <n v="542"/>
    <x v="300"/>
    <x v="0"/>
    <n v="3"/>
  </r>
  <r>
    <s v="ORD2101"/>
    <s v="21-03-2021"/>
    <s v="CUST1130"/>
    <x v="4"/>
    <x v="14"/>
    <x v="0"/>
    <s v="Suresh"/>
    <n v="438"/>
    <n v="50"/>
    <n v="20"/>
    <x v="2"/>
    <n v="55"/>
    <x v="0"/>
    <n v="1"/>
    <n v="418"/>
    <x v="116"/>
    <x v="0"/>
    <n v="3"/>
  </r>
  <r>
    <s v="ORD2102"/>
    <s v="11-01-2021"/>
    <s v="CUST624"/>
    <x v="0"/>
    <x v="10"/>
    <x v="0"/>
    <s v="Vikas"/>
    <n v="266"/>
    <n v="50"/>
    <n v="50"/>
    <x v="1"/>
    <n v="27"/>
    <x v="0"/>
    <n v="1"/>
    <n v="216"/>
    <x v="110"/>
    <x v="1"/>
    <n v="1"/>
  </r>
  <r>
    <s v="ORD2103"/>
    <s v="27-03-2021"/>
    <s v="CUST777"/>
    <x v="3"/>
    <x v="13"/>
    <x v="1"/>
    <s v="Imran"/>
    <n v="645"/>
    <n v="50"/>
    <n v="100"/>
    <x v="2"/>
    <n v="43"/>
    <x v="0"/>
    <n v="1"/>
    <n v="545"/>
    <x v="260"/>
    <x v="0"/>
    <n v="3"/>
  </r>
  <r>
    <s v="ORD2104"/>
    <s v="11-01-2021"/>
    <s v="CUST1164"/>
    <x v="4"/>
    <x v="9"/>
    <x v="4"/>
    <s v="Amit"/>
    <n v="771"/>
    <n v="50"/>
    <n v="50"/>
    <x v="1"/>
    <n v="34"/>
    <x v="0"/>
    <n v="1"/>
    <n v="721"/>
    <x v="541"/>
    <x v="1"/>
    <n v="1"/>
  </r>
  <r>
    <s v="ORD2105"/>
    <s v="16-03-2021"/>
    <s v="CUST533"/>
    <x v="4"/>
    <x v="9"/>
    <x v="4"/>
    <s v="Manoj"/>
    <n v="711"/>
    <n v="20"/>
    <n v="0"/>
    <x v="1"/>
    <n v="54"/>
    <x v="0"/>
    <n v="1"/>
    <n v="711"/>
    <x v="542"/>
    <x v="0"/>
    <n v="3"/>
  </r>
  <r>
    <s v="ORD2106"/>
    <s v="22-02-2021"/>
    <s v="CUST719"/>
    <x v="3"/>
    <x v="13"/>
    <x v="1"/>
    <s v="Rohit"/>
    <n v="204"/>
    <n v="40"/>
    <n v="0"/>
    <x v="0"/>
    <n v="50"/>
    <x v="0"/>
    <n v="1"/>
    <n v="204"/>
    <x v="543"/>
    <x v="2"/>
    <n v="2"/>
  </r>
  <r>
    <s v="ORD2107"/>
    <s v="21-02-2021"/>
    <s v="CUST1095"/>
    <x v="2"/>
    <x v="11"/>
    <x v="0"/>
    <s v="Manoj"/>
    <n v="407"/>
    <n v="30"/>
    <n v="20"/>
    <x v="1"/>
    <n v="45"/>
    <x v="0"/>
    <n v="1"/>
    <n v="387"/>
    <x v="108"/>
    <x v="2"/>
    <n v="2"/>
  </r>
  <r>
    <s v="ORD2108"/>
    <s v="07-01-2021"/>
    <s v="CUST676"/>
    <x v="0"/>
    <x v="10"/>
    <x v="0"/>
    <s v="Rohit"/>
    <n v="794"/>
    <n v="40"/>
    <n v="20"/>
    <x v="1"/>
    <n v="25"/>
    <x v="1"/>
    <n v="1"/>
    <n v="774"/>
    <x v="544"/>
    <x v="1"/>
    <n v="1"/>
  </r>
  <r>
    <s v="ORD2109"/>
    <s v="24-01-2021"/>
    <s v="CUST775"/>
    <x v="4"/>
    <x v="9"/>
    <x v="4"/>
    <s v="Deepak"/>
    <n v="239"/>
    <n v="40"/>
    <n v="100"/>
    <x v="2"/>
    <n v="38"/>
    <x v="0"/>
    <n v="1"/>
    <n v="139"/>
    <x v="545"/>
    <x v="1"/>
    <n v="1"/>
  </r>
  <r>
    <s v="ORD2110"/>
    <s v="06-02-2021"/>
    <s v="CUST996"/>
    <x v="4"/>
    <x v="9"/>
    <x v="4"/>
    <s v="Rohit"/>
    <n v="197"/>
    <n v="20"/>
    <n v="20"/>
    <x v="0"/>
    <n v="48"/>
    <x v="0"/>
    <n v="1"/>
    <n v="177"/>
    <x v="476"/>
    <x v="2"/>
    <n v="2"/>
  </r>
  <r>
    <s v="ORD2111"/>
    <s v="07-03-2021"/>
    <s v="CUST1123"/>
    <x v="3"/>
    <x v="13"/>
    <x v="1"/>
    <s v="Arjun"/>
    <n v="468"/>
    <n v="50"/>
    <n v="0"/>
    <x v="0"/>
    <n v="34"/>
    <x v="0"/>
    <n v="1"/>
    <n v="468"/>
    <x v="225"/>
    <x v="0"/>
    <n v="3"/>
  </r>
  <r>
    <s v="ORD2112"/>
    <s v="01-02-2021"/>
    <s v="CUST837"/>
    <x v="1"/>
    <x v="2"/>
    <x v="1"/>
    <s v="Amit"/>
    <n v="462"/>
    <n v="30"/>
    <n v="20"/>
    <x v="0"/>
    <n v="29"/>
    <x v="0"/>
    <n v="1"/>
    <n v="442"/>
    <x v="325"/>
    <x v="2"/>
    <n v="2"/>
  </r>
  <r>
    <s v="ORD2113"/>
    <s v="29-01-2021"/>
    <s v="CUST1105"/>
    <x v="0"/>
    <x v="12"/>
    <x v="3"/>
    <s v="Imran"/>
    <n v="319"/>
    <n v="30"/>
    <n v="100"/>
    <x v="0"/>
    <n v="43"/>
    <x v="0"/>
    <n v="1"/>
    <n v="219"/>
    <x v="147"/>
    <x v="1"/>
    <n v="1"/>
  </r>
  <r>
    <s v="ORD2114"/>
    <s v="09-01-2021"/>
    <s v="CUST634"/>
    <x v="1"/>
    <x v="8"/>
    <x v="2"/>
    <s v="Suresh"/>
    <n v="173"/>
    <n v="40"/>
    <n v="0"/>
    <x v="0"/>
    <n v="27"/>
    <x v="0"/>
    <n v="1"/>
    <n v="173"/>
    <x v="409"/>
    <x v="1"/>
    <n v="1"/>
  </r>
  <r>
    <s v="ORD2115"/>
    <s v="27-02-2021"/>
    <s v="CUST926"/>
    <x v="2"/>
    <x v="3"/>
    <x v="1"/>
    <s v="Rahul"/>
    <n v="533"/>
    <n v="50"/>
    <n v="100"/>
    <x v="0"/>
    <n v="54"/>
    <x v="0"/>
    <n v="1"/>
    <n v="433"/>
    <x v="247"/>
    <x v="2"/>
    <n v="2"/>
  </r>
  <r>
    <s v="ORD2116"/>
    <s v="19-01-2021"/>
    <s v="CUST1077"/>
    <x v="2"/>
    <x v="3"/>
    <x v="1"/>
    <s v="Suresh"/>
    <n v="748"/>
    <n v="50"/>
    <n v="20"/>
    <x v="0"/>
    <n v="53"/>
    <x v="0"/>
    <n v="1"/>
    <n v="728"/>
    <x v="288"/>
    <x v="1"/>
    <n v="1"/>
  </r>
  <r>
    <s v="ORD2117"/>
    <s v="31-03-2021"/>
    <s v="CUST700"/>
    <x v="2"/>
    <x v="11"/>
    <x v="0"/>
    <s v="Suresh"/>
    <n v="289"/>
    <n v="20"/>
    <n v="100"/>
    <x v="1"/>
    <n v="35"/>
    <x v="0"/>
    <n v="1"/>
    <n v="189"/>
    <x v="546"/>
    <x v="0"/>
    <n v="3"/>
  </r>
  <r>
    <s v="ORD2118"/>
    <s v="01-02-2021"/>
    <s v="CUST1197"/>
    <x v="3"/>
    <x v="13"/>
    <x v="1"/>
    <s v="Imran"/>
    <n v="412"/>
    <n v="30"/>
    <n v="20"/>
    <x v="2"/>
    <n v="20"/>
    <x v="0"/>
    <n v="1"/>
    <n v="392"/>
    <x v="294"/>
    <x v="2"/>
    <n v="2"/>
  </r>
  <r>
    <s v="ORD2119"/>
    <s v="06-02-2021"/>
    <s v="CUST1047"/>
    <x v="4"/>
    <x v="9"/>
    <x v="4"/>
    <s v="Rohit"/>
    <n v="470"/>
    <n v="40"/>
    <n v="100"/>
    <x v="0"/>
    <n v="55"/>
    <x v="0"/>
    <n v="1"/>
    <n v="370"/>
    <x v="87"/>
    <x v="2"/>
    <n v="2"/>
  </r>
  <r>
    <s v="ORD2120"/>
    <s v="13-01-2021"/>
    <s v="CUST1015"/>
    <x v="3"/>
    <x v="7"/>
    <x v="0"/>
    <s v="Deepak"/>
    <n v="728"/>
    <n v="40"/>
    <n v="100"/>
    <x v="0"/>
    <n v="49"/>
    <x v="0"/>
    <n v="1"/>
    <n v="628"/>
    <x v="470"/>
    <x v="1"/>
    <n v="1"/>
  </r>
  <r>
    <s v="ORD2121"/>
    <s v="03-01-2021"/>
    <s v="CUST1115"/>
    <x v="2"/>
    <x v="11"/>
    <x v="0"/>
    <s v="Rahul"/>
    <n v="467"/>
    <n v="40"/>
    <n v="50"/>
    <x v="1"/>
    <n v="55"/>
    <x v="0"/>
    <n v="1"/>
    <n v="417"/>
    <x v="102"/>
    <x v="1"/>
    <n v="1"/>
  </r>
  <r>
    <s v="ORD2122"/>
    <s v="05-03-2021"/>
    <s v="CUST830"/>
    <x v="3"/>
    <x v="7"/>
    <x v="0"/>
    <s v="Rahul"/>
    <n v="642"/>
    <n v="50"/>
    <n v="100"/>
    <x v="0"/>
    <n v="21"/>
    <x v="0"/>
    <n v="1"/>
    <n v="542"/>
    <x v="300"/>
    <x v="0"/>
    <n v="3"/>
  </r>
  <r>
    <s v="ORD2123"/>
    <s v="01-01-2021"/>
    <s v="CUST1060"/>
    <x v="1"/>
    <x v="8"/>
    <x v="2"/>
    <s v="Rahul"/>
    <n v="623"/>
    <n v="40"/>
    <n v="50"/>
    <x v="0"/>
    <n v="41"/>
    <x v="0"/>
    <n v="1"/>
    <n v="573"/>
    <x v="265"/>
    <x v="1"/>
    <n v="1"/>
  </r>
  <r>
    <s v="ORD2124"/>
    <s v="13-02-2021"/>
    <s v="CUST714"/>
    <x v="0"/>
    <x v="10"/>
    <x v="0"/>
    <s v="Deepak"/>
    <n v="690"/>
    <n v="40"/>
    <n v="100"/>
    <x v="0"/>
    <n v="21"/>
    <x v="0"/>
    <n v="1"/>
    <n v="590"/>
    <x v="138"/>
    <x v="2"/>
    <n v="2"/>
  </r>
  <r>
    <s v="ORD2125"/>
    <s v="06-02-2021"/>
    <s v="CUST1023"/>
    <x v="2"/>
    <x v="6"/>
    <x v="2"/>
    <s v="Karan"/>
    <n v="508"/>
    <n v="30"/>
    <n v="20"/>
    <x v="0"/>
    <n v="44"/>
    <x v="0"/>
    <n v="1"/>
    <n v="488"/>
    <x v="225"/>
    <x v="2"/>
    <n v="2"/>
  </r>
  <r>
    <s v="ORD2126"/>
    <s v="27-01-2021"/>
    <s v="CUST579"/>
    <x v="2"/>
    <x v="3"/>
    <x v="1"/>
    <s v="Karan"/>
    <n v="478"/>
    <n v="50"/>
    <n v="100"/>
    <x v="0"/>
    <n v="46"/>
    <x v="0"/>
    <n v="1"/>
    <n v="378"/>
    <x v="547"/>
    <x v="1"/>
    <n v="1"/>
  </r>
  <r>
    <s v="ORD2127"/>
    <s v="17-03-2021"/>
    <s v="CUST1123"/>
    <x v="2"/>
    <x v="3"/>
    <x v="1"/>
    <s v="Suresh"/>
    <n v="286"/>
    <n v="30"/>
    <n v="20"/>
    <x v="2"/>
    <n v="41"/>
    <x v="0"/>
    <n v="1"/>
    <n v="266"/>
    <x v="423"/>
    <x v="0"/>
    <n v="3"/>
  </r>
  <r>
    <s v="ORD2128"/>
    <s v="31-03-2021"/>
    <s v="CUST863"/>
    <x v="1"/>
    <x v="8"/>
    <x v="2"/>
    <s v="Arjun"/>
    <n v="639"/>
    <n v="20"/>
    <n v="0"/>
    <x v="0"/>
    <n v="21"/>
    <x v="0"/>
    <n v="1"/>
    <n v="639"/>
    <x v="356"/>
    <x v="0"/>
    <n v="3"/>
  </r>
  <r>
    <s v="ORD2129"/>
    <s v="07-01-2021"/>
    <s v="CUST902"/>
    <x v="0"/>
    <x v="10"/>
    <x v="0"/>
    <s v="Rahul"/>
    <n v="239"/>
    <n v="50"/>
    <n v="100"/>
    <x v="2"/>
    <n v="57"/>
    <x v="0"/>
    <n v="1"/>
    <n v="139"/>
    <x v="173"/>
    <x v="1"/>
    <n v="1"/>
  </r>
  <r>
    <s v="ORD2130"/>
    <s v="04-02-2021"/>
    <s v="CUST1125"/>
    <x v="1"/>
    <x v="2"/>
    <x v="1"/>
    <s v="Vikas"/>
    <n v="327"/>
    <n v="50"/>
    <n v="20"/>
    <x v="2"/>
    <n v="38"/>
    <x v="0"/>
    <n v="1"/>
    <n v="307"/>
    <x v="149"/>
    <x v="2"/>
    <n v="2"/>
  </r>
  <r>
    <s v="ORD2131"/>
    <s v="08-01-2021"/>
    <s v="CUST522"/>
    <x v="4"/>
    <x v="14"/>
    <x v="0"/>
    <s v="Karan"/>
    <n v="672"/>
    <n v="50"/>
    <n v="100"/>
    <x v="0"/>
    <n v="37"/>
    <x v="0"/>
    <n v="1"/>
    <n v="572"/>
    <x v="239"/>
    <x v="1"/>
    <n v="1"/>
  </r>
  <r>
    <s v="ORD2132"/>
    <s v="13-01-2021"/>
    <s v="CUST833"/>
    <x v="0"/>
    <x v="12"/>
    <x v="3"/>
    <s v="Rahul"/>
    <n v="788"/>
    <n v="50"/>
    <n v="30"/>
    <x v="1"/>
    <n v="41"/>
    <x v="0"/>
    <n v="1"/>
    <n v="758"/>
    <x v="71"/>
    <x v="1"/>
    <n v="1"/>
  </r>
  <r>
    <s v="ORD2133"/>
    <s v="20-01-2021"/>
    <s v="CUST963"/>
    <x v="2"/>
    <x v="6"/>
    <x v="2"/>
    <s v="Vikas"/>
    <n v="606"/>
    <n v="50"/>
    <n v="30"/>
    <x v="1"/>
    <n v="20"/>
    <x v="0"/>
    <n v="1"/>
    <n v="576"/>
    <x v="359"/>
    <x v="1"/>
    <n v="1"/>
  </r>
  <r>
    <s v="ORD2134"/>
    <s v="09-03-2021"/>
    <s v="CUST938"/>
    <x v="3"/>
    <x v="13"/>
    <x v="1"/>
    <s v="Rahul"/>
    <n v="286"/>
    <n v="20"/>
    <n v="50"/>
    <x v="0"/>
    <n v="39"/>
    <x v="0"/>
    <n v="1"/>
    <n v="236"/>
    <x v="548"/>
    <x v="0"/>
    <n v="3"/>
  </r>
  <r>
    <s v="ORD2135"/>
    <s v="08-02-2021"/>
    <s v="CUST529"/>
    <x v="2"/>
    <x v="11"/>
    <x v="0"/>
    <s v="Rohit"/>
    <n v="461"/>
    <n v="30"/>
    <n v="0"/>
    <x v="1"/>
    <n v="32"/>
    <x v="0"/>
    <n v="1"/>
    <n v="461"/>
    <x v="466"/>
    <x v="2"/>
    <n v="2"/>
  </r>
  <r>
    <s v="ORD2136"/>
    <s v="24-03-2021"/>
    <s v="CUST908"/>
    <x v="4"/>
    <x v="9"/>
    <x v="4"/>
    <s v="Imran"/>
    <n v="554"/>
    <n v="50"/>
    <n v="20"/>
    <x v="2"/>
    <n v="23"/>
    <x v="1"/>
    <n v="1"/>
    <n v="534"/>
    <x v="299"/>
    <x v="0"/>
    <n v="3"/>
  </r>
  <r>
    <s v="ORD2137"/>
    <s v="11-03-2021"/>
    <s v="CUST1089"/>
    <x v="0"/>
    <x v="0"/>
    <x v="0"/>
    <s v="Rahul"/>
    <n v="624"/>
    <n v="20"/>
    <n v="50"/>
    <x v="2"/>
    <n v="29"/>
    <x v="0"/>
    <n v="1"/>
    <n v="574"/>
    <x v="174"/>
    <x v="0"/>
    <n v="3"/>
  </r>
  <r>
    <s v="ORD2138"/>
    <s v="06-02-2021"/>
    <s v="CUST893"/>
    <x v="0"/>
    <x v="12"/>
    <x v="3"/>
    <s v="Deepak"/>
    <n v="494"/>
    <n v="20"/>
    <n v="0"/>
    <x v="0"/>
    <n v="42"/>
    <x v="1"/>
    <n v="1"/>
    <n v="494"/>
    <x v="436"/>
    <x v="2"/>
    <n v="2"/>
  </r>
  <r>
    <s v="ORD2139"/>
    <s v="23-01-2021"/>
    <s v="CUST698"/>
    <x v="1"/>
    <x v="8"/>
    <x v="2"/>
    <s v="Karan"/>
    <n v="340"/>
    <n v="50"/>
    <n v="20"/>
    <x v="0"/>
    <n v="38"/>
    <x v="1"/>
    <n v="1"/>
    <n v="320"/>
    <x v="539"/>
    <x v="1"/>
    <n v="1"/>
  </r>
  <r>
    <s v="ORD2140"/>
    <s v="09-03-2021"/>
    <s v="CUST877"/>
    <x v="2"/>
    <x v="3"/>
    <x v="1"/>
    <s v="Arjun"/>
    <n v="190"/>
    <n v="50"/>
    <n v="0"/>
    <x v="2"/>
    <n v="27"/>
    <x v="0"/>
    <n v="1"/>
    <n v="190"/>
    <x v="378"/>
    <x v="0"/>
    <n v="3"/>
  </r>
  <r>
    <s v="ORD2141"/>
    <s v="25-03-2021"/>
    <s v="CUST1049"/>
    <x v="2"/>
    <x v="6"/>
    <x v="2"/>
    <s v="Rohit"/>
    <n v="567"/>
    <n v="50"/>
    <n v="50"/>
    <x v="1"/>
    <n v="24"/>
    <x v="0"/>
    <n v="1"/>
    <n v="517"/>
    <x v="419"/>
    <x v="0"/>
    <n v="3"/>
  </r>
  <r>
    <s v="ORD2142"/>
    <s v="26-01-2021"/>
    <s v="CUST949"/>
    <x v="4"/>
    <x v="9"/>
    <x v="4"/>
    <s v="Karan"/>
    <n v="430"/>
    <n v="40"/>
    <n v="100"/>
    <x v="2"/>
    <n v="27"/>
    <x v="0"/>
    <n v="1"/>
    <n v="330"/>
    <x v="539"/>
    <x v="1"/>
    <n v="1"/>
  </r>
  <r>
    <s v="ORD2143"/>
    <s v="08-01-2021"/>
    <s v="CUST788"/>
    <x v="4"/>
    <x v="14"/>
    <x v="0"/>
    <s v="Deepak"/>
    <n v="591"/>
    <n v="40"/>
    <n v="30"/>
    <x v="2"/>
    <n v="53"/>
    <x v="0"/>
    <n v="1"/>
    <n v="561"/>
    <x v="88"/>
    <x v="1"/>
    <n v="1"/>
  </r>
  <r>
    <s v="ORD2144"/>
    <s v="05-02-2021"/>
    <s v="CUST914"/>
    <x v="3"/>
    <x v="7"/>
    <x v="0"/>
    <s v="Rahul"/>
    <n v="627"/>
    <n v="30"/>
    <n v="20"/>
    <x v="0"/>
    <n v="30"/>
    <x v="0"/>
    <n v="1"/>
    <n v="607"/>
    <x v="15"/>
    <x v="2"/>
    <n v="2"/>
  </r>
  <r>
    <s v="ORD2145"/>
    <s v="12-03-2021"/>
    <s v="CUST540"/>
    <x v="2"/>
    <x v="11"/>
    <x v="0"/>
    <s v="Arjun"/>
    <n v="462"/>
    <n v="50"/>
    <n v="0"/>
    <x v="0"/>
    <n v="55"/>
    <x v="0"/>
    <n v="1"/>
    <n v="462"/>
    <x v="2"/>
    <x v="0"/>
    <n v="3"/>
  </r>
  <r>
    <s v="ORD2146"/>
    <s v="26-03-2021"/>
    <s v="CUST680"/>
    <x v="1"/>
    <x v="2"/>
    <x v="1"/>
    <s v="Rohit"/>
    <n v="354"/>
    <n v="50"/>
    <n v="30"/>
    <x v="1"/>
    <n v="36"/>
    <x v="0"/>
    <n v="1"/>
    <n v="324"/>
    <x v="383"/>
    <x v="0"/>
    <n v="3"/>
  </r>
  <r>
    <s v="ORD2147"/>
    <s v="17-03-2021"/>
    <s v="CUST602"/>
    <x v="2"/>
    <x v="6"/>
    <x v="2"/>
    <s v="Amit"/>
    <n v="191"/>
    <n v="50"/>
    <n v="0"/>
    <x v="1"/>
    <n v="52"/>
    <x v="0"/>
    <n v="1"/>
    <n v="191"/>
    <x v="220"/>
    <x v="0"/>
    <n v="3"/>
  </r>
  <r>
    <s v="ORD2148"/>
    <s v="02-02-2021"/>
    <s v="CUST552"/>
    <x v="3"/>
    <x v="13"/>
    <x v="1"/>
    <s v="Imran"/>
    <n v="217"/>
    <n v="20"/>
    <n v="0"/>
    <x v="0"/>
    <n v="21"/>
    <x v="0"/>
    <n v="1"/>
    <n v="217"/>
    <x v="222"/>
    <x v="2"/>
    <n v="2"/>
  </r>
  <r>
    <s v="ORD2149"/>
    <s v="23-03-2021"/>
    <s v="CUST929"/>
    <x v="0"/>
    <x v="10"/>
    <x v="0"/>
    <s v="Manoj"/>
    <n v="496"/>
    <n v="50"/>
    <n v="30"/>
    <x v="1"/>
    <n v="39"/>
    <x v="0"/>
    <n v="1"/>
    <n v="466"/>
    <x v="549"/>
    <x v="0"/>
    <n v="3"/>
  </r>
  <r>
    <s v="ORD2150"/>
    <s v="24-02-2021"/>
    <s v="CUST781"/>
    <x v="0"/>
    <x v="12"/>
    <x v="3"/>
    <s v="Arjun"/>
    <n v="180"/>
    <n v="50"/>
    <n v="0"/>
    <x v="1"/>
    <n v="51"/>
    <x v="0"/>
    <n v="1"/>
    <n v="180"/>
    <x v="253"/>
    <x v="2"/>
    <n v="2"/>
  </r>
  <r>
    <s v="ORD2151"/>
    <s v="06-02-2021"/>
    <s v="CUST569"/>
    <x v="3"/>
    <x v="4"/>
    <x v="2"/>
    <s v="Suresh"/>
    <n v="746"/>
    <n v="50"/>
    <n v="100"/>
    <x v="1"/>
    <n v="26"/>
    <x v="0"/>
    <n v="1"/>
    <n v="646"/>
    <x v="550"/>
    <x v="2"/>
    <n v="2"/>
  </r>
  <r>
    <s v="ORD2152"/>
    <s v="14-03-2021"/>
    <s v="CUST1090"/>
    <x v="2"/>
    <x v="6"/>
    <x v="2"/>
    <s v="Imran"/>
    <n v="195"/>
    <n v="20"/>
    <n v="0"/>
    <x v="0"/>
    <n v="25"/>
    <x v="0"/>
    <n v="1"/>
    <n v="195"/>
    <x v="66"/>
    <x v="0"/>
    <n v="3"/>
  </r>
  <r>
    <s v="ORD2153"/>
    <s v="04-02-2021"/>
    <s v="CUST671"/>
    <x v="2"/>
    <x v="6"/>
    <x v="2"/>
    <s v="Rohit"/>
    <n v="180"/>
    <n v="30"/>
    <n v="50"/>
    <x v="0"/>
    <n v="44"/>
    <x v="0"/>
    <n v="1"/>
    <n v="130"/>
    <x v="339"/>
    <x v="2"/>
    <n v="2"/>
  </r>
  <r>
    <s v="ORD2154"/>
    <s v="28-03-2021"/>
    <s v="CUST1045"/>
    <x v="1"/>
    <x v="8"/>
    <x v="2"/>
    <s v="Rohit"/>
    <n v="219"/>
    <n v="20"/>
    <n v="50"/>
    <x v="1"/>
    <n v="27"/>
    <x v="0"/>
    <n v="1"/>
    <n v="169"/>
    <x v="173"/>
    <x v="0"/>
    <n v="3"/>
  </r>
  <r>
    <s v="ORD2155"/>
    <s v="02-03-2021"/>
    <s v="CUST503"/>
    <x v="2"/>
    <x v="6"/>
    <x v="2"/>
    <s v="Deepak"/>
    <n v="348"/>
    <n v="40"/>
    <n v="30"/>
    <x v="2"/>
    <n v="27"/>
    <x v="0"/>
    <n v="1"/>
    <n v="318"/>
    <x v="551"/>
    <x v="0"/>
    <n v="3"/>
  </r>
  <r>
    <s v="ORD2156"/>
    <s v="21-02-2021"/>
    <s v="CUST1086"/>
    <x v="3"/>
    <x v="7"/>
    <x v="0"/>
    <s v="Rahul"/>
    <n v="279"/>
    <n v="20"/>
    <n v="50"/>
    <x v="1"/>
    <n v="34"/>
    <x v="0"/>
    <n v="1"/>
    <n v="229"/>
    <x v="147"/>
    <x v="2"/>
    <n v="2"/>
  </r>
  <r>
    <s v="ORD2157"/>
    <s v="12-01-2021"/>
    <s v="CUST558"/>
    <x v="4"/>
    <x v="14"/>
    <x v="0"/>
    <s v="Suresh"/>
    <n v="232"/>
    <n v="50"/>
    <n v="30"/>
    <x v="2"/>
    <n v="51"/>
    <x v="0"/>
    <n v="1"/>
    <n v="202"/>
    <x v="440"/>
    <x v="1"/>
    <n v="1"/>
  </r>
  <r>
    <s v="ORD2158"/>
    <s v="27-02-2021"/>
    <s v="CUST1008"/>
    <x v="3"/>
    <x v="4"/>
    <x v="2"/>
    <s v="Vikas"/>
    <n v="460"/>
    <n v="30"/>
    <n v="20"/>
    <x v="0"/>
    <n v="25"/>
    <x v="0"/>
    <n v="1"/>
    <n v="440"/>
    <x v="62"/>
    <x v="2"/>
    <n v="2"/>
  </r>
  <r>
    <s v="ORD2159"/>
    <s v="27-03-2021"/>
    <s v="CUST784"/>
    <x v="0"/>
    <x v="10"/>
    <x v="0"/>
    <s v="Vikas"/>
    <n v="237"/>
    <n v="20"/>
    <n v="50"/>
    <x v="0"/>
    <n v="40"/>
    <x v="0"/>
    <n v="1"/>
    <n v="187"/>
    <x v="113"/>
    <x v="0"/>
    <n v="3"/>
  </r>
  <r>
    <s v="ORD2160"/>
    <s v="01-03-2021"/>
    <s v="CUST776"/>
    <x v="0"/>
    <x v="0"/>
    <x v="0"/>
    <s v="Deepak"/>
    <n v="468"/>
    <n v="30"/>
    <n v="100"/>
    <x v="1"/>
    <n v="33"/>
    <x v="0"/>
    <n v="1"/>
    <n v="368"/>
    <x v="232"/>
    <x v="0"/>
    <n v="3"/>
  </r>
  <r>
    <s v="ORD2161"/>
    <s v="26-01-2021"/>
    <s v="CUST845"/>
    <x v="0"/>
    <x v="10"/>
    <x v="0"/>
    <s v="Amit"/>
    <n v="523"/>
    <n v="20"/>
    <n v="100"/>
    <x v="2"/>
    <n v="58"/>
    <x v="0"/>
    <n v="1"/>
    <n v="423"/>
    <x v="473"/>
    <x v="1"/>
    <n v="1"/>
  </r>
  <r>
    <s v="ORD2162"/>
    <s v="15-02-2021"/>
    <s v="CUST1004"/>
    <x v="2"/>
    <x v="6"/>
    <x v="2"/>
    <s v="Manoj"/>
    <n v="293"/>
    <n v="50"/>
    <n v="30"/>
    <x v="2"/>
    <n v="34"/>
    <x v="0"/>
    <n v="1"/>
    <n v="263"/>
    <x v="552"/>
    <x v="2"/>
    <n v="2"/>
  </r>
  <r>
    <s v="ORD2163"/>
    <s v="02-03-2021"/>
    <s v="CUST896"/>
    <x v="3"/>
    <x v="7"/>
    <x v="0"/>
    <s v="Vikas"/>
    <n v="253"/>
    <n v="20"/>
    <n v="30"/>
    <x v="1"/>
    <n v="22"/>
    <x v="0"/>
    <n v="1"/>
    <n v="223"/>
    <x v="19"/>
    <x v="0"/>
    <n v="3"/>
  </r>
  <r>
    <s v="ORD2164"/>
    <s v="08-03-2021"/>
    <s v="CUST1090"/>
    <x v="4"/>
    <x v="5"/>
    <x v="3"/>
    <s v="Karan"/>
    <n v="687"/>
    <n v="40"/>
    <n v="30"/>
    <x v="0"/>
    <n v="46"/>
    <x v="0"/>
    <n v="1"/>
    <n v="657"/>
    <x v="78"/>
    <x v="0"/>
    <n v="3"/>
  </r>
  <r>
    <s v="ORD2165"/>
    <s v="18-02-2021"/>
    <s v="CUST1006"/>
    <x v="1"/>
    <x v="8"/>
    <x v="2"/>
    <s v="Arjun"/>
    <n v="160"/>
    <n v="20"/>
    <n v="0"/>
    <x v="1"/>
    <n v="57"/>
    <x v="0"/>
    <n v="1"/>
    <n v="160"/>
    <x v="553"/>
    <x v="2"/>
    <n v="2"/>
  </r>
  <r>
    <s v="ORD2166"/>
    <s v="11-03-2021"/>
    <s v="CUST1126"/>
    <x v="3"/>
    <x v="4"/>
    <x v="2"/>
    <s v="Imran"/>
    <n v="579"/>
    <n v="50"/>
    <n v="0"/>
    <x v="2"/>
    <n v="29"/>
    <x v="1"/>
    <n v="1"/>
    <n v="579"/>
    <x v="343"/>
    <x v="0"/>
    <n v="3"/>
  </r>
  <r>
    <s v="ORD2167"/>
    <s v="05-03-2021"/>
    <s v="CUST599"/>
    <x v="0"/>
    <x v="0"/>
    <x v="0"/>
    <s v="Manoj"/>
    <n v="651"/>
    <n v="40"/>
    <n v="100"/>
    <x v="0"/>
    <n v="31"/>
    <x v="0"/>
    <n v="1"/>
    <n v="551"/>
    <x v="151"/>
    <x v="0"/>
    <n v="3"/>
  </r>
  <r>
    <s v="ORD2168"/>
    <s v="07-01-2021"/>
    <s v="CUST825"/>
    <x v="1"/>
    <x v="8"/>
    <x v="2"/>
    <s v="Deepak"/>
    <n v="350"/>
    <n v="30"/>
    <n v="0"/>
    <x v="2"/>
    <n v="28"/>
    <x v="0"/>
    <n v="1"/>
    <n v="350"/>
    <x v="411"/>
    <x v="1"/>
    <n v="1"/>
  </r>
  <r>
    <s v="ORD2169"/>
    <s v="03-03-2021"/>
    <s v="CUST1077"/>
    <x v="0"/>
    <x v="0"/>
    <x v="0"/>
    <s v="Arjun"/>
    <n v="471"/>
    <n v="20"/>
    <n v="30"/>
    <x v="1"/>
    <n v="45"/>
    <x v="0"/>
    <n v="1"/>
    <n v="441"/>
    <x v="159"/>
    <x v="0"/>
    <n v="3"/>
  </r>
  <r>
    <s v="ORD2170"/>
    <s v="30-03-2021"/>
    <s v="CUST1119"/>
    <x v="1"/>
    <x v="8"/>
    <x v="2"/>
    <s v="Imran"/>
    <n v="419"/>
    <n v="50"/>
    <n v="20"/>
    <x v="2"/>
    <n v="49"/>
    <x v="0"/>
    <n v="1"/>
    <n v="399"/>
    <x v="6"/>
    <x v="0"/>
    <n v="3"/>
  </r>
  <r>
    <s v="ORD2171"/>
    <s v="28-01-2021"/>
    <s v="CUST1059"/>
    <x v="0"/>
    <x v="12"/>
    <x v="3"/>
    <s v="Arjun"/>
    <n v="283"/>
    <n v="30"/>
    <n v="30"/>
    <x v="2"/>
    <n v="49"/>
    <x v="0"/>
    <n v="1"/>
    <n v="253"/>
    <x v="182"/>
    <x v="1"/>
    <n v="1"/>
  </r>
  <r>
    <s v="ORD2172"/>
    <s v="20-01-2021"/>
    <s v="CUST1024"/>
    <x v="1"/>
    <x v="1"/>
    <x v="1"/>
    <s v="Vikas"/>
    <n v="308"/>
    <n v="30"/>
    <n v="0"/>
    <x v="2"/>
    <n v="29"/>
    <x v="0"/>
    <n v="1"/>
    <n v="308"/>
    <x v="361"/>
    <x v="1"/>
    <n v="1"/>
  </r>
  <r>
    <s v="ORD2173"/>
    <s v="24-02-2021"/>
    <s v="CUST637"/>
    <x v="3"/>
    <x v="7"/>
    <x v="0"/>
    <s v="Manoj"/>
    <n v="690"/>
    <n v="20"/>
    <n v="50"/>
    <x v="2"/>
    <n v="34"/>
    <x v="0"/>
    <n v="1"/>
    <n v="640"/>
    <x v="252"/>
    <x v="2"/>
    <n v="2"/>
  </r>
  <r>
    <s v="ORD2174"/>
    <s v="21-03-2021"/>
    <s v="CUST863"/>
    <x v="1"/>
    <x v="8"/>
    <x v="2"/>
    <s v="Karan"/>
    <n v="594"/>
    <n v="20"/>
    <n v="0"/>
    <x v="2"/>
    <n v="33"/>
    <x v="0"/>
    <n v="1"/>
    <n v="594"/>
    <x v="23"/>
    <x v="0"/>
    <n v="3"/>
  </r>
  <r>
    <s v="ORD2175"/>
    <s v="03-01-2021"/>
    <s v="CUST1032"/>
    <x v="1"/>
    <x v="2"/>
    <x v="1"/>
    <s v="Rohit"/>
    <n v="782"/>
    <n v="50"/>
    <n v="0"/>
    <x v="2"/>
    <n v="56"/>
    <x v="0"/>
    <n v="1"/>
    <n v="782"/>
    <x v="554"/>
    <x v="1"/>
    <n v="1"/>
  </r>
  <r>
    <s v="ORD2176"/>
    <s v="22-03-2021"/>
    <s v="CUST930"/>
    <x v="1"/>
    <x v="2"/>
    <x v="1"/>
    <s v="Rohit"/>
    <n v="393"/>
    <n v="40"/>
    <n v="20"/>
    <x v="0"/>
    <n v="57"/>
    <x v="0"/>
    <n v="1"/>
    <n v="373"/>
    <x v="286"/>
    <x v="0"/>
    <n v="3"/>
  </r>
  <r>
    <s v="ORD2177"/>
    <s v="13-01-2021"/>
    <s v="CUST888"/>
    <x v="4"/>
    <x v="9"/>
    <x v="4"/>
    <s v="Deepak"/>
    <n v="263"/>
    <n v="40"/>
    <n v="30"/>
    <x v="0"/>
    <n v="45"/>
    <x v="0"/>
    <n v="1"/>
    <n v="233"/>
    <x v="555"/>
    <x v="1"/>
    <n v="1"/>
  </r>
  <r>
    <s v="ORD2178"/>
    <s v="17-02-2021"/>
    <s v="CUST729"/>
    <x v="3"/>
    <x v="4"/>
    <x v="2"/>
    <s v="Amit"/>
    <n v="766"/>
    <n v="40"/>
    <n v="0"/>
    <x v="1"/>
    <n v="52"/>
    <x v="1"/>
    <n v="1"/>
    <n v="766"/>
    <x v="556"/>
    <x v="2"/>
    <n v="2"/>
  </r>
  <r>
    <s v="ORD2179"/>
    <s v="25-02-2021"/>
    <s v="CUST921"/>
    <x v="2"/>
    <x v="3"/>
    <x v="1"/>
    <s v="Rahul"/>
    <n v="519"/>
    <n v="30"/>
    <n v="20"/>
    <x v="2"/>
    <n v="31"/>
    <x v="0"/>
    <n v="1"/>
    <n v="499"/>
    <x v="526"/>
    <x v="2"/>
    <n v="2"/>
  </r>
  <r>
    <s v="ORD2180"/>
    <s v="01-01-2021"/>
    <s v="CUST785"/>
    <x v="1"/>
    <x v="8"/>
    <x v="2"/>
    <s v="Amit"/>
    <n v="279"/>
    <n v="30"/>
    <n v="0"/>
    <x v="0"/>
    <n v="41"/>
    <x v="0"/>
    <n v="1"/>
    <n v="279"/>
    <x v="382"/>
    <x v="1"/>
    <n v="1"/>
  </r>
  <r>
    <s v="ORD2181"/>
    <s v="21-03-2021"/>
    <s v="CUST1092"/>
    <x v="0"/>
    <x v="10"/>
    <x v="0"/>
    <s v="Manoj"/>
    <n v="777"/>
    <n v="40"/>
    <n v="100"/>
    <x v="2"/>
    <n v="25"/>
    <x v="0"/>
    <n v="1"/>
    <n v="677"/>
    <x v="186"/>
    <x v="0"/>
    <n v="3"/>
  </r>
  <r>
    <s v="ORD2182"/>
    <s v="22-01-2021"/>
    <s v="CUST1124"/>
    <x v="3"/>
    <x v="13"/>
    <x v="1"/>
    <s v="Imran"/>
    <n v="656"/>
    <n v="30"/>
    <n v="20"/>
    <x v="2"/>
    <n v="24"/>
    <x v="0"/>
    <n v="1"/>
    <n v="636"/>
    <x v="119"/>
    <x v="1"/>
    <n v="1"/>
  </r>
  <r>
    <s v="ORD2183"/>
    <s v="21-03-2021"/>
    <s v="CUST1120"/>
    <x v="1"/>
    <x v="2"/>
    <x v="1"/>
    <s v="Arjun"/>
    <n v="523"/>
    <n v="20"/>
    <n v="20"/>
    <x v="1"/>
    <n v="57"/>
    <x v="0"/>
    <n v="1"/>
    <n v="503"/>
    <x v="208"/>
    <x v="0"/>
    <n v="3"/>
  </r>
  <r>
    <s v="ORD2184"/>
    <s v="30-03-2021"/>
    <s v="CUST1005"/>
    <x v="2"/>
    <x v="11"/>
    <x v="0"/>
    <s v="Manoj"/>
    <n v="519"/>
    <n v="20"/>
    <n v="0"/>
    <x v="2"/>
    <n v="48"/>
    <x v="0"/>
    <n v="1"/>
    <n v="519"/>
    <x v="84"/>
    <x v="0"/>
    <n v="3"/>
  </r>
  <r>
    <s v="ORD2185"/>
    <s v="21-02-2021"/>
    <s v="CUST728"/>
    <x v="1"/>
    <x v="8"/>
    <x v="2"/>
    <s v="Manoj"/>
    <n v="697"/>
    <n v="40"/>
    <n v="20"/>
    <x v="0"/>
    <n v="34"/>
    <x v="0"/>
    <n v="1"/>
    <n v="677"/>
    <x v="186"/>
    <x v="2"/>
    <n v="2"/>
  </r>
  <r>
    <s v="ORD2186"/>
    <s v="24-02-2021"/>
    <s v="CUST673"/>
    <x v="2"/>
    <x v="11"/>
    <x v="0"/>
    <s v="Rohit"/>
    <n v="252"/>
    <n v="40"/>
    <n v="50"/>
    <x v="2"/>
    <n v="41"/>
    <x v="0"/>
    <n v="1"/>
    <n v="202"/>
    <x v="105"/>
    <x v="2"/>
    <n v="2"/>
  </r>
  <r>
    <s v="ORD2187"/>
    <s v="14-03-2021"/>
    <s v="CUST640"/>
    <x v="1"/>
    <x v="1"/>
    <x v="1"/>
    <s v="Karan"/>
    <n v="498"/>
    <n v="50"/>
    <n v="100"/>
    <x v="2"/>
    <n v="49"/>
    <x v="0"/>
    <n v="1"/>
    <n v="398"/>
    <x v="429"/>
    <x v="0"/>
    <n v="3"/>
  </r>
  <r>
    <s v="ORD2188"/>
    <s v="12-01-2021"/>
    <s v="CUST1002"/>
    <x v="3"/>
    <x v="7"/>
    <x v="0"/>
    <s v="Karan"/>
    <n v="369"/>
    <n v="30"/>
    <n v="20"/>
    <x v="0"/>
    <n v="50"/>
    <x v="0"/>
    <n v="1"/>
    <n v="349"/>
    <x v="281"/>
    <x v="1"/>
    <n v="1"/>
  </r>
  <r>
    <s v="ORD2189"/>
    <s v="12-01-2021"/>
    <s v="CUST545"/>
    <x v="3"/>
    <x v="13"/>
    <x v="1"/>
    <s v="Manoj"/>
    <n v="166"/>
    <n v="40"/>
    <n v="50"/>
    <x v="1"/>
    <n v="20"/>
    <x v="0"/>
    <n v="1"/>
    <n v="116"/>
    <x v="557"/>
    <x v="1"/>
    <n v="1"/>
  </r>
  <r>
    <s v="ORD2190"/>
    <s v="25-01-2021"/>
    <s v="CUST1102"/>
    <x v="0"/>
    <x v="12"/>
    <x v="3"/>
    <s v="Arjun"/>
    <n v="784"/>
    <n v="40"/>
    <n v="20"/>
    <x v="0"/>
    <n v="27"/>
    <x v="0"/>
    <n v="1"/>
    <n v="764"/>
    <x v="437"/>
    <x v="1"/>
    <n v="1"/>
  </r>
  <r>
    <s v="ORD2191"/>
    <s v="03-03-2021"/>
    <s v="CUST856"/>
    <x v="4"/>
    <x v="9"/>
    <x v="4"/>
    <s v="Arjun"/>
    <n v="450"/>
    <n v="20"/>
    <n v="100"/>
    <x v="1"/>
    <n v="31"/>
    <x v="0"/>
    <n v="1"/>
    <n v="350"/>
    <x v="539"/>
    <x v="0"/>
    <n v="3"/>
  </r>
  <r>
    <s v="ORD2192"/>
    <s v="15-01-2021"/>
    <s v="CUST750"/>
    <x v="0"/>
    <x v="12"/>
    <x v="3"/>
    <s v="Karan"/>
    <n v="572"/>
    <n v="40"/>
    <n v="0"/>
    <x v="1"/>
    <n v="55"/>
    <x v="0"/>
    <n v="1"/>
    <n v="572"/>
    <x v="464"/>
    <x v="1"/>
    <n v="1"/>
  </r>
  <r>
    <s v="ORD2193"/>
    <s v="04-03-2021"/>
    <s v="CUST687"/>
    <x v="2"/>
    <x v="11"/>
    <x v="0"/>
    <s v="Rohit"/>
    <n v="368"/>
    <n v="50"/>
    <n v="30"/>
    <x v="1"/>
    <n v="29"/>
    <x v="0"/>
    <n v="1"/>
    <n v="338"/>
    <x v="180"/>
    <x v="0"/>
    <n v="3"/>
  </r>
  <r>
    <s v="ORD2194"/>
    <s v="29-03-2021"/>
    <s v="CUST1041"/>
    <x v="1"/>
    <x v="8"/>
    <x v="2"/>
    <s v="Rahul"/>
    <n v="440"/>
    <n v="20"/>
    <n v="20"/>
    <x v="2"/>
    <n v="36"/>
    <x v="0"/>
    <n v="1"/>
    <n v="420"/>
    <x v="190"/>
    <x v="0"/>
    <n v="3"/>
  </r>
  <r>
    <s v="ORD2195"/>
    <s v="27-02-2021"/>
    <s v="CUST1190"/>
    <x v="4"/>
    <x v="9"/>
    <x v="4"/>
    <s v="Imran"/>
    <n v="777"/>
    <n v="20"/>
    <n v="0"/>
    <x v="2"/>
    <n v="30"/>
    <x v="0"/>
    <n v="1"/>
    <n v="777"/>
    <x v="558"/>
    <x v="2"/>
    <n v="2"/>
  </r>
  <r>
    <s v="ORD2196"/>
    <s v="12-02-2021"/>
    <s v="CUST703"/>
    <x v="4"/>
    <x v="5"/>
    <x v="3"/>
    <s v="Suresh"/>
    <n v="477"/>
    <n v="40"/>
    <n v="20"/>
    <x v="1"/>
    <n v="25"/>
    <x v="0"/>
    <n v="1"/>
    <n v="457"/>
    <x v="201"/>
    <x v="2"/>
    <n v="2"/>
  </r>
  <r>
    <s v="ORD2197"/>
    <s v="22-02-2021"/>
    <s v="CUST664"/>
    <x v="2"/>
    <x v="3"/>
    <x v="1"/>
    <s v="Rahul"/>
    <n v="663"/>
    <n v="40"/>
    <n v="20"/>
    <x v="0"/>
    <n v="38"/>
    <x v="0"/>
    <n v="1"/>
    <n v="643"/>
    <x v="537"/>
    <x v="2"/>
    <n v="2"/>
  </r>
  <r>
    <s v="ORD2198"/>
    <s v="13-02-2021"/>
    <s v="CUST1089"/>
    <x v="1"/>
    <x v="1"/>
    <x v="1"/>
    <s v="Deepak"/>
    <n v="736"/>
    <n v="40"/>
    <n v="0"/>
    <x v="0"/>
    <n v="60"/>
    <x v="0"/>
    <n v="1"/>
    <n v="736"/>
    <x v="559"/>
    <x v="2"/>
    <n v="2"/>
  </r>
  <r>
    <s v="ORD2199"/>
    <s v="05-01-2021"/>
    <s v="CUST542"/>
    <x v="3"/>
    <x v="13"/>
    <x v="1"/>
    <s v="Karan"/>
    <n v="744"/>
    <n v="40"/>
    <n v="50"/>
    <x v="0"/>
    <n v="45"/>
    <x v="0"/>
    <n v="1"/>
    <n v="694"/>
    <x v="426"/>
    <x v="1"/>
    <n v="1"/>
  </r>
  <r>
    <s v="ORD2200"/>
    <s v="19-03-2021"/>
    <s v="CUST593"/>
    <x v="0"/>
    <x v="0"/>
    <x v="0"/>
    <s v="Vikas"/>
    <n v="508"/>
    <n v="20"/>
    <n v="20"/>
    <x v="1"/>
    <n v="59"/>
    <x v="0"/>
    <n v="1"/>
    <n v="488"/>
    <x v="494"/>
    <x v="0"/>
    <n v="3"/>
  </r>
  <r>
    <s v="ORD2201"/>
    <s v="01-02-2021"/>
    <s v="CUST840"/>
    <x v="0"/>
    <x v="12"/>
    <x v="3"/>
    <s v="Rohit"/>
    <n v="188"/>
    <n v="20"/>
    <n v="50"/>
    <x v="2"/>
    <n v="31"/>
    <x v="0"/>
    <n v="1"/>
    <n v="138"/>
    <x v="536"/>
    <x v="2"/>
    <n v="2"/>
  </r>
  <r>
    <s v="ORD2202"/>
    <s v="22-02-2021"/>
    <s v="CUST693"/>
    <x v="0"/>
    <x v="10"/>
    <x v="0"/>
    <s v="Manoj"/>
    <n v="314"/>
    <n v="40"/>
    <n v="20"/>
    <x v="0"/>
    <n v="46"/>
    <x v="0"/>
    <n v="1"/>
    <n v="294"/>
    <x v="560"/>
    <x v="2"/>
    <n v="2"/>
  </r>
  <r>
    <s v="ORD2203"/>
    <s v="22-02-2021"/>
    <s v="CUST897"/>
    <x v="2"/>
    <x v="6"/>
    <x v="2"/>
    <s v="Rohit"/>
    <n v="388"/>
    <n v="30"/>
    <n v="100"/>
    <x v="2"/>
    <n v="23"/>
    <x v="0"/>
    <n v="1"/>
    <n v="288"/>
    <x v="329"/>
    <x v="2"/>
    <n v="2"/>
  </r>
  <r>
    <s v="ORD2204"/>
    <s v="07-01-2021"/>
    <s v="CUST752"/>
    <x v="4"/>
    <x v="9"/>
    <x v="4"/>
    <s v="Arjun"/>
    <n v="281"/>
    <n v="20"/>
    <n v="20"/>
    <x v="1"/>
    <n v="44"/>
    <x v="0"/>
    <n v="1"/>
    <n v="261"/>
    <x v="14"/>
    <x v="1"/>
    <n v="1"/>
  </r>
  <r>
    <s v="ORD2205"/>
    <s v="14-02-2021"/>
    <s v="CUST751"/>
    <x v="0"/>
    <x v="0"/>
    <x v="0"/>
    <s v="Vikas"/>
    <n v="482"/>
    <n v="40"/>
    <n v="20"/>
    <x v="2"/>
    <n v="23"/>
    <x v="0"/>
    <n v="1"/>
    <n v="462"/>
    <x v="561"/>
    <x v="2"/>
    <n v="2"/>
  </r>
  <r>
    <s v="ORD2206"/>
    <s v="14-03-2021"/>
    <s v="CUST652"/>
    <x v="4"/>
    <x v="9"/>
    <x v="4"/>
    <s v="Suresh"/>
    <n v="629"/>
    <n v="30"/>
    <n v="20"/>
    <x v="2"/>
    <n v="56"/>
    <x v="0"/>
    <n v="1"/>
    <n v="609"/>
    <x v="263"/>
    <x v="0"/>
    <n v="3"/>
  </r>
  <r>
    <s v="ORD2207"/>
    <s v="20-03-2021"/>
    <s v="CUST839"/>
    <x v="2"/>
    <x v="11"/>
    <x v="0"/>
    <s v="Imran"/>
    <n v="197"/>
    <n v="30"/>
    <n v="20"/>
    <x v="1"/>
    <n v="48"/>
    <x v="0"/>
    <n v="1"/>
    <n v="177"/>
    <x v="113"/>
    <x v="0"/>
    <n v="3"/>
  </r>
  <r>
    <s v="ORD2208"/>
    <s v="15-03-2021"/>
    <s v="CUST876"/>
    <x v="2"/>
    <x v="6"/>
    <x v="2"/>
    <s v="Rohit"/>
    <n v="591"/>
    <n v="20"/>
    <n v="50"/>
    <x v="2"/>
    <n v="57"/>
    <x v="0"/>
    <n v="1"/>
    <n v="541"/>
    <x v="227"/>
    <x v="0"/>
    <n v="3"/>
  </r>
  <r>
    <s v="ORD2209"/>
    <s v="02-03-2021"/>
    <s v="CUST1097"/>
    <x v="4"/>
    <x v="14"/>
    <x v="0"/>
    <s v="Deepak"/>
    <n v="426"/>
    <n v="50"/>
    <n v="0"/>
    <x v="1"/>
    <n v="43"/>
    <x v="0"/>
    <n v="1"/>
    <n v="426"/>
    <x v="472"/>
    <x v="0"/>
    <n v="3"/>
  </r>
  <r>
    <s v="ORD2210"/>
    <s v="02-01-2021"/>
    <s v="CUST793"/>
    <x v="3"/>
    <x v="13"/>
    <x v="1"/>
    <s v="Imran"/>
    <n v="522"/>
    <n v="20"/>
    <n v="0"/>
    <x v="2"/>
    <n v="53"/>
    <x v="0"/>
    <n v="1"/>
    <n v="522"/>
    <x v="562"/>
    <x v="1"/>
    <n v="1"/>
  </r>
  <r>
    <s v="ORD2211"/>
    <s v="07-01-2021"/>
    <s v="CUST963"/>
    <x v="1"/>
    <x v="2"/>
    <x v="1"/>
    <s v="Suresh"/>
    <n v="732"/>
    <n v="50"/>
    <n v="100"/>
    <x v="0"/>
    <n v="47"/>
    <x v="0"/>
    <n v="1"/>
    <n v="632"/>
    <x v="269"/>
    <x v="1"/>
    <n v="1"/>
  </r>
  <r>
    <s v="ORD2212"/>
    <s v="23-03-2021"/>
    <s v="CUST893"/>
    <x v="2"/>
    <x v="3"/>
    <x v="1"/>
    <s v="Amit"/>
    <n v="290"/>
    <n v="50"/>
    <n v="0"/>
    <x v="1"/>
    <n v="58"/>
    <x v="0"/>
    <n v="1"/>
    <n v="290"/>
    <x v="420"/>
    <x v="0"/>
    <n v="3"/>
  </r>
  <r>
    <s v="ORD2213"/>
    <s v="01-01-2021"/>
    <s v="CUST815"/>
    <x v="0"/>
    <x v="0"/>
    <x v="0"/>
    <s v="Vikas"/>
    <n v="570"/>
    <n v="50"/>
    <n v="100"/>
    <x v="0"/>
    <n v="21"/>
    <x v="0"/>
    <n v="1"/>
    <n v="470"/>
    <x v="202"/>
    <x v="1"/>
    <n v="1"/>
  </r>
  <r>
    <s v="ORD2214"/>
    <s v="24-03-2021"/>
    <s v="CUST1174"/>
    <x v="4"/>
    <x v="14"/>
    <x v="0"/>
    <s v="Deepak"/>
    <n v="200"/>
    <n v="40"/>
    <n v="30"/>
    <x v="2"/>
    <n v="32"/>
    <x v="0"/>
    <n v="1"/>
    <n v="170"/>
    <x v="513"/>
    <x v="0"/>
    <n v="3"/>
  </r>
  <r>
    <s v="ORD2215"/>
    <s v="08-02-2021"/>
    <s v="CUST503"/>
    <x v="4"/>
    <x v="14"/>
    <x v="0"/>
    <s v="Suresh"/>
    <n v="437"/>
    <n v="30"/>
    <n v="30"/>
    <x v="2"/>
    <n v="42"/>
    <x v="0"/>
    <n v="1"/>
    <n v="407"/>
    <x v="101"/>
    <x v="2"/>
    <n v="2"/>
  </r>
  <r>
    <s v="ORD2216"/>
    <s v="29-03-2021"/>
    <s v="CUST1046"/>
    <x v="2"/>
    <x v="11"/>
    <x v="0"/>
    <s v="Imran"/>
    <n v="174"/>
    <n v="30"/>
    <n v="100"/>
    <x v="1"/>
    <n v="24"/>
    <x v="0"/>
    <n v="1"/>
    <n v="74"/>
    <x v="563"/>
    <x v="0"/>
    <n v="3"/>
  </r>
  <r>
    <s v="ORD2217"/>
    <s v="09-01-2021"/>
    <s v="CUST958"/>
    <x v="0"/>
    <x v="12"/>
    <x v="3"/>
    <s v="Rahul"/>
    <n v="472"/>
    <n v="40"/>
    <n v="0"/>
    <x v="1"/>
    <n v="34"/>
    <x v="0"/>
    <n v="1"/>
    <n v="472"/>
    <x v="2"/>
    <x v="1"/>
    <n v="1"/>
  </r>
  <r>
    <s v="ORD2218"/>
    <s v="19-02-2021"/>
    <s v="CUST584"/>
    <x v="3"/>
    <x v="4"/>
    <x v="2"/>
    <s v="Suresh"/>
    <n v="340"/>
    <n v="40"/>
    <n v="30"/>
    <x v="2"/>
    <n v="31"/>
    <x v="0"/>
    <n v="1"/>
    <n v="310"/>
    <x v="564"/>
    <x v="2"/>
    <n v="2"/>
  </r>
  <r>
    <s v="ORD2219"/>
    <s v="19-01-2021"/>
    <s v="CUST919"/>
    <x v="0"/>
    <x v="12"/>
    <x v="3"/>
    <s v="Deepak"/>
    <n v="205"/>
    <n v="40"/>
    <n v="0"/>
    <x v="0"/>
    <n v="51"/>
    <x v="0"/>
    <n v="1"/>
    <n v="205"/>
    <x v="360"/>
    <x v="1"/>
    <n v="1"/>
  </r>
  <r>
    <s v="ORD2220"/>
    <s v="13-02-2021"/>
    <s v="CUST675"/>
    <x v="2"/>
    <x v="11"/>
    <x v="0"/>
    <s v="Manoj"/>
    <n v="394"/>
    <n v="30"/>
    <n v="0"/>
    <x v="1"/>
    <n v="45"/>
    <x v="0"/>
    <n v="1"/>
    <n v="394"/>
    <x v="94"/>
    <x v="2"/>
    <n v="2"/>
  </r>
  <r>
    <s v="ORD2221"/>
    <s v="19-01-2021"/>
    <s v="CUST914"/>
    <x v="0"/>
    <x v="12"/>
    <x v="3"/>
    <s v="Suresh"/>
    <n v="702"/>
    <n v="50"/>
    <n v="20"/>
    <x v="0"/>
    <n v="45"/>
    <x v="1"/>
    <n v="1"/>
    <n v="682"/>
    <x v="565"/>
    <x v="1"/>
    <n v="1"/>
  </r>
  <r>
    <s v="ORD2222"/>
    <s v="25-01-2021"/>
    <s v="CUST1079"/>
    <x v="1"/>
    <x v="8"/>
    <x v="2"/>
    <s v="Karan"/>
    <n v="570"/>
    <n v="30"/>
    <n v="100"/>
    <x v="1"/>
    <n v="30"/>
    <x v="0"/>
    <n v="1"/>
    <n v="470"/>
    <x v="308"/>
    <x v="1"/>
    <n v="1"/>
  </r>
  <r>
    <s v="ORD2223"/>
    <s v="23-03-2021"/>
    <s v="CUST844"/>
    <x v="1"/>
    <x v="2"/>
    <x v="1"/>
    <s v="Deepak"/>
    <n v="649"/>
    <n v="30"/>
    <n v="20"/>
    <x v="1"/>
    <n v="57"/>
    <x v="0"/>
    <n v="1"/>
    <n v="629"/>
    <x v="356"/>
    <x v="0"/>
    <n v="3"/>
  </r>
  <r>
    <s v="ORD2224"/>
    <s v="17-02-2021"/>
    <s v="CUST1122"/>
    <x v="4"/>
    <x v="9"/>
    <x v="4"/>
    <s v="Imran"/>
    <n v="795"/>
    <n v="40"/>
    <n v="20"/>
    <x v="0"/>
    <n v="41"/>
    <x v="0"/>
    <n v="1"/>
    <n v="775"/>
    <x v="566"/>
    <x v="2"/>
    <n v="2"/>
  </r>
  <r>
    <s v="ORD2225"/>
    <s v="26-03-2021"/>
    <s v="CUST681"/>
    <x v="1"/>
    <x v="2"/>
    <x v="1"/>
    <s v="Vikas"/>
    <n v="355"/>
    <n v="50"/>
    <n v="0"/>
    <x v="2"/>
    <n v="34"/>
    <x v="0"/>
    <n v="1"/>
    <n v="355"/>
    <x v="261"/>
    <x v="0"/>
    <n v="3"/>
  </r>
  <r>
    <s v="ORD2226"/>
    <s v="22-02-2021"/>
    <s v="CUST971"/>
    <x v="2"/>
    <x v="3"/>
    <x v="1"/>
    <s v="Vikas"/>
    <n v="418"/>
    <n v="30"/>
    <n v="30"/>
    <x v="2"/>
    <n v="53"/>
    <x v="1"/>
    <n v="1"/>
    <n v="388"/>
    <x v="507"/>
    <x v="2"/>
    <n v="2"/>
  </r>
  <r>
    <s v="ORD2227"/>
    <s v="25-02-2021"/>
    <s v="CUST836"/>
    <x v="0"/>
    <x v="10"/>
    <x v="0"/>
    <s v="Karan"/>
    <n v="564"/>
    <n v="50"/>
    <n v="100"/>
    <x v="0"/>
    <n v="22"/>
    <x v="0"/>
    <n v="1"/>
    <n v="464"/>
    <x v="436"/>
    <x v="2"/>
    <n v="2"/>
  </r>
  <r>
    <s v="ORD2228"/>
    <s v="03-03-2021"/>
    <s v="CUST804"/>
    <x v="1"/>
    <x v="2"/>
    <x v="1"/>
    <s v="Karan"/>
    <n v="443"/>
    <n v="40"/>
    <n v="50"/>
    <x v="1"/>
    <n v="38"/>
    <x v="0"/>
    <n v="1"/>
    <n v="393"/>
    <x v="475"/>
    <x v="0"/>
    <n v="3"/>
  </r>
  <r>
    <s v="ORD2229"/>
    <s v="02-01-2021"/>
    <s v="CUST840"/>
    <x v="2"/>
    <x v="6"/>
    <x v="2"/>
    <s v="Manoj"/>
    <n v="760"/>
    <n v="30"/>
    <n v="50"/>
    <x v="2"/>
    <n v="38"/>
    <x v="0"/>
    <n v="1"/>
    <n v="710"/>
    <x v="34"/>
    <x v="1"/>
    <n v="1"/>
  </r>
  <r>
    <s v="ORD2230"/>
    <s v="30-03-2021"/>
    <s v="CUST880"/>
    <x v="2"/>
    <x v="11"/>
    <x v="0"/>
    <s v="Deepak"/>
    <n v="239"/>
    <n v="20"/>
    <n v="0"/>
    <x v="0"/>
    <n v="45"/>
    <x v="0"/>
    <n v="1"/>
    <n v="239"/>
    <x v="74"/>
    <x v="0"/>
    <n v="3"/>
  </r>
  <r>
    <s v="ORD2231"/>
    <s v="17-03-2021"/>
    <s v="CUST622"/>
    <x v="4"/>
    <x v="14"/>
    <x v="0"/>
    <s v="Rohit"/>
    <n v="728"/>
    <n v="50"/>
    <n v="0"/>
    <x v="0"/>
    <n v="49"/>
    <x v="0"/>
    <n v="1"/>
    <n v="728"/>
    <x v="288"/>
    <x v="0"/>
    <n v="3"/>
  </r>
  <r>
    <s v="ORD2232"/>
    <s v="11-03-2021"/>
    <s v="CUST941"/>
    <x v="1"/>
    <x v="1"/>
    <x v="1"/>
    <s v="Rohit"/>
    <n v="199"/>
    <n v="20"/>
    <n v="0"/>
    <x v="1"/>
    <n v="25"/>
    <x v="0"/>
    <n v="1"/>
    <n v="199"/>
    <x v="567"/>
    <x v="0"/>
    <n v="3"/>
  </r>
  <r>
    <s v="ORD2233"/>
    <s v="12-03-2021"/>
    <s v="CUST1021"/>
    <x v="1"/>
    <x v="8"/>
    <x v="2"/>
    <s v="Rohit"/>
    <n v="695"/>
    <n v="50"/>
    <n v="100"/>
    <x v="1"/>
    <n v="33"/>
    <x v="0"/>
    <n v="1"/>
    <n v="595"/>
    <x v="568"/>
    <x v="0"/>
    <n v="3"/>
  </r>
  <r>
    <s v="ORD2234"/>
    <s v="11-03-2021"/>
    <s v="CUST540"/>
    <x v="4"/>
    <x v="14"/>
    <x v="0"/>
    <s v="Rohit"/>
    <n v="774"/>
    <n v="20"/>
    <n v="20"/>
    <x v="1"/>
    <n v="37"/>
    <x v="0"/>
    <n v="1"/>
    <n v="754"/>
    <x v="139"/>
    <x v="0"/>
    <n v="3"/>
  </r>
  <r>
    <s v="ORD2235"/>
    <s v="11-01-2021"/>
    <s v="CUST1039"/>
    <x v="2"/>
    <x v="6"/>
    <x v="2"/>
    <s v="Deepak"/>
    <n v="615"/>
    <n v="50"/>
    <n v="50"/>
    <x v="1"/>
    <n v="27"/>
    <x v="0"/>
    <n v="1"/>
    <n v="565"/>
    <x v="362"/>
    <x v="1"/>
    <n v="1"/>
  </r>
  <r>
    <s v="ORD2236"/>
    <s v="21-01-2021"/>
    <s v="CUST640"/>
    <x v="1"/>
    <x v="2"/>
    <x v="1"/>
    <s v="Rohit"/>
    <n v="320"/>
    <n v="30"/>
    <n v="100"/>
    <x v="0"/>
    <n v="44"/>
    <x v="0"/>
    <n v="1"/>
    <n v="220"/>
    <x v="117"/>
    <x v="1"/>
    <n v="1"/>
  </r>
  <r>
    <s v="ORD2237"/>
    <s v="21-03-2021"/>
    <s v="CUST1023"/>
    <x v="0"/>
    <x v="10"/>
    <x v="0"/>
    <s v="Imran"/>
    <n v="557"/>
    <n v="50"/>
    <n v="100"/>
    <x v="2"/>
    <n v="41"/>
    <x v="0"/>
    <n v="1"/>
    <n v="457"/>
    <x v="146"/>
    <x v="0"/>
    <n v="3"/>
  </r>
  <r>
    <s v="ORD2238"/>
    <s v="11-01-2021"/>
    <s v="CUST695"/>
    <x v="0"/>
    <x v="10"/>
    <x v="0"/>
    <s v="Karan"/>
    <n v="649"/>
    <n v="30"/>
    <n v="30"/>
    <x v="2"/>
    <n v="42"/>
    <x v="0"/>
    <n v="1"/>
    <n v="619"/>
    <x v="569"/>
    <x v="1"/>
    <n v="1"/>
  </r>
  <r>
    <s v="ORD2239"/>
    <s v="26-01-2021"/>
    <s v="CUST987"/>
    <x v="2"/>
    <x v="11"/>
    <x v="0"/>
    <s v="Rohit"/>
    <n v="436"/>
    <n v="40"/>
    <n v="0"/>
    <x v="2"/>
    <n v="53"/>
    <x v="0"/>
    <n v="1"/>
    <n v="436"/>
    <x v="472"/>
    <x v="1"/>
    <n v="1"/>
  </r>
  <r>
    <s v="ORD2240"/>
    <s v="10-02-2021"/>
    <s v="CUST820"/>
    <x v="3"/>
    <x v="7"/>
    <x v="0"/>
    <s v="Amit"/>
    <n v="421"/>
    <n v="20"/>
    <n v="20"/>
    <x v="2"/>
    <n v="40"/>
    <x v="1"/>
    <n v="1"/>
    <n v="401"/>
    <x v="392"/>
    <x v="2"/>
    <n v="2"/>
  </r>
  <r>
    <s v="ORD2241"/>
    <s v="19-01-2021"/>
    <s v="CUST558"/>
    <x v="3"/>
    <x v="13"/>
    <x v="1"/>
    <s v="Suresh"/>
    <n v="361"/>
    <n v="30"/>
    <n v="50"/>
    <x v="0"/>
    <n v="51"/>
    <x v="0"/>
    <n v="1"/>
    <n v="311"/>
    <x v="467"/>
    <x v="1"/>
    <n v="1"/>
  </r>
  <r>
    <s v="ORD2242"/>
    <s v="17-02-2021"/>
    <s v="CUST1105"/>
    <x v="0"/>
    <x v="12"/>
    <x v="3"/>
    <s v="Amit"/>
    <n v="756"/>
    <n v="30"/>
    <n v="100"/>
    <x v="1"/>
    <n v="20"/>
    <x v="0"/>
    <n v="1"/>
    <n v="656"/>
    <x v="570"/>
    <x v="2"/>
    <n v="2"/>
  </r>
  <r>
    <s v="ORD2243"/>
    <s v="04-02-2021"/>
    <s v="CUST769"/>
    <x v="4"/>
    <x v="9"/>
    <x v="4"/>
    <s v="Karan"/>
    <n v="537"/>
    <n v="20"/>
    <n v="30"/>
    <x v="2"/>
    <n v="39"/>
    <x v="0"/>
    <n v="1"/>
    <n v="507"/>
    <x v="480"/>
    <x v="2"/>
    <n v="2"/>
  </r>
  <r>
    <s v="ORD2244"/>
    <s v="30-01-2021"/>
    <s v="CUST526"/>
    <x v="2"/>
    <x v="6"/>
    <x v="2"/>
    <s v="Imran"/>
    <n v="195"/>
    <n v="20"/>
    <n v="0"/>
    <x v="2"/>
    <n v="48"/>
    <x v="0"/>
    <n v="1"/>
    <n v="195"/>
    <x v="66"/>
    <x v="1"/>
    <n v="1"/>
  </r>
  <r>
    <s v="ORD2245"/>
    <s v="20-02-2021"/>
    <s v="CUST589"/>
    <x v="0"/>
    <x v="0"/>
    <x v="0"/>
    <s v="Arjun"/>
    <n v="269"/>
    <n v="50"/>
    <n v="100"/>
    <x v="1"/>
    <n v="42"/>
    <x v="0"/>
    <n v="1"/>
    <n v="169"/>
    <x v="567"/>
    <x v="2"/>
    <n v="2"/>
  </r>
  <r>
    <s v="ORD2246"/>
    <s v="29-03-2021"/>
    <s v="CUST616"/>
    <x v="1"/>
    <x v="2"/>
    <x v="1"/>
    <s v="Amit"/>
    <n v="733"/>
    <n v="50"/>
    <n v="100"/>
    <x v="1"/>
    <n v="41"/>
    <x v="0"/>
    <n v="1"/>
    <n v="633"/>
    <x v="537"/>
    <x v="0"/>
    <n v="3"/>
  </r>
  <r>
    <s v="ORD2247"/>
    <s v="30-03-2021"/>
    <s v="CUST833"/>
    <x v="4"/>
    <x v="14"/>
    <x v="0"/>
    <s v="Imran"/>
    <n v="722"/>
    <n v="30"/>
    <n v="0"/>
    <x v="2"/>
    <n v="37"/>
    <x v="0"/>
    <n v="1"/>
    <n v="722"/>
    <x v="295"/>
    <x v="0"/>
    <n v="3"/>
  </r>
  <r>
    <s v="ORD2248"/>
    <s v="16-03-2021"/>
    <s v="CUST738"/>
    <x v="2"/>
    <x v="11"/>
    <x v="0"/>
    <s v="Arjun"/>
    <n v="621"/>
    <n v="40"/>
    <n v="30"/>
    <x v="2"/>
    <n v="52"/>
    <x v="0"/>
    <n v="1"/>
    <n v="591"/>
    <x v="152"/>
    <x v="0"/>
    <n v="3"/>
  </r>
  <r>
    <s v="ORD2249"/>
    <s v="18-03-2021"/>
    <s v="CUST1056"/>
    <x v="4"/>
    <x v="5"/>
    <x v="3"/>
    <s v="Imran"/>
    <n v="482"/>
    <n v="50"/>
    <n v="30"/>
    <x v="1"/>
    <n v="50"/>
    <x v="0"/>
    <n v="1"/>
    <n v="452"/>
    <x v="561"/>
    <x v="0"/>
    <n v="3"/>
  </r>
  <r>
    <s v="ORD2250"/>
    <s v="27-01-2021"/>
    <s v="CUST901"/>
    <x v="1"/>
    <x v="8"/>
    <x v="2"/>
    <s v="Imran"/>
    <n v="382"/>
    <n v="50"/>
    <n v="50"/>
    <x v="1"/>
    <n v="23"/>
    <x v="0"/>
    <n v="1"/>
    <n v="332"/>
    <x v="302"/>
    <x v="1"/>
    <n v="1"/>
  </r>
  <r>
    <s v="ORD2251"/>
    <s v="02-01-2021"/>
    <s v="CUST644"/>
    <x v="0"/>
    <x v="0"/>
    <x v="0"/>
    <s v="Rohit"/>
    <n v="619"/>
    <n v="30"/>
    <n v="20"/>
    <x v="1"/>
    <n v="29"/>
    <x v="0"/>
    <n v="1"/>
    <n v="599"/>
    <x v="343"/>
    <x v="1"/>
    <n v="1"/>
  </r>
  <r>
    <s v="ORD2252"/>
    <s v="15-02-2021"/>
    <s v="CUST1115"/>
    <x v="1"/>
    <x v="1"/>
    <x v="1"/>
    <s v="Imran"/>
    <n v="370"/>
    <n v="30"/>
    <n v="50"/>
    <x v="0"/>
    <n v="21"/>
    <x v="0"/>
    <n v="1"/>
    <n v="320"/>
    <x v="564"/>
    <x v="2"/>
    <n v="2"/>
  </r>
  <r>
    <s v="ORD2253"/>
    <s v="10-01-2021"/>
    <s v="CUST1114"/>
    <x v="0"/>
    <x v="0"/>
    <x v="0"/>
    <s v="Amit"/>
    <n v="245"/>
    <n v="40"/>
    <n v="0"/>
    <x v="2"/>
    <n v="51"/>
    <x v="0"/>
    <n v="1"/>
    <n v="245"/>
    <x v="571"/>
    <x v="1"/>
    <n v="1"/>
  </r>
  <r>
    <s v="ORD2254"/>
    <s v="28-01-2021"/>
    <s v="CUST955"/>
    <x v="1"/>
    <x v="8"/>
    <x v="2"/>
    <s v="Suresh"/>
    <n v="717"/>
    <n v="50"/>
    <n v="50"/>
    <x v="1"/>
    <n v="39"/>
    <x v="0"/>
    <n v="1"/>
    <n v="667"/>
    <x v="186"/>
    <x v="1"/>
    <n v="1"/>
  </r>
  <r>
    <s v="ORD2255"/>
    <s v="09-03-2021"/>
    <s v="CUST1045"/>
    <x v="0"/>
    <x v="10"/>
    <x v="0"/>
    <s v="Karan"/>
    <n v="235"/>
    <n v="20"/>
    <n v="100"/>
    <x v="0"/>
    <n v="24"/>
    <x v="0"/>
    <n v="1"/>
    <n v="135"/>
    <x v="143"/>
    <x v="0"/>
    <n v="3"/>
  </r>
  <r>
    <s v="ORD2256"/>
    <s v="17-03-2021"/>
    <s v="CUST690"/>
    <x v="0"/>
    <x v="0"/>
    <x v="0"/>
    <s v="Rahul"/>
    <n v="175"/>
    <n v="40"/>
    <n v="100"/>
    <x v="0"/>
    <n v="59"/>
    <x v="0"/>
    <n v="1"/>
    <n v="75"/>
    <x v="572"/>
    <x v="0"/>
    <n v="3"/>
  </r>
  <r>
    <s v="ORD2257"/>
    <s v="27-03-2021"/>
    <s v="CUST561"/>
    <x v="0"/>
    <x v="0"/>
    <x v="0"/>
    <s v="Vikas"/>
    <n v="381"/>
    <n v="30"/>
    <n v="100"/>
    <x v="1"/>
    <n v="34"/>
    <x v="0"/>
    <n v="1"/>
    <n v="281"/>
    <x v="28"/>
    <x v="0"/>
    <n v="3"/>
  </r>
  <r>
    <s v="ORD2258"/>
    <s v="09-01-2021"/>
    <s v="CUST569"/>
    <x v="4"/>
    <x v="9"/>
    <x v="4"/>
    <s v="Imran"/>
    <n v="501"/>
    <n v="40"/>
    <n v="30"/>
    <x v="0"/>
    <n v="56"/>
    <x v="0"/>
    <n v="1"/>
    <n v="471"/>
    <x v="0"/>
    <x v="1"/>
    <n v="1"/>
  </r>
  <r>
    <s v="ORD2259"/>
    <s v="06-02-2021"/>
    <s v="CUST662"/>
    <x v="4"/>
    <x v="14"/>
    <x v="0"/>
    <s v="Manoj"/>
    <n v="439"/>
    <n v="20"/>
    <n v="20"/>
    <x v="2"/>
    <n v="26"/>
    <x v="0"/>
    <n v="1"/>
    <n v="419"/>
    <x v="449"/>
    <x v="2"/>
    <n v="2"/>
  </r>
  <r>
    <s v="ORD2260"/>
    <s v="26-03-2021"/>
    <s v="CUST1063"/>
    <x v="3"/>
    <x v="4"/>
    <x v="2"/>
    <s v="Rahul"/>
    <n v="363"/>
    <n v="30"/>
    <n v="0"/>
    <x v="0"/>
    <n v="36"/>
    <x v="0"/>
    <n v="1"/>
    <n v="363"/>
    <x v="296"/>
    <x v="0"/>
    <n v="3"/>
  </r>
  <r>
    <s v="ORD2261"/>
    <s v="23-02-2021"/>
    <s v="CUST939"/>
    <x v="3"/>
    <x v="7"/>
    <x v="0"/>
    <s v="Rohit"/>
    <n v="191"/>
    <n v="40"/>
    <n v="20"/>
    <x v="1"/>
    <n v="32"/>
    <x v="0"/>
    <n v="1"/>
    <n v="171"/>
    <x v="573"/>
    <x v="2"/>
    <n v="2"/>
  </r>
  <r>
    <s v="ORD2262"/>
    <s v="17-01-2021"/>
    <s v="CUST932"/>
    <x v="0"/>
    <x v="0"/>
    <x v="0"/>
    <s v="Rohit"/>
    <n v="295"/>
    <n v="30"/>
    <n v="0"/>
    <x v="0"/>
    <n v="60"/>
    <x v="0"/>
    <n v="1"/>
    <n v="295"/>
    <x v="226"/>
    <x v="1"/>
    <n v="1"/>
  </r>
  <r>
    <s v="ORD2263"/>
    <s v="18-01-2021"/>
    <s v="CUST954"/>
    <x v="4"/>
    <x v="14"/>
    <x v="0"/>
    <s v="Imran"/>
    <n v="245"/>
    <n v="20"/>
    <n v="0"/>
    <x v="2"/>
    <n v="48"/>
    <x v="0"/>
    <n v="1"/>
    <n v="245"/>
    <x v="275"/>
    <x v="1"/>
    <n v="1"/>
  </r>
  <r>
    <s v="ORD2264"/>
    <s v="02-01-2021"/>
    <s v="CUST901"/>
    <x v="3"/>
    <x v="4"/>
    <x v="2"/>
    <s v="Amit"/>
    <n v="170"/>
    <n v="40"/>
    <n v="20"/>
    <x v="0"/>
    <n v="26"/>
    <x v="1"/>
    <n v="1"/>
    <n v="150"/>
    <x v="484"/>
    <x v="1"/>
    <n v="1"/>
  </r>
  <r>
    <s v="ORD2265"/>
    <s v="18-01-2021"/>
    <s v="CUST1183"/>
    <x v="4"/>
    <x v="14"/>
    <x v="0"/>
    <s v="Suresh"/>
    <n v="768"/>
    <n v="40"/>
    <n v="20"/>
    <x v="1"/>
    <n v="27"/>
    <x v="0"/>
    <n v="1"/>
    <n v="748"/>
    <x v="370"/>
    <x v="1"/>
    <n v="1"/>
  </r>
  <r>
    <s v="ORD2266"/>
    <s v="26-01-2021"/>
    <s v="CUST1144"/>
    <x v="0"/>
    <x v="12"/>
    <x v="3"/>
    <s v="Manoj"/>
    <n v="527"/>
    <n v="20"/>
    <n v="20"/>
    <x v="0"/>
    <n v="38"/>
    <x v="0"/>
    <n v="1"/>
    <n v="507"/>
    <x v="480"/>
    <x v="1"/>
    <n v="1"/>
  </r>
  <r>
    <s v="ORD2267"/>
    <s v="15-03-2021"/>
    <s v="CUST1013"/>
    <x v="3"/>
    <x v="13"/>
    <x v="1"/>
    <s v="Rahul"/>
    <n v="603"/>
    <n v="50"/>
    <n v="20"/>
    <x v="0"/>
    <n v="44"/>
    <x v="0"/>
    <n v="1"/>
    <n v="583"/>
    <x v="574"/>
    <x v="0"/>
    <n v="3"/>
  </r>
  <r>
    <s v="ORD2268"/>
    <s v="12-03-2021"/>
    <s v="CUST795"/>
    <x v="0"/>
    <x v="10"/>
    <x v="0"/>
    <s v="Amit"/>
    <n v="498"/>
    <n v="50"/>
    <n v="20"/>
    <x v="0"/>
    <n v="48"/>
    <x v="0"/>
    <n v="1"/>
    <n v="478"/>
    <x v="375"/>
    <x v="0"/>
    <n v="3"/>
  </r>
  <r>
    <s v="ORD2269"/>
    <s v="08-01-2021"/>
    <s v="CUST706"/>
    <x v="3"/>
    <x v="13"/>
    <x v="1"/>
    <s v="Manoj"/>
    <n v="430"/>
    <n v="50"/>
    <n v="20"/>
    <x v="0"/>
    <n v="35"/>
    <x v="0"/>
    <n v="1"/>
    <n v="410"/>
    <x v="45"/>
    <x v="1"/>
    <n v="1"/>
  </r>
  <r>
    <s v="ORD2270"/>
    <s v="18-02-2021"/>
    <s v="CUST957"/>
    <x v="1"/>
    <x v="2"/>
    <x v="1"/>
    <s v="Vikas"/>
    <n v="367"/>
    <n v="30"/>
    <n v="0"/>
    <x v="1"/>
    <n v="27"/>
    <x v="0"/>
    <n v="1"/>
    <n v="367"/>
    <x v="233"/>
    <x v="2"/>
    <n v="2"/>
  </r>
  <r>
    <s v="ORD2271"/>
    <s v="14-01-2021"/>
    <s v="CUST503"/>
    <x v="3"/>
    <x v="4"/>
    <x v="2"/>
    <s v="Vikas"/>
    <n v="447"/>
    <n v="50"/>
    <n v="20"/>
    <x v="2"/>
    <n v="21"/>
    <x v="1"/>
    <n v="1"/>
    <n v="427"/>
    <x v="413"/>
    <x v="1"/>
    <n v="1"/>
  </r>
  <r>
    <s v="ORD2272"/>
    <s v="14-02-2021"/>
    <s v="CUST505"/>
    <x v="4"/>
    <x v="9"/>
    <x v="4"/>
    <s v="Amit"/>
    <n v="699"/>
    <n v="50"/>
    <n v="100"/>
    <x v="1"/>
    <n v="49"/>
    <x v="0"/>
    <n v="1"/>
    <n v="599"/>
    <x v="569"/>
    <x v="2"/>
    <n v="2"/>
  </r>
  <r>
    <s v="ORD2273"/>
    <s v="19-03-2021"/>
    <s v="CUST671"/>
    <x v="0"/>
    <x v="12"/>
    <x v="3"/>
    <s v="Imran"/>
    <n v="179"/>
    <n v="40"/>
    <n v="50"/>
    <x v="2"/>
    <n v="56"/>
    <x v="0"/>
    <n v="1"/>
    <n v="129"/>
    <x v="310"/>
    <x v="0"/>
    <n v="3"/>
  </r>
  <r>
    <s v="ORD2274"/>
    <s v="25-02-2021"/>
    <s v="CUST1062"/>
    <x v="0"/>
    <x v="0"/>
    <x v="0"/>
    <s v="Amit"/>
    <n v="155"/>
    <n v="40"/>
    <n v="50"/>
    <x v="0"/>
    <n v="60"/>
    <x v="0"/>
    <n v="1"/>
    <n v="105"/>
    <x v="575"/>
    <x v="2"/>
    <n v="2"/>
  </r>
  <r>
    <s v="ORD2275"/>
    <s v="18-01-2021"/>
    <s v="CUST744"/>
    <x v="4"/>
    <x v="9"/>
    <x v="4"/>
    <s v="Imran"/>
    <n v="613"/>
    <n v="40"/>
    <n v="30"/>
    <x v="2"/>
    <n v="23"/>
    <x v="0"/>
    <n v="1"/>
    <n v="583"/>
    <x v="576"/>
    <x v="1"/>
    <n v="1"/>
  </r>
  <r>
    <s v="ORD2276"/>
    <s v="21-03-2021"/>
    <s v="CUST562"/>
    <x v="4"/>
    <x v="14"/>
    <x v="0"/>
    <s v="Karan"/>
    <n v="347"/>
    <n v="20"/>
    <n v="100"/>
    <x v="2"/>
    <n v="50"/>
    <x v="0"/>
    <n v="1"/>
    <n v="247"/>
    <x v="318"/>
    <x v="0"/>
    <n v="3"/>
  </r>
  <r>
    <s v="ORD2277"/>
    <s v="26-02-2021"/>
    <s v="CUST805"/>
    <x v="4"/>
    <x v="14"/>
    <x v="0"/>
    <s v="Deepak"/>
    <n v="600"/>
    <n v="50"/>
    <n v="30"/>
    <x v="2"/>
    <n v="33"/>
    <x v="0"/>
    <n v="1"/>
    <n v="570"/>
    <x v="577"/>
    <x v="2"/>
    <n v="2"/>
  </r>
  <r>
    <s v="ORD2278"/>
    <s v="17-02-2021"/>
    <s v="CUST1103"/>
    <x v="0"/>
    <x v="10"/>
    <x v="0"/>
    <s v="Karan"/>
    <n v="571"/>
    <n v="50"/>
    <n v="0"/>
    <x v="2"/>
    <n v="33"/>
    <x v="0"/>
    <n v="1"/>
    <n v="571"/>
    <x v="137"/>
    <x v="2"/>
    <n v="2"/>
  </r>
  <r>
    <s v="ORD2279"/>
    <s v="25-01-2021"/>
    <s v="CUST742"/>
    <x v="4"/>
    <x v="14"/>
    <x v="0"/>
    <s v="Rohit"/>
    <n v="279"/>
    <n v="30"/>
    <n v="50"/>
    <x v="2"/>
    <n v="23"/>
    <x v="0"/>
    <n v="1"/>
    <n v="229"/>
    <x v="74"/>
    <x v="1"/>
    <n v="1"/>
  </r>
  <r>
    <s v="ORD2280"/>
    <s v="09-02-2021"/>
    <s v="CUST987"/>
    <x v="3"/>
    <x v="4"/>
    <x v="2"/>
    <s v="Imran"/>
    <n v="663"/>
    <n v="30"/>
    <n v="30"/>
    <x v="0"/>
    <n v="47"/>
    <x v="0"/>
    <n v="1"/>
    <n v="633"/>
    <x v="434"/>
    <x v="2"/>
    <n v="2"/>
  </r>
  <r>
    <s v="ORD2281"/>
    <s v="09-01-2021"/>
    <s v="CUST1152"/>
    <x v="4"/>
    <x v="9"/>
    <x v="4"/>
    <s v="Arjun"/>
    <n v="650"/>
    <n v="40"/>
    <n v="0"/>
    <x v="1"/>
    <n v="56"/>
    <x v="0"/>
    <n v="1"/>
    <n v="650"/>
    <x v="578"/>
    <x v="1"/>
    <n v="1"/>
  </r>
  <r>
    <s v="ORD2282"/>
    <s v="04-02-2021"/>
    <s v="CUST993"/>
    <x v="4"/>
    <x v="14"/>
    <x v="0"/>
    <s v="Amit"/>
    <n v="162"/>
    <n v="20"/>
    <n v="30"/>
    <x v="0"/>
    <n v="49"/>
    <x v="0"/>
    <n v="1"/>
    <n v="132"/>
    <x v="512"/>
    <x v="2"/>
    <n v="2"/>
  </r>
  <r>
    <s v="ORD2283"/>
    <s v="25-02-2021"/>
    <s v="CUST781"/>
    <x v="1"/>
    <x v="2"/>
    <x v="1"/>
    <s v="Vikas"/>
    <n v="748"/>
    <n v="20"/>
    <n v="0"/>
    <x v="1"/>
    <n v="40"/>
    <x v="0"/>
    <n v="1"/>
    <n v="748"/>
    <x v="579"/>
    <x v="2"/>
    <n v="2"/>
  </r>
  <r>
    <s v="ORD2284"/>
    <s v="21-02-2021"/>
    <s v="CUST890"/>
    <x v="0"/>
    <x v="12"/>
    <x v="3"/>
    <s v="Imran"/>
    <n v="375"/>
    <n v="40"/>
    <n v="0"/>
    <x v="1"/>
    <n v="36"/>
    <x v="0"/>
    <n v="1"/>
    <n v="375"/>
    <x v="169"/>
    <x v="2"/>
    <n v="2"/>
  </r>
  <r>
    <s v="ORD2285"/>
    <s v="07-03-2021"/>
    <s v="CUST800"/>
    <x v="2"/>
    <x v="3"/>
    <x v="1"/>
    <s v="Rahul"/>
    <n v="677"/>
    <n v="20"/>
    <n v="100"/>
    <x v="2"/>
    <n v="24"/>
    <x v="0"/>
    <n v="1"/>
    <n v="577"/>
    <x v="468"/>
    <x v="0"/>
    <n v="3"/>
  </r>
  <r>
    <s v="ORD2286"/>
    <s v="22-03-2021"/>
    <s v="CUST640"/>
    <x v="3"/>
    <x v="4"/>
    <x v="2"/>
    <s v="Deepak"/>
    <n v="511"/>
    <n v="50"/>
    <n v="0"/>
    <x v="1"/>
    <n v="33"/>
    <x v="0"/>
    <n v="1"/>
    <n v="511"/>
    <x v="227"/>
    <x v="0"/>
    <n v="3"/>
  </r>
  <r>
    <s v="ORD2287"/>
    <s v="23-01-2021"/>
    <s v="CUST1082"/>
    <x v="4"/>
    <x v="14"/>
    <x v="0"/>
    <s v="Vikas"/>
    <n v="184"/>
    <n v="50"/>
    <n v="20"/>
    <x v="0"/>
    <n v="38"/>
    <x v="0"/>
    <n v="1"/>
    <n v="164"/>
    <x v="580"/>
    <x v="1"/>
    <n v="1"/>
  </r>
  <r>
    <s v="ORD2288"/>
    <s v="26-02-2021"/>
    <s v="CUST1068"/>
    <x v="0"/>
    <x v="0"/>
    <x v="0"/>
    <s v="Arjun"/>
    <n v="403"/>
    <n v="20"/>
    <n v="100"/>
    <x v="0"/>
    <n v="24"/>
    <x v="0"/>
    <n v="1"/>
    <n v="303"/>
    <x v="314"/>
    <x v="2"/>
    <n v="2"/>
  </r>
  <r>
    <s v="ORD2289"/>
    <s v="28-02-2021"/>
    <s v="CUST924"/>
    <x v="1"/>
    <x v="8"/>
    <x v="2"/>
    <s v="Manoj"/>
    <n v="566"/>
    <n v="40"/>
    <n v="20"/>
    <x v="2"/>
    <n v="27"/>
    <x v="0"/>
    <n v="1"/>
    <n v="546"/>
    <x v="54"/>
    <x v="2"/>
    <n v="2"/>
  </r>
  <r>
    <s v="ORD2290"/>
    <s v="21-03-2021"/>
    <s v="CUST563"/>
    <x v="3"/>
    <x v="4"/>
    <x v="2"/>
    <s v="Imran"/>
    <n v="654"/>
    <n v="30"/>
    <n v="0"/>
    <x v="1"/>
    <n v="55"/>
    <x v="0"/>
    <n v="1"/>
    <n v="654"/>
    <x v="47"/>
    <x v="0"/>
    <n v="3"/>
  </r>
  <r>
    <s v="ORD2291"/>
    <s v="21-03-2021"/>
    <s v="CUST731"/>
    <x v="4"/>
    <x v="14"/>
    <x v="0"/>
    <s v="Deepak"/>
    <n v="170"/>
    <n v="20"/>
    <n v="20"/>
    <x v="1"/>
    <n v="34"/>
    <x v="0"/>
    <n v="1"/>
    <n v="150"/>
    <x v="176"/>
    <x v="0"/>
    <n v="3"/>
  </r>
  <r>
    <s v="ORD2292"/>
    <s v="26-02-2021"/>
    <s v="CUST1092"/>
    <x v="3"/>
    <x v="13"/>
    <x v="1"/>
    <s v="Vikas"/>
    <n v="603"/>
    <n v="50"/>
    <n v="30"/>
    <x v="2"/>
    <n v="50"/>
    <x v="0"/>
    <n v="1"/>
    <n v="573"/>
    <x v="576"/>
    <x v="2"/>
    <n v="2"/>
  </r>
  <r>
    <s v="ORD2293"/>
    <s v="16-01-2021"/>
    <s v="CUST1136"/>
    <x v="2"/>
    <x v="11"/>
    <x v="0"/>
    <s v="Arjun"/>
    <n v="224"/>
    <n v="50"/>
    <n v="100"/>
    <x v="2"/>
    <n v="53"/>
    <x v="0"/>
    <n v="1"/>
    <n v="124"/>
    <x v="291"/>
    <x v="1"/>
    <n v="1"/>
  </r>
  <r>
    <s v="ORD2294"/>
    <s v="22-03-2021"/>
    <s v="CUST999"/>
    <x v="3"/>
    <x v="4"/>
    <x v="2"/>
    <s v="Karan"/>
    <n v="442"/>
    <n v="50"/>
    <n v="0"/>
    <x v="1"/>
    <n v="57"/>
    <x v="0"/>
    <n v="1"/>
    <n v="442"/>
    <x v="158"/>
    <x v="0"/>
    <n v="3"/>
  </r>
  <r>
    <s v="ORD2295"/>
    <s v="17-01-2021"/>
    <s v="CUST548"/>
    <x v="4"/>
    <x v="5"/>
    <x v="3"/>
    <s v="Amit"/>
    <n v="175"/>
    <n v="50"/>
    <n v="100"/>
    <x v="0"/>
    <n v="55"/>
    <x v="1"/>
    <n v="1"/>
    <n v="75"/>
    <x v="581"/>
    <x v="1"/>
    <n v="1"/>
  </r>
  <r>
    <s v="ORD2296"/>
    <s v="23-02-2021"/>
    <s v="CUST750"/>
    <x v="2"/>
    <x v="6"/>
    <x v="2"/>
    <s v="Karan"/>
    <n v="642"/>
    <n v="40"/>
    <n v="0"/>
    <x v="1"/>
    <n v="31"/>
    <x v="1"/>
    <n v="1"/>
    <n v="642"/>
    <x v="269"/>
    <x v="2"/>
    <n v="2"/>
  </r>
  <r>
    <s v="ORD2297"/>
    <s v="15-03-2021"/>
    <s v="CUST1148"/>
    <x v="1"/>
    <x v="8"/>
    <x v="2"/>
    <s v="Rohit"/>
    <n v="569"/>
    <n v="40"/>
    <n v="20"/>
    <x v="0"/>
    <n v="26"/>
    <x v="0"/>
    <n v="1"/>
    <n v="549"/>
    <x v="582"/>
    <x v="0"/>
    <n v="3"/>
  </r>
  <r>
    <s v="ORD2298"/>
    <s v="07-03-2021"/>
    <s v="CUST1156"/>
    <x v="4"/>
    <x v="14"/>
    <x v="0"/>
    <s v="Rahul"/>
    <n v="735"/>
    <n v="30"/>
    <n v="30"/>
    <x v="1"/>
    <n v="31"/>
    <x v="0"/>
    <n v="1"/>
    <n v="705"/>
    <x v="583"/>
    <x v="0"/>
    <n v="3"/>
  </r>
  <r>
    <s v="ORD2299"/>
    <s v="29-01-2021"/>
    <s v="CUST720"/>
    <x v="1"/>
    <x v="2"/>
    <x v="1"/>
    <s v="Karan"/>
    <n v="710"/>
    <n v="40"/>
    <n v="0"/>
    <x v="0"/>
    <n v="30"/>
    <x v="0"/>
    <n v="1"/>
    <n v="710"/>
    <x v="192"/>
    <x v="1"/>
    <n v="1"/>
  </r>
  <r>
    <s v="ORD2300"/>
    <s v="10-02-2021"/>
    <s v="CUST693"/>
    <x v="2"/>
    <x v="3"/>
    <x v="1"/>
    <s v="Vikas"/>
    <n v="354"/>
    <n v="20"/>
    <n v="20"/>
    <x v="0"/>
    <n v="40"/>
    <x v="0"/>
    <n v="1"/>
    <n v="334"/>
    <x v="59"/>
    <x v="2"/>
    <n v="2"/>
  </r>
  <r>
    <s v="ORD2301"/>
    <s v="16-02-2021"/>
    <s v="CUST1004"/>
    <x v="4"/>
    <x v="14"/>
    <x v="0"/>
    <s v="Deepak"/>
    <n v="338"/>
    <n v="50"/>
    <n v="100"/>
    <x v="0"/>
    <n v="52"/>
    <x v="0"/>
    <n v="1"/>
    <n v="238"/>
    <x v="369"/>
    <x v="2"/>
    <n v="2"/>
  </r>
  <r>
    <s v="ORD2302"/>
    <s v="11-01-2021"/>
    <s v="CUST975"/>
    <x v="1"/>
    <x v="2"/>
    <x v="1"/>
    <s v="Arjun"/>
    <n v="378"/>
    <n v="20"/>
    <n v="0"/>
    <x v="1"/>
    <n v="54"/>
    <x v="0"/>
    <n v="1"/>
    <n v="378"/>
    <x v="232"/>
    <x v="1"/>
    <n v="1"/>
  </r>
  <r>
    <s v="ORD2303"/>
    <s v="11-02-2021"/>
    <s v="CUST814"/>
    <x v="1"/>
    <x v="2"/>
    <x v="1"/>
    <s v="Karan"/>
    <n v="300"/>
    <n v="50"/>
    <n v="100"/>
    <x v="1"/>
    <n v="57"/>
    <x v="0"/>
    <n v="1"/>
    <n v="200"/>
    <x v="117"/>
    <x v="2"/>
    <n v="2"/>
  </r>
  <r>
    <s v="ORD2304"/>
    <s v="17-01-2021"/>
    <s v="CUST975"/>
    <x v="3"/>
    <x v="4"/>
    <x v="2"/>
    <s v="Rahul"/>
    <n v="311"/>
    <n v="50"/>
    <n v="0"/>
    <x v="1"/>
    <n v="27"/>
    <x v="0"/>
    <n v="1"/>
    <n v="311"/>
    <x v="483"/>
    <x v="1"/>
    <n v="1"/>
  </r>
  <r>
    <s v="ORD2305"/>
    <s v="26-03-2021"/>
    <s v="CUST526"/>
    <x v="2"/>
    <x v="11"/>
    <x v="0"/>
    <s v="Deepak"/>
    <n v="378"/>
    <n v="20"/>
    <n v="100"/>
    <x v="2"/>
    <n v="34"/>
    <x v="0"/>
    <n v="1"/>
    <n v="278"/>
    <x v="315"/>
    <x v="0"/>
    <n v="3"/>
  </r>
  <r>
    <s v="ORD2306"/>
    <s v="26-01-2021"/>
    <s v="CUST813"/>
    <x v="2"/>
    <x v="6"/>
    <x v="2"/>
    <s v="Vikas"/>
    <n v="334"/>
    <n v="20"/>
    <n v="30"/>
    <x v="0"/>
    <n v="56"/>
    <x v="0"/>
    <n v="1"/>
    <n v="304"/>
    <x v="26"/>
    <x v="1"/>
    <n v="1"/>
  </r>
  <r>
    <s v="ORD2307"/>
    <s v="16-03-2021"/>
    <s v="CUST852"/>
    <x v="2"/>
    <x v="11"/>
    <x v="0"/>
    <s v="Suresh"/>
    <n v="423"/>
    <n v="50"/>
    <n v="100"/>
    <x v="2"/>
    <n v="20"/>
    <x v="0"/>
    <n v="1"/>
    <n v="323"/>
    <x v="471"/>
    <x v="0"/>
    <n v="3"/>
  </r>
  <r>
    <s v="ORD2308"/>
    <s v="23-01-2021"/>
    <s v="CUST1029"/>
    <x v="1"/>
    <x v="2"/>
    <x v="1"/>
    <s v="Manoj"/>
    <n v="618"/>
    <n v="40"/>
    <n v="20"/>
    <x v="1"/>
    <n v="32"/>
    <x v="0"/>
    <n v="1"/>
    <n v="598"/>
    <x v="171"/>
    <x v="1"/>
    <n v="1"/>
  </r>
  <r>
    <s v="ORD2309"/>
    <s v="12-01-2021"/>
    <s v="CUST1124"/>
    <x v="4"/>
    <x v="9"/>
    <x v="4"/>
    <s v="Rohit"/>
    <n v="453"/>
    <n v="50"/>
    <n v="20"/>
    <x v="1"/>
    <n v="48"/>
    <x v="0"/>
    <n v="1"/>
    <n v="433"/>
    <x v="247"/>
    <x v="1"/>
    <n v="1"/>
  </r>
  <r>
    <s v="ORD2310"/>
    <s v="16-02-2021"/>
    <s v="CUST590"/>
    <x v="2"/>
    <x v="11"/>
    <x v="0"/>
    <s v="Imran"/>
    <n v="249"/>
    <n v="50"/>
    <n v="30"/>
    <x v="2"/>
    <n v="23"/>
    <x v="0"/>
    <n v="1"/>
    <n v="219"/>
    <x v="584"/>
    <x v="2"/>
    <n v="2"/>
  </r>
  <r>
    <s v="ORD2311"/>
    <s v="12-01-2021"/>
    <s v="CUST1010"/>
    <x v="0"/>
    <x v="10"/>
    <x v="0"/>
    <s v="Arjun"/>
    <n v="610"/>
    <n v="20"/>
    <n v="30"/>
    <x v="0"/>
    <n v="58"/>
    <x v="0"/>
    <n v="1"/>
    <n v="580"/>
    <x v="585"/>
    <x v="1"/>
    <n v="1"/>
  </r>
  <r>
    <s v="ORD2312"/>
    <s v="24-01-2021"/>
    <s v="CUST1133"/>
    <x v="0"/>
    <x v="12"/>
    <x v="3"/>
    <s v="Karan"/>
    <n v="518"/>
    <n v="50"/>
    <n v="50"/>
    <x v="1"/>
    <n v="38"/>
    <x v="0"/>
    <n v="1"/>
    <n v="468"/>
    <x v="225"/>
    <x v="1"/>
    <n v="1"/>
  </r>
  <r>
    <s v="ORD2313"/>
    <s v="08-02-2021"/>
    <s v="CUST1176"/>
    <x v="2"/>
    <x v="3"/>
    <x v="1"/>
    <s v="Imran"/>
    <n v="582"/>
    <n v="30"/>
    <n v="20"/>
    <x v="0"/>
    <n v="40"/>
    <x v="0"/>
    <n v="1"/>
    <n v="562"/>
    <x v="300"/>
    <x v="2"/>
    <n v="2"/>
  </r>
  <r>
    <s v="ORD2314"/>
    <s v="24-03-2021"/>
    <s v="CUST512"/>
    <x v="1"/>
    <x v="1"/>
    <x v="1"/>
    <s v="Deepak"/>
    <n v="627"/>
    <n v="50"/>
    <n v="100"/>
    <x v="0"/>
    <n v="20"/>
    <x v="0"/>
    <n v="1"/>
    <n v="527"/>
    <x v="131"/>
    <x v="0"/>
    <n v="3"/>
  </r>
  <r>
    <s v="ORD2315"/>
    <s v="19-01-2021"/>
    <s v="CUST747"/>
    <x v="3"/>
    <x v="7"/>
    <x v="0"/>
    <s v="Manoj"/>
    <n v="189"/>
    <n v="50"/>
    <n v="50"/>
    <x v="2"/>
    <n v="57"/>
    <x v="0"/>
    <n v="1"/>
    <n v="139"/>
    <x v="173"/>
    <x v="1"/>
    <n v="1"/>
  </r>
  <r>
    <s v="ORD2316"/>
    <s v="20-02-2021"/>
    <s v="CUST711"/>
    <x v="0"/>
    <x v="12"/>
    <x v="3"/>
    <s v="Amit"/>
    <n v="459"/>
    <n v="30"/>
    <n v="20"/>
    <x v="1"/>
    <n v="27"/>
    <x v="1"/>
    <n v="1"/>
    <n v="439"/>
    <x v="517"/>
    <x v="2"/>
    <n v="2"/>
  </r>
  <r>
    <s v="ORD2317"/>
    <s v="07-03-2021"/>
    <s v="CUST1073"/>
    <x v="0"/>
    <x v="10"/>
    <x v="0"/>
    <s v="Karan"/>
    <n v="467"/>
    <n v="30"/>
    <n v="30"/>
    <x v="2"/>
    <n v="25"/>
    <x v="0"/>
    <n v="1"/>
    <n v="437"/>
    <x v="25"/>
    <x v="0"/>
    <n v="3"/>
  </r>
  <r>
    <s v="ORD2318"/>
    <s v="26-02-2021"/>
    <s v="CUST954"/>
    <x v="3"/>
    <x v="13"/>
    <x v="1"/>
    <s v="Amit"/>
    <n v="225"/>
    <n v="20"/>
    <n v="30"/>
    <x v="1"/>
    <n v="51"/>
    <x v="0"/>
    <n v="1"/>
    <n v="195"/>
    <x v="66"/>
    <x v="2"/>
    <n v="2"/>
  </r>
  <r>
    <s v="ORD2319"/>
    <s v="09-03-2021"/>
    <s v="CUST858"/>
    <x v="4"/>
    <x v="9"/>
    <x v="4"/>
    <s v="Karan"/>
    <n v="429"/>
    <n v="20"/>
    <n v="100"/>
    <x v="0"/>
    <n v="38"/>
    <x v="0"/>
    <n v="1"/>
    <n v="329"/>
    <x v="338"/>
    <x v="0"/>
    <n v="3"/>
  </r>
  <r>
    <s v="ORD2320"/>
    <s v="07-01-2021"/>
    <s v="CUST752"/>
    <x v="2"/>
    <x v="6"/>
    <x v="2"/>
    <s v="Suresh"/>
    <n v="620"/>
    <n v="40"/>
    <n v="50"/>
    <x v="0"/>
    <n v="31"/>
    <x v="0"/>
    <n v="1"/>
    <n v="570"/>
    <x v="394"/>
    <x v="1"/>
    <n v="1"/>
  </r>
  <r>
    <s v="ORD2321"/>
    <s v="04-01-2021"/>
    <s v="CUST823"/>
    <x v="4"/>
    <x v="14"/>
    <x v="0"/>
    <s v="Arjun"/>
    <n v="187"/>
    <n v="40"/>
    <n v="20"/>
    <x v="0"/>
    <n v="48"/>
    <x v="0"/>
    <n v="1"/>
    <n v="167"/>
    <x v="113"/>
    <x v="1"/>
    <n v="1"/>
  </r>
  <r>
    <s v="ORD2322"/>
    <s v="24-01-2021"/>
    <s v="CUST655"/>
    <x v="3"/>
    <x v="13"/>
    <x v="1"/>
    <s v="Amit"/>
    <n v="641"/>
    <n v="20"/>
    <n v="30"/>
    <x v="1"/>
    <n v="31"/>
    <x v="0"/>
    <n v="1"/>
    <n v="611"/>
    <x v="152"/>
    <x v="1"/>
    <n v="1"/>
  </r>
  <r>
    <s v="ORD2323"/>
    <s v="29-03-2021"/>
    <s v="CUST580"/>
    <x v="3"/>
    <x v="7"/>
    <x v="0"/>
    <s v="Manoj"/>
    <n v="696"/>
    <n v="20"/>
    <n v="50"/>
    <x v="2"/>
    <n v="50"/>
    <x v="0"/>
    <n v="1"/>
    <n v="646"/>
    <x v="119"/>
    <x v="0"/>
    <n v="3"/>
  </r>
  <r>
    <s v="ORD2324"/>
    <s v="12-03-2021"/>
    <s v="CUST958"/>
    <x v="4"/>
    <x v="5"/>
    <x v="3"/>
    <s v="Rahul"/>
    <n v="401"/>
    <n v="40"/>
    <n v="30"/>
    <x v="2"/>
    <n v="43"/>
    <x v="0"/>
    <n v="1"/>
    <n v="371"/>
    <x v="390"/>
    <x v="0"/>
    <n v="3"/>
  </r>
  <r>
    <s v="ORD2325"/>
    <s v="29-03-2021"/>
    <s v="CUST1136"/>
    <x v="4"/>
    <x v="5"/>
    <x v="3"/>
    <s v="Karan"/>
    <n v="270"/>
    <n v="40"/>
    <n v="100"/>
    <x v="2"/>
    <n v="60"/>
    <x v="0"/>
    <n v="1"/>
    <n v="170"/>
    <x v="513"/>
    <x v="0"/>
    <n v="3"/>
  </r>
  <r>
    <s v="ORD2326"/>
    <s v="15-01-2021"/>
    <s v="CUST617"/>
    <x v="3"/>
    <x v="13"/>
    <x v="1"/>
    <s v="Rahul"/>
    <n v="343"/>
    <n v="30"/>
    <n v="100"/>
    <x v="1"/>
    <n v="27"/>
    <x v="0"/>
    <n v="1"/>
    <n v="243"/>
    <x v="555"/>
    <x v="1"/>
    <n v="1"/>
  </r>
  <r>
    <s v="ORD2327"/>
    <s v="16-02-2021"/>
    <s v="CUST912"/>
    <x v="0"/>
    <x v="0"/>
    <x v="0"/>
    <s v="Rahul"/>
    <n v="392"/>
    <n v="40"/>
    <n v="30"/>
    <x v="1"/>
    <n v="29"/>
    <x v="0"/>
    <n v="1"/>
    <n v="362"/>
    <x v="514"/>
    <x v="2"/>
    <n v="2"/>
  </r>
  <r>
    <s v="ORD2328"/>
    <s v="28-02-2021"/>
    <s v="CUST1069"/>
    <x v="2"/>
    <x v="11"/>
    <x v="0"/>
    <s v="Karan"/>
    <n v="275"/>
    <n v="50"/>
    <n v="50"/>
    <x v="1"/>
    <n v="23"/>
    <x v="0"/>
    <n v="1"/>
    <n v="225"/>
    <x v="22"/>
    <x v="2"/>
    <n v="2"/>
  </r>
  <r>
    <s v="ORD2329"/>
    <s v="02-01-2021"/>
    <s v="CUST772"/>
    <x v="2"/>
    <x v="11"/>
    <x v="0"/>
    <s v="Deepak"/>
    <n v="503"/>
    <n v="20"/>
    <n v="100"/>
    <x v="0"/>
    <n v="48"/>
    <x v="0"/>
    <n v="1"/>
    <n v="403"/>
    <x v="586"/>
    <x v="1"/>
    <n v="1"/>
  </r>
  <r>
    <s v="ORD2330"/>
    <s v="27-03-2021"/>
    <s v="CUST686"/>
    <x v="1"/>
    <x v="8"/>
    <x v="2"/>
    <s v="Rahul"/>
    <n v="575"/>
    <n v="20"/>
    <n v="50"/>
    <x v="0"/>
    <n v="21"/>
    <x v="1"/>
    <n v="1"/>
    <n v="525"/>
    <x v="272"/>
    <x v="0"/>
    <n v="3"/>
  </r>
  <r>
    <s v="ORD2331"/>
    <s v="13-01-2021"/>
    <s v="CUST836"/>
    <x v="2"/>
    <x v="3"/>
    <x v="1"/>
    <s v="Suresh"/>
    <n v="472"/>
    <n v="20"/>
    <n v="0"/>
    <x v="2"/>
    <n v="58"/>
    <x v="0"/>
    <n v="1"/>
    <n v="472"/>
    <x v="158"/>
    <x v="1"/>
    <n v="1"/>
  </r>
  <r>
    <s v="ORD2332"/>
    <s v="14-03-2021"/>
    <s v="CUST1021"/>
    <x v="0"/>
    <x v="10"/>
    <x v="0"/>
    <s v="Imran"/>
    <n v="292"/>
    <n v="50"/>
    <n v="50"/>
    <x v="2"/>
    <n v="25"/>
    <x v="0"/>
    <n v="1"/>
    <n v="242"/>
    <x v="140"/>
    <x v="0"/>
    <n v="3"/>
  </r>
  <r>
    <s v="ORD2333"/>
    <s v="19-01-2021"/>
    <s v="CUST1168"/>
    <x v="0"/>
    <x v="10"/>
    <x v="0"/>
    <s v="Karan"/>
    <n v="526"/>
    <n v="30"/>
    <n v="50"/>
    <x v="1"/>
    <n v="26"/>
    <x v="1"/>
    <n v="1"/>
    <n v="476"/>
    <x v="64"/>
    <x v="1"/>
    <n v="1"/>
  </r>
  <r>
    <s v="ORD2334"/>
    <s v="03-02-2021"/>
    <s v="CUST876"/>
    <x v="1"/>
    <x v="8"/>
    <x v="2"/>
    <s v="Rohit"/>
    <n v="745"/>
    <n v="20"/>
    <n v="30"/>
    <x v="0"/>
    <n v="29"/>
    <x v="0"/>
    <n v="1"/>
    <n v="715"/>
    <x v="583"/>
    <x v="2"/>
    <n v="2"/>
  </r>
  <r>
    <s v="ORD2335"/>
    <s v="03-01-2021"/>
    <s v="CUST805"/>
    <x v="1"/>
    <x v="2"/>
    <x v="1"/>
    <s v="Amit"/>
    <n v="276"/>
    <n v="20"/>
    <n v="100"/>
    <x v="2"/>
    <n v="28"/>
    <x v="0"/>
    <n v="1"/>
    <n v="176"/>
    <x v="290"/>
    <x v="1"/>
    <n v="1"/>
  </r>
  <r>
    <s v="ORD2336"/>
    <s v="21-01-2021"/>
    <s v="CUST635"/>
    <x v="2"/>
    <x v="11"/>
    <x v="0"/>
    <s v="Deepak"/>
    <n v="246"/>
    <n v="50"/>
    <n v="100"/>
    <x v="1"/>
    <n v="24"/>
    <x v="0"/>
    <n v="1"/>
    <n v="146"/>
    <x v="290"/>
    <x v="1"/>
    <n v="1"/>
  </r>
  <r>
    <s v="ORD2337"/>
    <s v="30-01-2021"/>
    <s v="CUST779"/>
    <x v="2"/>
    <x v="6"/>
    <x v="2"/>
    <s v="Manoj"/>
    <n v="529"/>
    <n v="30"/>
    <n v="30"/>
    <x v="2"/>
    <n v="33"/>
    <x v="0"/>
    <n v="1"/>
    <n v="499"/>
    <x v="526"/>
    <x v="1"/>
    <n v="1"/>
  </r>
  <r>
    <s v="ORD2338"/>
    <s v="25-01-2021"/>
    <s v="CUST747"/>
    <x v="3"/>
    <x v="13"/>
    <x v="1"/>
    <s v="Vikas"/>
    <n v="426"/>
    <n v="40"/>
    <n v="20"/>
    <x v="1"/>
    <n v="32"/>
    <x v="0"/>
    <n v="1"/>
    <n v="406"/>
    <x v="587"/>
    <x v="1"/>
    <n v="1"/>
  </r>
  <r>
    <s v="ORD2339"/>
    <s v="07-03-2021"/>
    <s v="CUST1009"/>
    <x v="3"/>
    <x v="4"/>
    <x v="2"/>
    <s v="Arjun"/>
    <n v="611"/>
    <n v="30"/>
    <n v="0"/>
    <x v="1"/>
    <n v="43"/>
    <x v="0"/>
    <n v="1"/>
    <n v="611"/>
    <x v="196"/>
    <x v="0"/>
    <n v="3"/>
  </r>
  <r>
    <s v="ORD2340"/>
    <s v="20-03-2021"/>
    <s v="CUST507"/>
    <x v="0"/>
    <x v="10"/>
    <x v="0"/>
    <s v="Rohit"/>
    <n v="644"/>
    <n v="50"/>
    <n v="30"/>
    <x v="1"/>
    <n v="27"/>
    <x v="0"/>
    <n v="1"/>
    <n v="614"/>
    <x v="60"/>
    <x v="0"/>
    <n v="3"/>
  </r>
  <r>
    <s v="ORD2341"/>
    <s v="14-03-2021"/>
    <s v="CUST870"/>
    <x v="2"/>
    <x v="6"/>
    <x v="2"/>
    <s v="Karan"/>
    <n v="340"/>
    <n v="30"/>
    <n v="100"/>
    <x v="1"/>
    <n v="29"/>
    <x v="0"/>
    <n v="1"/>
    <n v="240"/>
    <x v="249"/>
    <x v="0"/>
    <n v="3"/>
  </r>
  <r>
    <s v="ORD2342"/>
    <s v="04-03-2021"/>
    <s v="CUST1131"/>
    <x v="4"/>
    <x v="14"/>
    <x v="0"/>
    <s v="Arjun"/>
    <n v="217"/>
    <n v="40"/>
    <n v="50"/>
    <x v="1"/>
    <n v="35"/>
    <x v="0"/>
    <n v="1"/>
    <n v="167"/>
    <x v="113"/>
    <x v="0"/>
    <n v="3"/>
  </r>
  <r>
    <s v="ORD2343"/>
    <s v="13-03-2021"/>
    <s v="CUST609"/>
    <x v="1"/>
    <x v="1"/>
    <x v="1"/>
    <s v="Deepak"/>
    <n v="290"/>
    <n v="20"/>
    <n v="30"/>
    <x v="2"/>
    <n v="49"/>
    <x v="1"/>
    <n v="1"/>
    <n v="260"/>
    <x v="203"/>
    <x v="0"/>
    <n v="3"/>
  </r>
  <r>
    <s v="ORD2344"/>
    <s v="03-02-2021"/>
    <s v="CUST1172"/>
    <x v="3"/>
    <x v="4"/>
    <x v="2"/>
    <s v="Rahul"/>
    <n v="309"/>
    <n v="20"/>
    <n v="20"/>
    <x v="1"/>
    <n v="53"/>
    <x v="0"/>
    <n v="1"/>
    <n v="289"/>
    <x v="382"/>
    <x v="2"/>
    <n v="2"/>
  </r>
  <r>
    <s v="ORD2345"/>
    <s v="13-02-2021"/>
    <s v="CUST940"/>
    <x v="4"/>
    <x v="9"/>
    <x v="4"/>
    <s v="Rohit"/>
    <n v="245"/>
    <n v="40"/>
    <n v="0"/>
    <x v="2"/>
    <n v="32"/>
    <x v="0"/>
    <n v="1"/>
    <n v="245"/>
    <x v="571"/>
    <x v="2"/>
    <n v="2"/>
  </r>
  <r>
    <s v="ORD2346"/>
    <s v="25-03-2021"/>
    <s v="CUST891"/>
    <x v="2"/>
    <x v="11"/>
    <x v="0"/>
    <s v="Deepak"/>
    <n v="390"/>
    <n v="40"/>
    <n v="0"/>
    <x v="1"/>
    <n v="33"/>
    <x v="0"/>
    <n v="1"/>
    <n v="390"/>
    <x v="100"/>
    <x v="0"/>
    <n v="3"/>
  </r>
  <r>
    <s v="ORD2347"/>
    <s v="06-01-2021"/>
    <s v="CUST1154"/>
    <x v="1"/>
    <x v="2"/>
    <x v="1"/>
    <s v="Amit"/>
    <n v="193"/>
    <n v="50"/>
    <n v="0"/>
    <x v="2"/>
    <n v="31"/>
    <x v="0"/>
    <n v="1"/>
    <n v="193"/>
    <x v="19"/>
    <x v="1"/>
    <n v="1"/>
  </r>
  <r>
    <s v="ORD2348"/>
    <s v="09-02-2021"/>
    <s v="CUST677"/>
    <x v="3"/>
    <x v="7"/>
    <x v="0"/>
    <s v="Imran"/>
    <n v="187"/>
    <n v="30"/>
    <n v="0"/>
    <x v="1"/>
    <n v="52"/>
    <x v="0"/>
    <n v="1"/>
    <n v="187"/>
    <x v="404"/>
    <x v="2"/>
    <n v="2"/>
  </r>
  <r>
    <s v="ORD2349"/>
    <s v="05-01-2021"/>
    <s v="CUST717"/>
    <x v="4"/>
    <x v="9"/>
    <x v="4"/>
    <s v="Manoj"/>
    <n v="201"/>
    <n v="30"/>
    <n v="30"/>
    <x v="1"/>
    <n v="55"/>
    <x v="0"/>
    <n v="1"/>
    <n v="171"/>
    <x v="330"/>
    <x v="1"/>
    <n v="1"/>
  </r>
  <r>
    <s v="ORD2350"/>
    <s v="28-02-2021"/>
    <s v="CUST541"/>
    <x v="4"/>
    <x v="14"/>
    <x v="0"/>
    <s v="Rohit"/>
    <n v="787"/>
    <n v="50"/>
    <n v="20"/>
    <x v="0"/>
    <n v="31"/>
    <x v="0"/>
    <n v="1"/>
    <n v="767"/>
    <x v="588"/>
    <x v="2"/>
    <n v="2"/>
  </r>
  <r>
    <s v="ORD2351"/>
    <s v="18-03-2021"/>
    <s v="CUST1027"/>
    <x v="4"/>
    <x v="5"/>
    <x v="3"/>
    <s v="Suresh"/>
    <n v="479"/>
    <n v="50"/>
    <n v="50"/>
    <x v="1"/>
    <n v="32"/>
    <x v="0"/>
    <n v="1"/>
    <n v="429"/>
    <x v="292"/>
    <x v="0"/>
    <n v="3"/>
  </r>
  <r>
    <s v="ORD2352"/>
    <s v="30-03-2021"/>
    <s v="CUST792"/>
    <x v="2"/>
    <x v="3"/>
    <x v="1"/>
    <s v="Imran"/>
    <n v="332"/>
    <n v="20"/>
    <n v="0"/>
    <x v="2"/>
    <n v="54"/>
    <x v="0"/>
    <n v="1"/>
    <n v="332"/>
    <x v="498"/>
    <x v="0"/>
    <n v="3"/>
  </r>
  <r>
    <s v="ORD2353"/>
    <s v="08-02-2021"/>
    <s v="CUST580"/>
    <x v="1"/>
    <x v="8"/>
    <x v="2"/>
    <s v="Rohit"/>
    <n v="486"/>
    <n v="50"/>
    <n v="50"/>
    <x v="2"/>
    <n v="54"/>
    <x v="0"/>
    <n v="1"/>
    <n v="436"/>
    <x v="218"/>
    <x v="2"/>
    <n v="2"/>
  </r>
  <r>
    <s v="ORD2354"/>
    <s v="25-02-2021"/>
    <s v="CUST860"/>
    <x v="3"/>
    <x v="4"/>
    <x v="2"/>
    <s v="Karan"/>
    <n v="391"/>
    <n v="40"/>
    <n v="50"/>
    <x v="1"/>
    <n v="36"/>
    <x v="0"/>
    <n v="1"/>
    <n v="341"/>
    <x v="204"/>
    <x v="2"/>
    <n v="2"/>
  </r>
  <r>
    <s v="ORD2355"/>
    <s v="21-01-2021"/>
    <s v="CUST860"/>
    <x v="1"/>
    <x v="8"/>
    <x v="2"/>
    <s v="Suresh"/>
    <n v="701"/>
    <n v="20"/>
    <n v="0"/>
    <x v="2"/>
    <n v="23"/>
    <x v="0"/>
    <n v="1"/>
    <n v="701"/>
    <x v="372"/>
    <x v="1"/>
    <n v="1"/>
  </r>
  <r>
    <s v="ORD2356"/>
    <s v="05-02-2021"/>
    <s v="CUST780"/>
    <x v="2"/>
    <x v="11"/>
    <x v="0"/>
    <s v="Amit"/>
    <n v="174"/>
    <n v="20"/>
    <n v="30"/>
    <x v="0"/>
    <n v="48"/>
    <x v="0"/>
    <n v="1"/>
    <n v="144"/>
    <x v="589"/>
    <x v="2"/>
    <n v="2"/>
  </r>
  <r>
    <s v="ORD2357"/>
    <s v="16-03-2021"/>
    <s v="CUST1078"/>
    <x v="4"/>
    <x v="14"/>
    <x v="0"/>
    <s v="Deepak"/>
    <n v="779"/>
    <n v="40"/>
    <n v="0"/>
    <x v="0"/>
    <n v="33"/>
    <x v="0"/>
    <n v="1"/>
    <n v="779"/>
    <x v="427"/>
    <x v="0"/>
    <n v="3"/>
  </r>
  <r>
    <s v="ORD2358"/>
    <s v="10-01-2021"/>
    <s v="CUST1132"/>
    <x v="3"/>
    <x v="7"/>
    <x v="0"/>
    <s v="Rohit"/>
    <n v="458"/>
    <n v="40"/>
    <n v="0"/>
    <x v="1"/>
    <n v="35"/>
    <x v="0"/>
    <n v="1"/>
    <n v="458"/>
    <x v="283"/>
    <x v="1"/>
    <n v="1"/>
  </r>
  <r>
    <s v="ORD2359"/>
    <s v="24-03-2021"/>
    <s v="CUST1034"/>
    <x v="1"/>
    <x v="1"/>
    <x v="1"/>
    <s v="Amit"/>
    <n v="219"/>
    <n v="40"/>
    <n v="30"/>
    <x v="1"/>
    <n v="36"/>
    <x v="0"/>
    <n v="1"/>
    <n v="189"/>
    <x v="590"/>
    <x v="0"/>
    <n v="3"/>
  </r>
  <r>
    <s v="ORD2360"/>
    <s v="14-02-2021"/>
    <s v="CUST704"/>
    <x v="0"/>
    <x v="10"/>
    <x v="0"/>
    <s v="Rahul"/>
    <n v="661"/>
    <n v="40"/>
    <n v="30"/>
    <x v="1"/>
    <n v="21"/>
    <x v="0"/>
    <n v="1"/>
    <n v="631"/>
    <x v="349"/>
    <x v="2"/>
    <n v="2"/>
  </r>
  <r>
    <s v="ORD2361"/>
    <s v="05-01-2021"/>
    <s v="CUST1028"/>
    <x v="2"/>
    <x v="6"/>
    <x v="2"/>
    <s v="Imran"/>
    <n v="695"/>
    <n v="50"/>
    <n v="50"/>
    <x v="0"/>
    <n v="53"/>
    <x v="0"/>
    <n v="1"/>
    <n v="645"/>
    <x v="386"/>
    <x v="1"/>
    <n v="1"/>
  </r>
  <r>
    <s v="ORD2362"/>
    <s v="01-02-2021"/>
    <s v="CUST710"/>
    <x v="4"/>
    <x v="9"/>
    <x v="4"/>
    <s v="Amit"/>
    <n v="407"/>
    <n v="50"/>
    <n v="30"/>
    <x v="0"/>
    <n v="36"/>
    <x v="0"/>
    <n v="1"/>
    <n v="377"/>
    <x v="503"/>
    <x v="2"/>
    <n v="2"/>
  </r>
  <r>
    <s v="ORD2363"/>
    <s v="27-02-2021"/>
    <s v="CUST1178"/>
    <x v="2"/>
    <x v="11"/>
    <x v="0"/>
    <s v="Arjun"/>
    <n v="301"/>
    <n v="40"/>
    <n v="50"/>
    <x v="2"/>
    <n v="44"/>
    <x v="0"/>
    <n v="1"/>
    <n v="251"/>
    <x v="591"/>
    <x v="2"/>
    <n v="2"/>
  </r>
  <r>
    <s v="ORD2364"/>
    <s v="17-03-2021"/>
    <s v="CUST752"/>
    <x v="1"/>
    <x v="1"/>
    <x v="1"/>
    <s v="Deepak"/>
    <n v="196"/>
    <n v="40"/>
    <n v="30"/>
    <x v="0"/>
    <n v="26"/>
    <x v="0"/>
    <n v="1"/>
    <n v="166"/>
    <x v="161"/>
    <x v="0"/>
    <n v="3"/>
  </r>
  <r>
    <s v="ORD2365"/>
    <s v="07-01-2021"/>
    <s v="CUST1191"/>
    <x v="1"/>
    <x v="2"/>
    <x v="1"/>
    <s v="Imran"/>
    <n v="278"/>
    <n v="50"/>
    <n v="30"/>
    <x v="2"/>
    <n v="49"/>
    <x v="0"/>
    <n v="1"/>
    <n v="248"/>
    <x v="315"/>
    <x v="1"/>
    <n v="1"/>
  </r>
  <r>
    <s v="ORD2366"/>
    <s v="27-01-2021"/>
    <s v="CUST580"/>
    <x v="1"/>
    <x v="2"/>
    <x v="1"/>
    <s v="Vikas"/>
    <n v="268"/>
    <n v="50"/>
    <n v="50"/>
    <x v="1"/>
    <n v="46"/>
    <x v="0"/>
    <n v="1"/>
    <n v="218"/>
    <x v="592"/>
    <x v="1"/>
    <n v="1"/>
  </r>
  <r>
    <s v="ORD2367"/>
    <s v="15-01-2021"/>
    <s v="CUST805"/>
    <x v="1"/>
    <x v="2"/>
    <x v="1"/>
    <s v="Manoj"/>
    <n v="314"/>
    <n v="30"/>
    <n v="30"/>
    <x v="1"/>
    <n v="31"/>
    <x v="0"/>
    <n v="1"/>
    <n v="284"/>
    <x v="528"/>
    <x v="1"/>
    <n v="1"/>
  </r>
  <r>
    <s v="ORD2368"/>
    <s v="21-03-2021"/>
    <s v="CUST566"/>
    <x v="3"/>
    <x v="7"/>
    <x v="0"/>
    <s v="Rohit"/>
    <n v="260"/>
    <n v="40"/>
    <n v="20"/>
    <x v="1"/>
    <n v="45"/>
    <x v="1"/>
    <n v="1"/>
    <n v="240"/>
    <x v="203"/>
    <x v="0"/>
    <n v="3"/>
  </r>
  <r>
    <s v="ORD2369"/>
    <s v="03-01-2021"/>
    <s v="CUST784"/>
    <x v="0"/>
    <x v="0"/>
    <x v="0"/>
    <s v="Imran"/>
    <n v="496"/>
    <n v="40"/>
    <n v="100"/>
    <x v="2"/>
    <n v="38"/>
    <x v="0"/>
    <n v="1"/>
    <n v="396"/>
    <x v="593"/>
    <x v="1"/>
    <n v="1"/>
  </r>
  <r>
    <s v="ORD2370"/>
    <s v="06-03-2021"/>
    <s v="CUST827"/>
    <x v="1"/>
    <x v="1"/>
    <x v="1"/>
    <s v="Amit"/>
    <n v="151"/>
    <n v="20"/>
    <n v="50"/>
    <x v="0"/>
    <n v="31"/>
    <x v="0"/>
    <n v="1"/>
    <n v="101"/>
    <x v="594"/>
    <x v="0"/>
    <n v="3"/>
  </r>
  <r>
    <s v="ORD2371"/>
    <s v="24-02-2021"/>
    <s v="CUST868"/>
    <x v="3"/>
    <x v="4"/>
    <x v="2"/>
    <s v="Arjun"/>
    <n v="518"/>
    <n v="40"/>
    <n v="0"/>
    <x v="0"/>
    <n v="22"/>
    <x v="0"/>
    <n v="1"/>
    <n v="518"/>
    <x v="344"/>
    <x v="2"/>
    <n v="2"/>
  </r>
  <r>
    <s v="ORD2372"/>
    <s v="28-02-2021"/>
    <s v="CUST899"/>
    <x v="4"/>
    <x v="9"/>
    <x v="4"/>
    <s v="Suresh"/>
    <n v="544"/>
    <n v="50"/>
    <n v="50"/>
    <x v="0"/>
    <n v="56"/>
    <x v="0"/>
    <n v="1"/>
    <n v="494"/>
    <x v="177"/>
    <x v="2"/>
    <n v="2"/>
  </r>
  <r>
    <s v="ORD2373"/>
    <s v="22-01-2021"/>
    <s v="CUST705"/>
    <x v="2"/>
    <x v="3"/>
    <x v="1"/>
    <s v="Manoj"/>
    <n v="221"/>
    <n v="50"/>
    <n v="100"/>
    <x v="2"/>
    <n v="21"/>
    <x v="0"/>
    <n v="1"/>
    <n v="121"/>
    <x v="595"/>
    <x v="1"/>
    <n v="1"/>
  </r>
  <r>
    <s v="ORD2374"/>
    <s v="04-01-2021"/>
    <s v="CUST1191"/>
    <x v="2"/>
    <x v="6"/>
    <x v="2"/>
    <s v="Arjun"/>
    <n v="442"/>
    <n v="50"/>
    <n v="30"/>
    <x v="1"/>
    <n v="54"/>
    <x v="0"/>
    <n v="1"/>
    <n v="412"/>
    <x v="596"/>
    <x v="1"/>
    <n v="1"/>
  </r>
  <r>
    <s v="ORD2375"/>
    <s v="10-01-2021"/>
    <s v="CUST1118"/>
    <x v="1"/>
    <x v="2"/>
    <x v="1"/>
    <s v="Rahul"/>
    <n v="355"/>
    <n v="50"/>
    <n v="20"/>
    <x v="1"/>
    <n v="25"/>
    <x v="1"/>
    <n v="1"/>
    <n v="335"/>
    <x v="597"/>
    <x v="1"/>
    <n v="1"/>
  </r>
  <r>
    <s v="ORD2376"/>
    <s v="07-01-2021"/>
    <s v="CUST763"/>
    <x v="1"/>
    <x v="8"/>
    <x v="2"/>
    <s v="Vikas"/>
    <n v="297"/>
    <n v="50"/>
    <n v="20"/>
    <x v="0"/>
    <n v="41"/>
    <x v="1"/>
    <n v="1"/>
    <n v="277"/>
    <x v="209"/>
    <x v="1"/>
    <n v="1"/>
  </r>
  <r>
    <s v="ORD2377"/>
    <s v="03-03-2021"/>
    <s v="CUST1131"/>
    <x v="3"/>
    <x v="7"/>
    <x v="0"/>
    <s v="Karan"/>
    <n v="280"/>
    <n v="40"/>
    <n v="30"/>
    <x v="0"/>
    <n v="52"/>
    <x v="0"/>
    <n v="1"/>
    <n v="250"/>
    <x v="598"/>
    <x v="0"/>
    <n v="3"/>
  </r>
  <r>
    <s v="ORD2378"/>
    <s v="16-01-2021"/>
    <s v="CUST927"/>
    <x v="1"/>
    <x v="8"/>
    <x v="2"/>
    <s v="Karan"/>
    <n v="363"/>
    <n v="30"/>
    <n v="50"/>
    <x v="0"/>
    <n v="30"/>
    <x v="0"/>
    <n v="1"/>
    <n v="313"/>
    <x v="246"/>
    <x v="1"/>
    <n v="1"/>
  </r>
  <r>
    <s v="ORD2379"/>
    <s v="05-01-2021"/>
    <s v="CUST1122"/>
    <x v="4"/>
    <x v="5"/>
    <x v="3"/>
    <s v="Vikas"/>
    <n v="316"/>
    <n v="40"/>
    <n v="0"/>
    <x v="2"/>
    <n v="36"/>
    <x v="0"/>
    <n v="1"/>
    <n v="316"/>
    <x v="224"/>
    <x v="1"/>
    <n v="1"/>
  </r>
  <r>
    <s v="ORD2380"/>
    <s v="29-03-2021"/>
    <s v="CUST1009"/>
    <x v="4"/>
    <x v="9"/>
    <x v="4"/>
    <s v="Imran"/>
    <n v="507"/>
    <n v="40"/>
    <n v="50"/>
    <x v="2"/>
    <n v="53"/>
    <x v="0"/>
    <n v="1"/>
    <n v="457"/>
    <x v="201"/>
    <x v="0"/>
    <n v="3"/>
  </r>
  <r>
    <s v="ORD2381"/>
    <s v="13-02-2021"/>
    <s v="CUST972"/>
    <x v="2"/>
    <x v="3"/>
    <x v="1"/>
    <s v="Vikas"/>
    <n v="318"/>
    <n v="50"/>
    <n v="30"/>
    <x v="1"/>
    <n v="25"/>
    <x v="0"/>
    <n v="1"/>
    <n v="288"/>
    <x v="361"/>
    <x v="2"/>
    <n v="2"/>
  </r>
  <r>
    <s v="ORD2382"/>
    <s v="23-02-2021"/>
    <s v="CUST891"/>
    <x v="1"/>
    <x v="1"/>
    <x v="1"/>
    <s v="Vikas"/>
    <n v="434"/>
    <n v="50"/>
    <n v="0"/>
    <x v="2"/>
    <n v="23"/>
    <x v="1"/>
    <n v="1"/>
    <n v="434"/>
    <x v="599"/>
    <x v="2"/>
    <n v="2"/>
  </r>
  <r>
    <s v="ORD2383"/>
    <s v="03-03-2021"/>
    <s v="CUST597"/>
    <x v="0"/>
    <x v="10"/>
    <x v="0"/>
    <s v="Imran"/>
    <n v="277"/>
    <n v="50"/>
    <n v="0"/>
    <x v="0"/>
    <n v="51"/>
    <x v="0"/>
    <n v="1"/>
    <n v="277"/>
    <x v="209"/>
    <x v="0"/>
    <n v="3"/>
  </r>
  <r>
    <s v="ORD2384"/>
    <s v="14-03-2021"/>
    <s v="CUST568"/>
    <x v="1"/>
    <x v="1"/>
    <x v="1"/>
    <s v="Rahul"/>
    <n v="490"/>
    <n v="50"/>
    <n v="100"/>
    <x v="0"/>
    <n v="32"/>
    <x v="0"/>
    <n v="1"/>
    <n v="390"/>
    <x v="190"/>
    <x v="0"/>
    <n v="3"/>
  </r>
  <r>
    <s v="ORD2385"/>
    <s v="15-01-2021"/>
    <s v="CUST1190"/>
    <x v="2"/>
    <x v="3"/>
    <x v="1"/>
    <s v="Vikas"/>
    <n v="173"/>
    <n v="20"/>
    <n v="50"/>
    <x v="1"/>
    <n v="26"/>
    <x v="0"/>
    <n v="1"/>
    <n v="123"/>
    <x v="397"/>
    <x v="1"/>
    <n v="1"/>
  </r>
  <r>
    <s v="ORD2386"/>
    <s v="11-03-2021"/>
    <s v="CUST733"/>
    <x v="4"/>
    <x v="9"/>
    <x v="4"/>
    <s v="Karan"/>
    <n v="580"/>
    <n v="20"/>
    <n v="20"/>
    <x v="0"/>
    <n v="20"/>
    <x v="0"/>
    <n v="1"/>
    <n v="560"/>
    <x v="194"/>
    <x v="0"/>
    <n v="3"/>
  </r>
  <r>
    <s v="ORD2387"/>
    <s v="30-03-2021"/>
    <s v="CUST778"/>
    <x v="0"/>
    <x v="12"/>
    <x v="3"/>
    <s v="Vikas"/>
    <n v="725"/>
    <n v="50"/>
    <n v="20"/>
    <x v="1"/>
    <n v="50"/>
    <x v="1"/>
    <n v="1"/>
    <n v="705"/>
    <x v="450"/>
    <x v="0"/>
    <n v="3"/>
  </r>
  <r>
    <s v="ORD2388"/>
    <s v="21-01-2021"/>
    <s v="CUST1164"/>
    <x v="0"/>
    <x v="12"/>
    <x v="3"/>
    <s v="Arjun"/>
    <n v="214"/>
    <n v="20"/>
    <n v="0"/>
    <x v="2"/>
    <n v="49"/>
    <x v="0"/>
    <n v="1"/>
    <n v="214"/>
    <x v="600"/>
    <x v="1"/>
    <n v="1"/>
  </r>
  <r>
    <s v="ORD2389"/>
    <s v="10-01-2021"/>
    <s v="CUST662"/>
    <x v="0"/>
    <x v="0"/>
    <x v="0"/>
    <s v="Amit"/>
    <n v="650"/>
    <n v="30"/>
    <n v="100"/>
    <x v="2"/>
    <n v="53"/>
    <x v="0"/>
    <n v="1"/>
    <n v="550"/>
    <x v="194"/>
    <x v="1"/>
    <n v="1"/>
  </r>
  <r>
    <s v="ORD2390"/>
    <s v="17-01-2021"/>
    <s v="CUST531"/>
    <x v="4"/>
    <x v="5"/>
    <x v="3"/>
    <s v="Deepak"/>
    <n v="274"/>
    <n v="50"/>
    <n v="100"/>
    <x v="2"/>
    <n v="57"/>
    <x v="0"/>
    <n v="1"/>
    <n v="174"/>
    <x v="601"/>
    <x v="1"/>
    <n v="1"/>
  </r>
  <r>
    <s v="ORD2391"/>
    <s v="21-03-2021"/>
    <s v="CUST936"/>
    <x v="1"/>
    <x v="8"/>
    <x v="2"/>
    <s v="Deepak"/>
    <n v="659"/>
    <n v="40"/>
    <n v="20"/>
    <x v="1"/>
    <n v="33"/>
    <x v="0"/>
    <n v="1"/>
    <n v="639"/>
    <x v="602"/>
    <x v="0"/>
    <n v="3"/>
  </r>
  <r>
    <s v="ORD2392"/>
    <s v="02-02-2021"/>
    <s v="CUST1174"/>
    <x v="4"/>
    <x v="14"/>
    <x v="0"/>
    <s v="Deepak"/>
    <n v="303"/>
    <n v="30"/>
    <n v="0"/>
    <x v="1"/>
    <n v="57"/>
    <x v="0"/>
    <n v="1"/>
    <n v="303"/>
    <x v="603"/>
    <x v="2"/>
    <n v="2"/>
  </r>
  <r>
    <s v="ORD2393"/>
    <s v="29-03-2021"/>
    <s v="CUST638"/>
    <x v="0"/>
    <x v="10"/>
    <x v="0"/>
    <s v="Rahul"/>
    <n v="750"/>
    <n v="20"/>
    <n v="0"/>
    <x v="0"/>
    <n v="43"/>
    <x v="1"/>
    <n v="1"/>
    <n v="750"/>
    <x v="604"/>
    <x v="0"/>
    <n v="3"/>
  </r>
  <r>
    <s v="ORD2394"/>
    <s v="18-03-2021"/>
    <s v="CUST654"/>
    <x v="4"/>
    <x v="9"/>
    <x v="4"/>
    <s v="Karan"/>
    <n v="703"/>
    <n v="50"/>
    <n v="0"/>
    <x v="0"/>
    <n v="59"/>
    <x v="0"/>
    <n v="1"/>
    <n v="703"/>
    <x v="605"/>
    <x v="0"/>
    <n v="3"/>
  </r>
  <r>
    <s v="ORD2395"/>
    <s v="01-01-2021"/>
    <s v="CUST852"/>
    <x v="2"/>
    <x v="11"/>
    <x v="0"/>
    <s v="Imran"/>
    <n v="263"/>
    <n v="20"/>
    <n v="30"/>
    <x v="2"/>
    <n v="46"/>
    <x v="0"/>
    <n v="1"/>
    <n v="233"/>
    <x v="83"/>
    <x v="1"/>
    <n v="1"/>
  </r>
  <r>
    <s v="ORD2396"/>
    <s v="02-03-2021"/>
    <s v="CUST565"/>
    <x v="0"/>
    <x v="12"/>
    <x v="3"/>
    <s v="Arjun"/>
    <n v="719"/>
    <n v="50"/>
    <n v="0"/>
    <x v="1"/>
    <n v="39"/>
    <x v="0"/>
    <n v="1"/>
    <n v="719"/>
    <x v="126"/>
    <x v="0"/>
    <n v="3"/>
  </r>
  <r>
    <s v="ORD2397"/>
    <s v="23-02-2021"/>
    <s v="CUST922"/>
    <x v="2"/>
    <x v="11"/>
    <x v="0"/>
    <s v="Manoj"/>
    <n v="715"/>
    <n v="40"/>
    <n v="20"/>
    <x v="0"/>
    <n v="26"/>
    <x v="0"/>
    <n v="1"/>
    <n v="695"/>
    <x v="583"/>
    <x v="2"/>
    <n v="2"/>
  </r>
  <r>
    <s v="ORD2398"/>
    <s v="18-03-2021"/>
    <s v="CUST613"/>
    <x v="4"/>
    <x v="5"/>
    <x v="3"/>
    <s v="Vikas"/>
    <n v="489"/>
    <n v="50"/>
    <n v="50"/>
    <x v="2"/>
    <n v="58"/>
    <x v="0"/>
    <n v="1"/>
    <n v="439"/>
    <x v="334"/>
    <x v="0"/>
    <n v="3"/>
  </r>
  <r>
    <s v="ORD2399"/>
    <s v="08-02-2021"/>
    <s v="CUST550"/>
    <x v="0"/>
    <x v="12"/>
    <x v="3"/>
    <s v="Amit"/>
    <n v="331"/>
    <n v="50"/>
    <n v="20"/>
    <x v="2"/>
    <n v="29"/>
    <x v="0"/>
    <n v="1"/>
    <n v="311"/>
    <x v="483"/>
    <x v="2"/>
    <n v="2"/>
  </r>
  <r>
    <s v="ORD2400"/>
    <s v="28-01-2021"/>
    <s v="CUST975"/>
    <x v="0"/>
    <x v="0"/>
    <x v="0"/>
    <s v="Imran"/>
    <n v="477"/>
    <n v="50"/>
    <n v="20"/>
    <x v="1"/>
    <n v="58"/>
    <x v="0"/>
    <n v="1"/>
    <n v="457"/>
    <x v="146"/>
    <x v="1"/>
    <n v="1"/>
  </r>
  <r>
    <s v="ORD2401"/>
    <s v="02-03-2021"/>
    <s v="CUST944"/>
    <x v="1"/>
    <x v="2"/>
    <x v="1"/>
    <s v="Vikas"/>
    <n v="413"/>
    <n v="50"/>
    <n v="30"/>
    <x v="2"/>
    <n v="29"/>
    <x v="0"/>
    <n v="1"/>
    <n v="383"/>
    <x v="475"/>
    <x v="0"/>
    <n v="3"/>
  </r>
  <r>
    <s v="ORD2402"/>
    <s v="12-02-2021"/>
    <s v="CUST1065"/>
    <x v="2"/>
    <x v="11"/>
    <x v="0"/>
    <s v="Rahul"/>
    <n v="327"/>
    <n v="30"/>
    <n v="30"/>
    <x v="1"/>
    <n v="56"/>
    <x v="0"/>
    <n v="1"/>
    <n v="297"/>
    <x v="209"/>
    <x v="2"/>
    <n v="2"/>
  </r>
  <r>
    <s v="ORD2403"/>
    <s v="19-03-2021"/>
    <s v="CUST1054"/>
    <x v="4"/>
    <x v="5"/>
    <x v="3"/>
    <s v="Manoj"/>
    <n v="177"/>
    <n v="40"/>
    <n v="0"/>
    <x v="1"/>
    <n v="45"/>
    <x v="0"/>
    <n v="1"/>
    <n v="177"/>
    <x v="404"/>
    <x v="0"/>
    <n v="3"/>
  </r>
  <r>
    <s v="ORD2404"/>
    <s v="15-02-2021"/>
    <s v="CUST668"/>
    <x v="2"/>
    <x v="11"/>
    <x v="0"/>
    <s v="Suresh"/>
    <n v="335"/>
    <n v="20"/>
    <n v="30"/>
    <x v="0"/>
    <n v="37"/>
    <x v="0"/>
    <n v="1"/>
    <n v="305"/>
    <x v="226"/>
    <x v="2"/>
    <n v="2"/>
  </r>
  <r>
    <s v="ORD2405"/>
    <s v="19-03-2021"/>
    <s v="CUST589"/>
    <x v="1"/>
    <x v="2"/>
    <x v="1"/>
    <s v="Suresh"/>
    <n v="664"/>
    <n v="30"/>
    <n v="30"/>
    <x v="0"/>
    <n v="55"/>
    <x v="1"/>
    <n v="1"/>
    <n v="634"/>
    <x v="60"/>
    <x v="0"/>
    <n v="3"/>
  </r>
  <r>
    <s v="ORD2406"/>
    <s v="23-01-2021"/>
    <s v="CUST679"/>
    <x v="1"/>
    <x v="1"/>
    <x v="1"/>
    <s v="Suresh"/>
    <n v="235"/>
    <n v="30"/>
    <n v="0"/>
    <x v="2"/>
    <n v="36"/>
    <x v="0"/>
    <n v="1"/>
    <n v="235"/>
    <x v="275"/>
    <x v="1"/>
    <n v="1"/>
  </r>
  <r>
    <s v="ORD2407"/>
    <s v="05-02-2021"/>
    <s v="CUST878"/>
    <x v="0"/>
    <x v="10"/>
    <x v="0"/>
    <s v="Rahul"/>
    <n v="612"/>
    <n v="50"/>
    <n v="50"/>
    <x v="1"/>
    <n v="33"/>
    <x v="0"/>
    <n v="1"/>
    <n v="562"/>
    <x v="464"/>
    <x v="2"/>
    <n v="2"/>
  </r>
  <r>
    <s v="ORD2408"/>
    <s v="07-02-2021"/>
    <s v="CUST563"/>
    <x v="0"/>
    <x v="10"/>
    <x v="0"/>
    <s v="Rahul"/>
    <n v="470"/>
    <n v="50"/>
    <n v="30"/>
    <x v="2"/>
    <n v="48"/>
    <x v="0"/>
    <n v="1"/>
    <n v="440"/>
    <x v="243"/>
    <x v="2"/>
    <n v="2"/>
  </r>
  <r>
    <s v="ORD2409"/>
    <s v="20-02-2021"/>
    <s v="CUST787"/>
    <x v="2"/>
    <x v="11"/>
    <x v="0"/>
    <s v="Deepak"/>
    <n v="663"/>
    <n v="50"/>
    <n v="50"/>
    <x v="1"/>
    <n v="22"/>
    <x v="0"/>
    <n v="1"/>
    <n v="613"/>
    <x v="434"/>
    <x v="2"/>
    <n v="2"/>
  </r>
  <r>
    <s v="ORD2410"/>
    <s v="13-03-2021"/>
    <s v="CUST998"/>
    <x v="2"/>
    <x v="11"/>
    <x v="0"/>
    <s v="Manoj"/>
    <n v="292"/>
    <n v="20"/>
    <n v="30"/>
    <x v="1"/>
    <n v="35"/>
    <x v="0"/>
    <n v="1"/>
    <n v="262"/>
    <x v="121"/>
    <x v="0"/>
    <n v="3"/>
  </r>
  <r>
    <s v="ORD2411"/>
    <s v="02-01-2021"/>
    <s v="CUST567"/>
    <x v="0"/>
    <x v="10"/>
    <x v="0"/>
    <s v="Manoj"/>
    <n v="257"/>
    <n v="30"/>
    <n v="100"/>
    <x v="2"/>
    <n v="53"/>
    <x v="0"/>
    <n v="1"/>
    <n v="157"/>
    <x v="97"/>
    <x v="1"/>
    <n v="1"/>
  </r>
  <r>
    <s v="ORD2412"/>
    <s v="28-01-2021"/>
    <s v="CUST906"/>
    <x v="4"/>
    <x v="5"/>
    <x v="3"/>
    <s v="Amit"/>
    <n v="688"/>
    <n v="40"/>
    <n v="20"/>
    <x v="0"/>
    <n v="27"/>
    <x v="0"/>
    <n v="1"/>
    <n v="668"/>
    <x v="29"/>
    <x v="1"/>
    <n v="1"/>
  </r>
  <r>
    <s v="ORD2413"/>
    <s v="05-01-2021"/>
    <s v="CUST1193"/>
    <x v="4"/>
    <x v="14"/>
    <x v="0"/>
    <s v="Amit"/>
    <n v="256"/>
    <n v="50"/>
    <n v="30"/>
    <x v="2"/>
    <n v="35"/>
    <x v="0"/>
    <n v="1"/>
    <n v="226"/>
    <x v="155"/>
    <x v="1"/>
    <n v="1"/>
  </r>
  <r>
    <s v="ORD2414"/>
    <s v="21-03-2021"/>
    <s v="CUST932"/>
    <x v="1"/>
    <x v="2"/>
    <x v="1"/>
    <s v="Imran"/>
    <n v="215"/>
    <n v="30"/>
    <n v="30"/>
    <x v="2"/>
    <n v="20"/>
    <x v="0"/>
    <n v="1"/>
    <n v="185"/>
    <x v="66"/>
    <x v="0"/>
    <n v="3"/>
  </r>
  <r>
    <s v="ORD2415"/>
    <s v="26-02-2021"/>
    <s v="CUST738"/>
    <x v="1"/>
    <x v="2"/>
    <x v="1"/>
    <s v="Rohit"/>
    <n v="671"/>
    <n v="40"/>
    <n v="50"/>
    <x v="1"/>
    <n v="32"/>
    <x v="0"/>
    <n v="1"/>
    <n v="621"/>
    <x v="40"/>
    <x v="2"/>
    <n v="2"/>
  </r>
  <r>
    <s v="ORD2416"/>
    <s v="09-02-2021"/>
    <s v="CUST815"/>
    <x v="3"/>
    <x v="4"/>
    <x v="2"/>
    <s v="Rahul"/>
    <n v="520"/>
    <n v="50"/>
    <n v="20"/>
    <x v="2"/>
    <n v="35"/>
    <x v="0"/>
    <n v="1"/>
    <n v="500"/>
    <x v="606"/>
    <x v="2"/>
    <n v="2"/>
  </r>
  <r>
    <s v="ORD2417"/>
    <s v="07-01-2021"/>
    <s v="CUST920"/>
    <x v="4"/>
    <x v="9"/>
    <x v="4"/>
    <s v="Manoj"/>
    <n v="357"/>
    <n v="40"/>
    <n v="30"/>
    <x v="2"/>
    <n v="49"/>
    <x v="1"/>
    <n v="1"/>
    <n v="327"/>
    <x v="395"/>
    <x v="1"/>
    <n v="1"/>
  </r>
  <r>
    <s v="ORD2418"/>
    <s v="20-03-2021"/>
    <s v="CUST964"/>
    <x v="2"/>
    <x v="11"/>
    <x v="0"/>
    <s v="Rohit"/>
    <n v="709"/>
    <n v="40"/>
    <n v="20"/>
    <x v="2"/>
    <n v="59"/>
    <x v="0"/>
    <n v="1"/>
    <n v="689"/>
    <x v="607"/>
    <x v="0"/>
    <n v="3"/>
  </r>
  <r>
    <s v="ORD2419"/>
    <s v="16-01-2021"/>
    <s v="CUST522"/>
    <x v="2"/>
    <x v="11"/>
    <x v="0"/>
    <s v="Rahul"/>
    <n v="576"/>
    <n v="50"/>
    <n v="20"/>
    <x v="1"/>
    <n v="55"/>
    <x v="0"/>
    <n v="1"/>
    <n v="556"/>
    <x v="608"/>
    <x v="1"/>
    <n v="1"/>
  </r>
  <r>
    <s v="ORD2420"/>
    <s v="27-02-2021"/>
    <s v="CUST860"/>
    <x v="0"/>
    <x v="10"/>
    <x v="0"/>
    <s v="Rahul"/>
    <n v="297"/>
    <n v="40"/>
    <n v="30"/>
    <x v="1"/>
    <n v="39"/>
    <x v="0"/>
    <n v="1"/>
    <n v="267"/>
    <x v="509"/>
    <x v="2"/>
    <n v="2"/>
  </r>
  <r>
    <s v="ORD2421"/>
    <s v="08-01-2021"/>
    <s v="CUST1187"/>
    <x v="2"/>
    <x v="11"/>
    <x v="0"/>
    <s v="Rohit"/>
    <n v="516"/>
    <n v="40"/>
    <n v="100"/>
    <x v="1"/>
    <n v="29"/>
    <x v="1"/>
    <n v="1"/>
    <n v="416"/>
    <x v="189"/>
    <x v="1"/>
    <n v="1"/>
  </r>
  <r>
    <s v="ORD2422"/>
    <s v="01-02-2021"/>
    <s v="CUST598"/>
    <x v="4"/>
    <x v="5"/>
    <x v="3"/>
    <s v="Arjun"/>
    <n v="374"/>
    <n v="40"/>
    <n v="20"/>
    <x v="2"/>
    <n v="20"/>
    <x v="0"/>
    <n v="1"/>
    <n v="354"/>
    <x v="312"/>
    <x v="2"/>
    <n v="2"/>
  </r>
  <r>
    <s v="ORD2423"/>
    <s v="13-03-2021"/>
    <s v="CUST953"/>
    <x v="4"/>
    <x v="14"/>
    <x v="0"/>
    <s v="Rohit"/>
    <n v="339"/>
    <n v="50"/>
    <n v="0"/>
    <x v="2"/>
    <n v="55"/>
    <x v="0"/>
    <n v="1"/>
    <n v="339"/>
    <x v="407"/>
    <x v="0"/>
    <n v="3"/>
  </r>
  <r>
    <s v="ORD2424"/>
    <s v="12-01-2021"/>
    <s v="CUST729"/>
    <x v="1"/>
    <x v="2"/>
    <x v="1"/>
    <s v="Vikas"/>
    <n v="790"/>
    <n v="40"/>
    <n v="30"/>
    <x v="1"/>
    <n v="41"/>
    <x v="0"/>
    <n v="1"/>
    <n v="760"/>
    <x v="609"/>
    <x v="1"/>
    <n v="1"/>
  </r>
  <r>
    <s v="ORD2425"/>
    <s v="16-03-2021"/>
    <s v="CUST1139"/>
    <x v="3"/>
    <x v="4"/>
    <x v="2"/>
    <s v="Manoj"/>
    <n v="204"/>
    <n v="50"/>
    <n v="100"/>
    <x v="2"/>
    <n v="53"/>
    <x v="0"/>
    <n v="1"/>
    <n v="104"/>
    <x v="610"/>
    <x v="0"/>
    <n v="3"/>
  </r>
  <r>
    <s v="ORD2426"/>
    <s v="26-03-2021"/>
    <s v="CUST570"/>
    <x v="0"/>
    <x v="12"/>
    <x v="3"/>
    <s v="Deepak"/>
    <n v="711"/>
    <n v="50"/>
    <n v="20"/>
    <x v="0"/>
    <n v="24"/>
    <x v="0"/>
    <n v="1"/>
    <n v="691"/>
    <x v="611"/>
    <x v="0"/>
    <n v="3"/>
  </r>
  <r>
    <s v="ORD2427"/>
    <s v="28-01-2021"/>
    <s v="CUST562"/>
    <x v="4"/>
    <x v="14"/>
    <x v="0"/>
    <s v="Imran"/>
    <n v="214"/>
    <n v="40"/>
    <n v="0"/>
    <x v="2"/>
    <n v="33"/>
    <x v="0"/>
    <n v="1"/>
    <n v="214"/>
    <x v="123"/>
    <x v="1"/>
    <n v="1"/>
  </r>
  <r>
    <s v="ORD2428"/>
    <s v="08-01-2021"/>
    <s v="CUST1146"/>
    <x v="3"/>
    <x v="4"/>
    <x v="2"/>
    <s v="Imran"/>
    <n v="577"/>
    <n v="40"/>
    <n v="0"/>
    <x v="1"/>
    <n v="22"/>
    <x v="0"/>
    <n v="1"/>
    <n v="577"/>
    <x v="387"/>
    <x v="1"/>
    <n v="1"/>
  </r>
  <r>
    <s v="ORD2429"/>
    <s v="27-02-2021"/>
    <s v="CUST1047"/>
    <x v="2"/>
    <x v="6"/>
    <x v="2"/>
    <s v="Rohit"/>
    <n v="404"/>
    <n v="20"/>
    <n v="20"/>
    <x v="1"/>
    <n v="22"/>
    <x v="0"/>
    <n v="1"/>
    <n v="384"/>
    <x v="612"/>
    <x v="2"/>
    <n v="2"/>
  </r>
  <r>
    <s v="ORD2430"/>
    <s v="24-01-2021"/>
    <s v="CUST1158"/>
    <x v="4"/>
    <x v="5"/>
    <x v="3"/>
    <s v="Vikas"/>
    <n v="562"/>
    <n v="20"/>
    <n v="30"/>
    <x v="1"/>
    <n v="25"/>
    <x v="0"/>
    <n v="1"/>
    <n v="532"/>
    <x v="613"/>
    <x v="1"/>
    <n v="1"/>
  </r>
  <r>
    <s v="ORD2431"/>
    <s v="30-01-2021"/>
    <s v="CUST567"/>
    <x v="4"/>
    <x v="14"/>
    <x v="0"/>
    <s v="Suresh"/>
    <n v="391"/>
    <n v="40"/>
    <n v="0"/>
    <x v="1"/>
    <n v="32"/>
    <x v="0"/>
    <n v="1"/>
    <n v="391"/>
    <x v="127"/>
    <x v="1"/>
    <n v="1"/>
  </r>
  <r>
    <s v="ORD2432"/>
    <s v="25-03-2021"/>
    <s v="CUST583"/>
    <x v="4"/>
    <x v="5"/>
    <x v="3"/>
    <s v="Imran"/>
    <n v="511"/>
    <n v="50"/>
    <n v="100"/>
    <x v="2"/>
    <n v="46"/>
    <x v="0"/>
    <n v="1"/>
    <n v="411"/>
    <x v="159"/>
    <x v="0"/>
    <n v="3"/>
  </r>
  <r>
    <s v="ORD2433"/>
    <s v="14-03-2021"/>
    <s v="CUST770"/>
    <x v="2"/>
    <x v="6"/>
    <x v="2"/>
    <s v="Imran"/>
    <n v="708"/>
    <n v="40"/>
    <n v="20"/>
    <x v="2"/>
    <n v="23"/>
    <x v="0"/>
    <n v="1"/>
    <n v="688"/>
    <x v="614"/>
    <x v="0"/>
    <n v="3"/>
  </r>
  <r>
    <s v="ORD2434"/>
    <s v="19-01-2021"/>
    <s v="CUST727"/>
    <x v="3"/>
    <x v="13"/>
    <x v="1"/>
    <s v="Vikas"/>
    <n v="645"/>
    <n v="50"/>
    <n v="50"/>
    <x v="0"/>
    <n v="33"/>
    <x v="0"/>
    <n v="1"/>
    <n v="595"/>
    <x v="568"/>
    <x v="1"/>
    <n v="1"/>
  </r>
  <r>
    <s v="ORD2435"/>
    <s v="20-02-2021"/>
    <s v="CUST850"/>
    <x v="2"/>
    <x v="6"/>
    <x v="2"/>
    <s v="Karan"/>
    <n v="438"/>
    <n v="40"/>
    <n v="0"/>
    <x v="1"/>
    <n v="49"/>
    <x v="0"/>
    <n v="1"/>
    <n v="438"/>
    <x v="99"/>
    <x v="2"/>
    <n v="2"/>
  </r>
  <r>
    <s v="ORD2436"/>
    <s v="09-02-2021"/>
    <s v="CUST925"/>
    <x v="2"/>
    <x v="6"/>
    <x v="2"/>
    <s v="Arjun"/>
    <n v="511"/>
    <n v="40"/>
    <n v="100"/>
    <x v="2"/>
    <n v="41"/>
    <x v="0"/>
    <n v="1"/>
    <n v="411"/>
    <x v="455"/>
    <x v="2"/>
    <n v="2"/>
  </r>
  <r>
    <s v="ORD2437"/>
    <s v="23-02-2021"/>
    <s v="CUST1181"/>
    <x v="4"/>
    <x v="5"/>
    <x v="3"/>
    <s v="Arjun"/>
    <n v="719"/>
    <n v="30"/>
    <n v="50"/>
    <x v="2"/>
    <n v="20"/>
    <x v="1"/>
    <n v="1"/>
    <n v="669"/>
    <x v="245"/>
    <x v="2"/>
    <n v="2"/>
  </r>
  <r>
    <s v="ORD2438"/>
    <s v="04-01-2021"/>
    <s v="CUST676"/>
    <x v="1"/>
    <x v="1"/>
    <x v="1"/>
    <s v="Suresh"/>
    <n v="319"/>
    <n v="30"/>
    <n v="0"/>
    <x v="2"/>
    <n v="52"/>
    <x v="0"/>
    <n v="1"/>
    <n v="319"/>
    <x v="338"/>
    <x v="1"/>
    <n v="1"/>
  </r>
  <r>
    <s v="ORD2439"/>
    <s v="11-02-2021"/>
    <s v="CUST678"/>
    <x v="1"/>
    <x v="1"/>
    <x v="1"/>
    <s v="Suresh"/>
    <n v="181"/>
    <n v="20"/>
    <n v="100"/>
    <x v="0"/>
    <n v="26"/>
    <x v="0"/>
    <n v="1"/>
    <n v="81"/>
    <x v="415"/>
    <x v="2"/>
    <n v="2"/>
  </r>
  <r>
    <s v="ORD2440"/>
    <s v="16-03-2021"/>
    <s v="CUST728"/>
    <x v="3"/>
    <x v="7"/>
    <x v="0"/>
    <s v="Rohit"/>
    <n v="358"/>
    <n v="40"/>
    <n v="20"/>
    <x v="0"/>
    <n v="51"/>
    <x v="0"/>
    <n v="1"/>
    <n v="338"/>
    <x v="136"/>
    <x v="0"/>
    <n v="3"/>
  </r>
  <r>
    <s v="ORD2441"/>
    <s v="15-03-2021"/>
    <s v="CUST983"/>
    <x v="2"/>
    <x v="3"/>
    <x v="1"/>
    <s v="Amit"/>
    <n v="251"/>
    <n v="50"/>
    <n v="50"/>
    <x v="2"/>
    <n v="20"/>
    <x v="0"/>
    <n v="1"/>
    <n v="201"/>
    <x v="256"/>
    <x v="0"/>
    <n v="3"/>
  </r>
  <r>
    <s v="ORD2442"/>
    <s v="04-03-2021"/>
    <s v="CUST756"/>
    <x v="2"/>
    <x v="11"/>
    <x v="0"/>
    <s v="Rohit"/>
    <n v="733"/>
    <n v="30"/>
    <n v="100"/>
    <x v="2"/>
    <n v="39"/>
    <x v="0"/>
    <n v="1"/>
    <n v="633"/>
    <x v="434"/>
    <x v="0"/>
    <n v="3"/>
  </r>
  <r>
    <s v="ORD2443"/>
    <s v="21-02-2021"/>
    <s v="CUST943"/>
    <x v="2"/>
    <x v="3"/>
    <x v="1"/>
    <s v="Manoj"/>
    <n v="672"/>
    <n v="40"/>
    <n v="30"/>
    <x v="2"/>
    <n v="51"/>
    <x v="0"/>
    <n v="1"/>
    <n v="642"/>
    <x v="269"/>
    <x v="2"/>
    <n v="2"/>
  </r>
  <r>
    <s v="ORD2444"/>
    <s v="08-03-2021"/>
    <s v="CUST729"/>
    <x v="1"/>
    <x v="1"/>
    <x v="1"/>
    <s v="Rahul"/>
    <n v="709"/>
    <n v="50"/>
    <n v="0"/>
    <x v="1"/>
    <n v="42"/>
    <x v="0"/>
    <n v="1"/>
    <n v="709"/>
    <x v="422"/>
    <x v="0"/>
    <n v="3"/>
  </r>
  <r>
    <s v="ORD2445"/>
    <s v="01-02-2021"/>
    <s v="CUST882"/>
    <x v="0"/>
    <x v="10"/>
    <x v="0"/>
    <s v="Imran"/>
    <n v="536"/>
    <n v="40"/>
    <n v="30"/>
    <x v="0"/>
    <n v="57"/>
    <x v="0"/>
    <n v="1"/>
    <n v="506"/>
    <x v="284"/>
    <x v="2"/>
    <n v="2"/>
  </r>
  <r>
    <s v="ORD2446"/>
    <s v="19-01-2021"/>
    <s v="CUST682"/>
    <x v="1"/>
    <x v="8"/>
    <x v="2"/>
    <s v="Manoj"/>
    <n v="750"/>
    <n v="20"/>
    <n v="20"/>
    <x v="2"/>
    <n v="25"/>
    <x v="0"/>
    <n v="1"/>
    <n v="730"/>
    <x v="192"/>
    <x v="1"/>
    <n v="1"/>
  </r>
  <r>
    <s v="ORD2447"/>
    <s v="05-03-2021"/>
    <s v="CUST651"/>
    <x v="3"/>
    <x v="7"/>
    <x v="0"/>
    <s v="Rohit"/>
    <n v="152"/>
    <n v="30"/>
    <n v="100"/>
    <x v="2"/>
    <n v="48"/>
    <x v="0"/>
    <n v="1"/>
    <n v="52"/>
    <x v="615"/>
    <x v="0"/>
    <n v="3"/>
  </r>
  <r>
    <s v="ORD2448"/>
    <s v="18-01-2021"/>
    <s v="CUST535"/>
    <x v="1"/>
    <x v="8"/>
    <x v="2"/>
    <s v="Vikas"/>
    <n v="718"/>
    <n v="30"/>
    <n v="20"/>
    <x v="0"/>
    <n v="43"/>
    <x v="0"/>
    <n v="1"/>
    <n v="698"/>
    <x v="614"/>
    <x v="1"/>
    <n v="1"/>
  </r>
  <r>
    <s v="ORD2449"/>
    <s v="09-02-2021"/>
    <s v="CUST860"/>
    <x v="1"/>
    <x v="8"/>
    <x v="2"/>
    <s v="Amit"/>
    <n v="686"/>
    <n v="50"/>
    <n v="30"/>
    <x v="0"/>
    <n v="21"/>
    <x v="0"/>
    <n v="1"/>
    <n v="656"/>
    <x v="534"/>
    <x v="2"/>
    <n v="2"/>
  </r>
  <r>
    <s v="ORD2450"/>
    <s v="25-02-2021"/>
    <s v="CUST881"/>
    <x v="2"/>
    <x v="11"/>
    <x v="0"/>
    <s v="Rahul"/>
    <n v="733"/>
    <n v="40"/>
    <n v="50"/>
    <x v="1"/>
    <n v="35"/>
    <x v="0"/>
    <n v="1"/>
    <n v="683"/>
    <x v="183"/>
    <x v="2"/>
    <n v="2"/>
  </r>
  <r>
    <s v="ORD2451"/>
    <s v="29-03-2021"/>
    <s v="CUST1152"/>
    <x v="3"/>
    <x v="13"/>
    <x v="1"/>
    <s v="Amit"/>
    <n v="521"/>
    <n v="30"/>
    <n v="50"/>
    <x v="2"/>
    <n v="30"/>
    <x v="0"/>
    <n v="1"/>
    <n v="471"/>
    <x v="616"/>
    <x v="0"/>
    <n v="3"/>
  </r>
  <r>
    <s v="ORD2452"/>
    <s v="03-01-2021"/>
    <s v="CUST1024"/>
    <x v="1"/>
    <x v="8"/>
    <x v="2"/>
    <s v="Deepak"/>
    <n v="663"/>
    <n v="30"/>
    <n v="30"/>
    <x v="2"/>
    <n v="31"/>
    <x v="0"/>
    <n v="1"/>
    <n v="633"/>
    <x v="434"/>
    <x v="1"/>
    <n v="1"/>
  </r>
  <r>
    <s v="ORD2453"/>
    <s v="26-02-2021"/>
    <s v="CUST1099"/>
    <x v="0"/>
    <x v="0"/>
    <x v="0"/>
    <s v="Manoj"/>
    <n v="495"/>
    <n v="30"/>
    <n v="30"/>
    <x v="0"/>
    <n v="20"/>
    <x v="0"/>
    <n v="1"/>
    <n v="465"/>
    <x v="433"/>
    <x v="2"/>
    <n v="2"/>
  </r>
  <r>
    <s v="ORD2454"/>
    <s v="22-02-2021"/>
    <s v="CUST944"/>
    <x v="4"/>
    <x v="5"/>
    <x v="3"/>
    <s v="Rahul"/>
    <n v="598"/>
    <n v="30"/>
    <n v="30"/>
    <x v="2"/>
    <n v="20"/>
    <x v="0"/>
    <n v="1"/>
    <n v="568"/>
    <x v="496"/>
    <x v="2"/>
    <n v="2"/>
  </r>
  <r>
    <s v="ORD2455"/>
    <s v="30-01-2021"/>
    <s v="CUST711"/>
    <x v="1"/>
    <x v="1"/>
    <x v="1"/>
    <s v="Rahul"/>
    <n v="566"/>
    <n v="50"/>
    <n v="20"/>
    <x v="0"/>
    <n v="24"/>
    <x v="0"/>
    <n v="1"/>
    <n v="546"/>
    <x v="460"/>
    <x v="1"/>
    <n v="1"/>
  </r>
  <r>
    <s v="ORD2456"/>
    <s v="11-02-2021"/>
    <s v="CUST1038"/>
    <x v="4"/>
    <x v="14"/>
    <x v="0"/>
    <s v="Rahul"/>
    <n v="387"/>
    <n v="20"/>
    <n v="50"/>
    <x v="0"/>
    <n v="42"/>
    <x v="0"/>
    <n v="1"/>
    <n v="337"/>
    <x v="149"/>
    <x v="2"/>
    <n v="2"/>
  </r>
  <r>
    <s v="ORD2457"/>
    <s v="19-01-2021"/>
    <s v="CUST745"/>
    <x v="0"/>
    <x v="0"/>
    <x v="0"/>
    <s v="Vikas"/>
    <n v="339"/>
    <n v="20"/>
    <n v="50"/>
    <x v="2"/>
    <n v="45"/>
    <x v="0"/>
    <n v="1"/>
    <n v="289"/>
    <x v="382"/>
    <x v="1"/>
    <n v="1"/>
  </r>
  <r>
    <s v="ORD2458"/>
    <s v="04-01-2021"/>
    <s v="CUST1159"/>
    <x v="0"/>
    <x v="10"/>
    <x v="0"/>
    <s v="Deepak"/>
    <n v="209"/>
    <n v="40"/>
    <n v="30"/>
    <x v="1"/>
    <n v="58"/>
    <x v="0"/>
    <n v="1"/>
    <n v="179"/>
    <x v="567"/>
    <x v="1"/>
    <n v="1"/>
  </r>
  <r>
    <s v="ORD2459"/>
    <s v="19-01-2021"/>
    <s v="CUST602"/>
    <x v="4"/>
    <x v="9"/>
    <x v="4"/>
    <s v="Manoj"/>
    <n v="301"/>
    <n v="40"/>
    <n v="100"/>
    <x v="1"/>
    <n v="34"/>
    <x v="0"/>
    <n v="1"/>
    <n v="201"/>
    <x v="220"/>
    <x v="1"/>
    <n v="1"/>
  </r>
  <r>
    <s v="ORD2460"/>
    <s v="18-02-2021"/>
    <s v="CUST1069"/>
    <x v="0"/>
    <x v="12"/>
    <x v="3"/>
    <s v="Vikas"/>
    <n v="337"/>
    <n v="40"/>
    <n v="100"/>
    <x v="1"/>
    <n v="57"/>
    <x v="0"/>
    <n v="1"/>
    <n v="237"/>
    <x v="67"/>
    <x v="2"/>
    <n v="2"/>
  </r>
  <r>
    <s v="ORD2461"/>
    <s v="03-03-2021"/>
    <s v="CUST631"/>
    <x v="1"/>
    <x v="8"/>
    <x v="2"/>
    <s v="Amit"/>
    <n v="714"/>
    <n v="50"/>
    <n v="20"/>
    <x v="1"/>
    <n v="58"/>
    <x v="0"/>
    <n v="1"/>
    <n v="694"/>
    <x v="188"/>
    <x v="0"/>
    <n v="3"/>
  </r>
  <r>
    <s v="ORD2462"/>
    <s v="23-03-2021"/>
    <s v="CUST940"/>
    <x v="3"/>
    <x v="7"/>
    <x v="0"/>
    <s v="Karan"/>
    <n v="740"/>
    <n v="50"/>
    <n v="20"/>
    <x v="1"/>
    <n v="41"/>
    <x v="0"/>
    <n v="1"/>
    <n v="720"/>
    <x v="604"/>
    <x v="0"/>
    <n v="3"/>
  </r>
  <r>
    <s v="ORD2463"/>
    <s v="11-02-2021"/>
    <s v="CUST910"/>
    <x v="4"/>
    <x v="14"/>
    <x v="0"/>
    <s v="Suresh"/>
    <n v="441"/>
    <n v="20"/>
    <n v="100"/>
    <x v="0"/>
    <n v="37"/>
    <x v="0"/>
    <n v="1"/>
    <n v="341"/>
    <x v="483"/>
    <x v="2"/>
    <n v="2"/>
  </r>
  <r>
    <s v="ORD2464"/>
    <s v="28-02-2021"/>
    <s v="CUST1081"/>
    <x v="3"/>
    <x v="13"/>
    <x v="1"/>
    <s v="Rohit"/>
    <n v="612"/>
    <n v="30"/>
    <n v="50"/>
    <x v="2"/>
    <n v="52"/>
    <x v="0"/>
    <n v="1"/>
    <n v="562"/>
    <x v="300"/>
    <x v="2"/>
    <n v="2"/>
  </r>
  <r>
    <s v="ORD2465"/>
    <s v="23-03-2021"/>
    <s v="CUST996"/>
    <x v="4"/>
    <x v="9"/>
    <x v="4"/>
    <s v="Arjun"/>
    <n v="461"/>
    <n v="30"/>
    <n v="20"/>
    <x v="1"/>
    <n v="44"/>
    <x v="0"/>
    <n v="1"/>
    <n v="441"/>
    <x v="326"/>
    <x v="0"/>
    <n v="3"/>
  </r>
  <r>
    <s v="ORD2466"/>
    <s v="25-01-2021"/>
    <s v="CUST669"/>
    <x v="1"/>
    <x v="8"/>
    <x v="2"/>
    <s v="Rohit"/>
    <n v="294"/>
    <n v="50"/>
    <n v="100"/>
    <x v="1"/>
    <n v="47"/>
    <x v="0"/>
    <n v="1"/>
    <n v="194"/>
    <x v="543"/>
    <x v="1"/>
    <n v="1"/>
  </r>
  <r>
    <s v="ORD2467"/>
    <s v="21-03-2021"/>
    <s v="CUST1197"/>
    <x v="4"/>
    <x v="14"/>
    <x v="0"/>
    <s v="Amit"/>
    <n v="599"/>
    <n v="20"/>
    <n v="0"/>
    <x v="0"/>
    <n v="59"/>
    <x v="1"/>
    <n v="1"/>
    <n v="599"/>
    <x v="414"/>
    <x v="0"/>
    <n v="3"/>
  </r>
  <r>
    <s v="ORD2468"/>
    <s v="22-03-2021"/>
    <s v="CUST678"/>
    <x v="3"/>
    <x v="13"/>
    <x v="1"/>
    <s v="Arjun"/>
    <n v="659"/>
    <n v="30"/>
    <n v="50"/>
    <x v="0"/>
    <n v="38"/>
    <x v="0"/>
    <n v="1"/>
    <n v="609"/>
    <x v="263"/>
    <x v="0"/>
    <n v="3"/>
  </r>
  <r>
    <s v="ORD2469"/>
    <s v="20-01-2021"/>
    <s v="CUST1073"/>
    <x v="2"/>
    <x v="11"/>
    <x v="0"/>
    <s v="Imran"/>
    <n v="486"/>
    <n v="50"/>
    <n v="0"/>
    <x v="2"/>
    <n v="31"/>
    <x v="0"/>
    <n v="1"/>
    <n v="486"/>
    <x v="617"/>
    <x v="1"/>
    <n v="1"/>
  </r>
  <r>
    <s v="ORD2470"/>
    <s v="29-03-2021"/>
    <s v="CUST1050"/>
    <x v="0"/>
    <x v="0"/>
    <x v="0"/>
    <s v="Deepak"/>
    <n v="579"/>
    <n v="50"/>
    <n v="50"/>
    <x v="0"/>
    <n v="34"/>
    <x v="0"/>
    <n v="1"/>
    <n v="529"/>
    <x v="355"/>
    <x v="0"/>
    <n v="3"/>
  </r>
  <r>
    <s v="ORD2471"/>
    <s v="09-03-2021"/>
    <s v="CUST1029"/>
    <x v="4"/>
    <x v="9"/>
    <x v="4"/>
    <s v="Arjun"/>
    <n v="720"/>
    <n v="50"/>
    <n v="0"/>
    <x v="2"/>
    <n v="23"/>
    <x v="0"/>
    <n v="1"/>
    <n v="720"/>
    <x v="604"/>
    <x v="0"/>
    <n v="3"/>
  </r>
  <r>
    <s v="ORD2472"/>
    <s v="23-03-2021"/>
    <s v="CUST598"/>
    <x v="2"/>
    <x v="11"/>
    <x v="0"/>
    <s v="Rahul"/>
    <n v="622"/>
    <n v="30"/>
    <n v="20"/>
    <x v="1"/>
    <n v="46"/>
    <x v="0"/>
    <n v="1"/>
    <n v="602"/>
    <x v="332"/>
    <x v="0"/>
    <n v="3"/>
  </r>
  <r>
    <s v="ORD2473"/>
    <s v="17-03-2021"/>
    <s v="CUST708"/>
    <x v="1"/>
    <x v="2"/>
    <x v="1"/>
    <s v="Suresh"/>
    <n v="494"/>
    <n v="50"/>
    <n v="100"/>
    <x v="2"/>
    <n v="44"/>
    <x v="0"/>
    <n v="1"/>
    <n v="394"/>
    <x v="150"/>
    <x v="0"/>
    <n v="3"/>
  </r>
  <r>
    <s v="ORD2474"/>
    <s v="07-03-2021"/>
    <s v="CUST913"/>
    <x v="0"/>
    <x v="10"/>
    <x v="0"/>
    <s v="Rahul"/>
    <n v="705"/>
    <n v="30"/>
    <n v="20"/>
    <x v="1"/>
    <n v="53"/>
    <x v="0"/>
    <n v="1"/>
    <n v="685"/>
    <x v="267"/>
    <x v="0"/>
    <n v="3"/>
  </r>
  <r>
    <s v="ORD2475"/>
    <s v="30-01-2021"/>
    <s v="CUST889"/>
    <x v="0"/>
    <x v="12"/>
    <x v="3"/>
    <s v="Vikas"/>
    <n v="606"/>
    <n v="40"/>
    <n v="100"/>
    <x v="2"/>
    <n v="33"/>
    <x v="0"/>
    <n v="1"/>
    <n v="506"/>
    <x v="284"/>
    <x v="1"/>
    <n v="1"/>
  </r>
  <r>
    <s v="ORD2476"/>
    <s v="21-03-2021"/>
    <s v="CUST590"/>
    <x v="1"/>
    <x v="2"/>
    <x v="1"/>
    <s v="Imran"/>
    <n v="331"/>
    <n v="20"/>
    <n v="30"/>
    <x v="0"/>
    <n v="25"/>
    <x v="0"/>
    <n v="1"/>
    <n v="301"/>
    <x v="353"/>
    <x v="0"/>
    <n v="3"/>
  </r>
  <r>
    <s v="ORD2477"/>
    <s v="24-01-2021"/>
    <s v="CUST610"/>
    <x v="0"/>
    <x v="0"/>
    <x v="0"/>
    <s v="Suresh"/>
    <n v="544"/>
    <n v="40"/>
    <n v="20"/>
    <x v="1"/>
    <n v="25"/>
    <x v="0"/>
    <n v="1"/>
    <n v="524"/>
    <x v="501"/>
    <x v="1"/>
    <n v="1"/>
  </r>
  <r>
    <s v="ORD2478"/>
    <s v="16-03-2021"/>
    <s v="CUST671"/>
    <x v="1"/>
    <x v="1"/>
    <x v="1"/>
    <s v="Karan"/>
    <n v="598"/>
    <n v="30"/>
    <n v="30"/>
    <x v="1"/>
    <n v="22"/>
    <x v="0"/>
    <n v="1"/>
    <n v="568"/>
    <x v="496"/>
    <x v="0"/>
    <n v="3"/>
  </r>
  <r>
    <s v="ORD2479"/>
    <s v="27-03-2021"/>
    <s v="CUST901"/>
    <x v="4"/>
    <x v="5"/>
    <x v="3"/>
    <s v="Karan"/>
    <n v="161"/>
    <n v="50"/>
    <n v="0"/>
    <x v="2"/>
    <n v="55"/>
    <x v="0"/>
    <n v="1"/>
    <n v="161"/>
    <x v="573"/>
    <x v="0"/>
    <n v="3"/>
  </r>
  <r>
    <s v="ORD2480"/>
    <s v="01-02-2021"/>
    <s v="CUST1126"/>
    <x v="0"/>
    <x v="10"/>
    <x v="0"/>
    <s v="Rohit"/>
    <n v="484"/>
    <n v="40"/>
    <n v="100"/>
    <x v="2"/>
    <n v="40"/>
    <x v="0"/>
    <n v="1"/>
    <n v="384"/>
    <x v="94"/>
    <x v="2"/>
    <n v="2"/>
  </r>
  <r>
    <s v="ORD2481"/>
    <s v="04-01-2021"/>
    <s v="CUST993"/>
    <x v="4"/>
    <x v="5"/>
    <x v="3"/>
    <s v="Rohit"/>
    <n v="769"/>
    <n v="30"/>
    <n v="100"/>
    <x v="2"/>
    <n v="27"/>
    <x v="0"/>
    <n v="1"/>
    <n v="669"/>
    <x v="245"/>
    <x v="1"/>
    <n v="1"/>
  </r>
  <r>
    <s v="ORD2482"/>
    <s v="03-03-2021"/>
    <s v="CUST569"/>
    <x v="1"/>
    <x v="2"/>
    <x v="1"/>
    <s v="Manoj"/>
    <n v="716"/>
    <n v="30"/>
    <n v="0"/>
    <x v="2"/>
    <n v="33"/>
    <x v="0"/>
    <n v="1"/>
    <n v="716"/>
    <x v="35"/>
    <x v="0"/>
    <n v="3"/>
  </r>
  <r>
    <s v="ORD2483"/>
    <s v="03-03-2021"/>
    <s v="CUST816"/>
    <x v="2"/>
    <x v="6"/>
    <x v="2"/>
    <s v="Arjun"/>
    <n v="231"/>
    <n v="50"/>
    <n v="30"/>
    <x v="1"/>
    <n v="42"/>
    <x v="0"/>
    <n v="1"/>
    <n v="201"/>
    <x v="256"/>
    <x v="0"/>
    <n v="3"/>
  </r>
  <r>
    <s v="ORD2484"/>
    <s v="01-03-2021"/>
    <s v="CUST1137"/>
    <x v="3"/>
    <x v="4"/>
    <x v="2"/>
    <s v="Deepak"/>
    <n v="625"/>
    <n v="50"/>
    <n v="50"/>
    <x v="0"/>
    <n v="37"/>
    <x v="0"/>
    <n v="1"/>
    <n v="575"/>
    <x v="336"/>
    <x v="0"/>
    <n v="3"/>
  </r>
  <r>
    <s v="ORD2485"/>
    <s v="02-01-2021"/>
    <s v="CUST550"/>
    <x v="0"/>
    <x v="12"/>
    <x v="3"/>
    <s v="Suresh"/>
    <n v="756"/>
    <n v="30"/>
    <n v="20"/>
    <x v="0"/>
    <n v="46"/>
    <x v="0"/>
    <n v="1"/>
    <n v="736"/>
    <x v="486"/>
    <x v="1"/>
    <n v="1"/>
  </r>
  <r>
    <s v="ORD2486"/>
    <s v="04-03-2021"/>
    <s v="CUST1174"/>
    <x v="3"/>
    <x v="13"/>
    <x v="1"/>
    <s v="Imran"/>
    <n v="183"/>
    <n v="20"/>
    <n v="50"/>
    <x v="0"/>
    <n v="27"/>
    <x v="0"/>
    <n v="1"/>
    <n v="133"/>
    <x v="482"/>
    <x v="0"/>
    <n v="3"/>
  </r>
  <r>
    <s v="ORD2487"/>
    <s v="14-03-2021"/>
    <s v="CUST756"/>
    <x v="4"/>
    <x v="9"/>
    <x v="4"/>
    <s v="Rahul"/>
    <n v="249"/>
    <n v="40"/>
    <n v="50"/>
    <x v="2"/>
    <n v="52"/>
    <x v="0"/>
    <n v="1"/>
    <n v="199"/>
    <x v="522"/>
    <x v="0"/>
    <n v="3"/>
  </r>
  <r>
    <s v="ORD2488"/>
    <s v="06-02-2021"/>
    <s v="CUST963"/>
    <x v="2"/>
    <x v="3"/>
    <x v="1"/>
    <s v="Deepak"/>
    <n v="441"/>
    <n v="20"/>
    <n v="0"/>
    <x v="2"/>
    <n v="31"/>
    <x v="0"/>
    <n v="1"/>
    <n v="441"/>
    <x v="159"/>
    <x v="2"/>
    <n v="2"/>
  </r>
  <r>
    <s v="ORD2489"/>
    <s v="24-02-2021"/>
    <s v="CUST1117"/>
    <x v="3"/>
    <x v="4"/>
    <x v="2"/>
    <s v="Deepak"/>
    <n v="361"/>
    <n v="20"/>
    <n v="50"/>
    <x v="0"/>
    <n v="41"/>
    <x v="1"/>
    <n v="1"/>
    <n v="311"/>
    <x v="273"/>
    <x v="2"/>
    <n v="2"/>
  </r>
  <r>
    <s v="ORD2490"/>
    <s v="09-03-2021"/>
    <s v="CUST500"/>
    <x v="3"/>
    <x v="13"/>
    <x v="1"/>
    <s v="Rahul"/>
    <n v="701"/>
    <n v="40"/>
    <n v="100"/>
    <x v="2"/>
    <n v="28"/>
    <x v="0"/>
    <n v="1"/>
    <n v="601"/>
    <x v="196"/>
    <x v="0"/>
    <n v="3"/>
  </r>
  <r>
    <s v="ORD2491"/>
    <s v="25-01-2021"/>
    <s v="CUST715"/>
    <x v="1"/>
    <x v="8"/>
    <x v="2"/>
    <s v="Rohit"/>
    <n v="722"/>
    <n v="30"/>
    <n v="20"/>
    <x v="1"/>
    <n v="53"/>
    <x v="0"/>
    <n v="1"/>
    <n v="702"/>
    <x v="565"/>
    <x v="1"/>
    <n v="1"/>
  </r>
  <r>
    <s v="ORD2492"/>
    <s v="20-02-2021"/>
    <s v="CUST598"/>
    <x v="0"/>
    <x v="0"/>
    <x v="0"/>
    <s v="Manoj"/>
    <n v="216"/>
    <n v="30"/>
    <n v="20"/>
    <x v="0"/>
    <n v="28"/>
    <x v="0"/>
    <n v="1"/>
    <n v="196"/>
    <x v="516"/>
    <x v="2"/>
    <n v="2"/>
  </r>
  <r>
    <s v="ORD2493"/>
    <s v="18-01-2021"/>
    <s v="CUST622"/>
    <x v="0"/>
    <x v="10"/>
    <x v="0"/>
    <s v="Imran"/>
    <n v="377"/>
    <n v="50"/>
    <n v="20"/>
    <x v="0"/>
    <n v="56"/>
    <x v="0"/>
    <n v="1"/>
    <n v="357"/>
    <x v="618"/>
    <x v="1"/>
    <n v="1"/>
  </r>
  <r>
    <s v="ORD2494"/>
    <s v="26-01-2021"/>
    <s v="CUST1046"/>
    <x v="2"/>
    <x v="11"/>
    <x v="0"/>
    <s v="Amit"/>
    <n v="796"/>
    <n v="30"/>
    <n v="30"/>
    <x v="2"/>
    <n v="33"/>
    <x v="0"/>
    <n v="1"/>
    <n v="766"/>
    <x v="388"/>
    <x v="1"/>
    <n v="1"/>
  </r>
  <r>
    <s v="ORD2495"/>
    <s v="13-03-2021"/>
    <s v="CUST563"/>
    <x v="3"/>
    <x v="13"/>
    <x v="1"/>
    <s v="Imran"/>
    <n v="428"/>
    <n v="30"/>
    <n v="0"/>
    <x v="2"/>
    <n v="36"/>
    <x v="0"/>
    <n v="1"/>
    <n v="428"/>
    <x v="619"/>
    <x v="0"/>
    <n v="3"/>
  </r>
  <r>
    <s v="ORD2496"/>
    <s v="23-01-2021"/>
    <s v="CUST783"/>
    <x v="1"/>
    <x v="2"/>
    <x v="1"/>
    <s v="Karan"/>
    <n v="626"/>
    <n v="50"/>
    <n v="100"/>
    <x v="0"/>
    <n v="53"/>
    <x v="0"/>
    <n v="1"/>
    <n v="526"/>
    <x v="530"/>
    <x v="1"/>
    <n v="1"/>
  </r>
  <r>
    <s v="ORD2497"/>
    <s v="20-03-2021"/>
    <s v="CUST998"/>
    <x v="4"/>
    <x v="14"/>
    <x v="0"/>
    <s v="Rohit"/>
    <n v="330"/>
    <n v="40"/>
    <n v="30"/>
    <x v="1"/>
    <n v="60"/>
    <x v="0"/>
    <n v="1"/>
    <n v="300"/>
    <x v="420"/>
    <x v="0"/>
    <n v="3"/>
  </r>
  <r>
    <s v="ORD2498"/>
    <s v="03-03-2021"/>
    <s v="CUST1118"/>
    <x v="0"/>
    <x v="10"/>
    <x v="0"/>
    <s v="Manoj"/>
    <n v="474"/>
    <n v="30"/>
    <n v="100"/>
    <x v="2"/>
    <n v="51"/>
    <x v="0"/>
    <n v="1"/>
    <n v="374"/>
    <x v="612"/>
    <x v="0"/>
    <n v="3"/>
  </r>
  <r>
    <s v="ORD2499"/>
    <s v="07-03-2021"/>
    <s v="CUST1085"/>
    <x v="0"/>
    <x v="0"/>
    <x v="0"/>
    <s v="Karan"/>
    <n v="467"/>
    <n v="20"/>
    <n v="100"/>
    <x v="2"/>
    <n v="25"/>
    <x v="0"/>
    <n v="1"/>
    <n v="367"/>
    <x v="221"/>
    <x v="0"/>
    <n v="3"/>
  </r>
  <r>
    <s v="ORD2500"/>
    <s v="17-02-2021"/>
    <s v="CUST926"/>
    <x v="4"/>
    <x v="9"/>
    <x v="4"/>
    <s v="Arjun"/>
    <n v="583"/>
    <n v="40"/>
    <n v="30"/>
    <x v="1"/>
    <n v="36"/>
    <x v="0"/>
    <n v="1"/>
    <n v="553"/>
    <x v="348"/>
    <x v="2"/>
    <n v="2"/>
  </r>
  <r>
    <s v="ORD2501"/>
    <s v="24-03-2021"/>
    <s v="CUST861"/>
    <x v="0"/>
    <x v="0"/>
    <x v="0"/>
    <s v="Imran"/>
    <n v="472"/>
    <n v="20"/>
    <n v="30"/>
    <x v="0"/>
    <n v="20"/>
    <x v="0"/>
    <n v="1"/>
    <n v="442"/>
    <x v="596"/>
    <x v="0"/>
    <n v="3"/>
  </r>
  <r>
    <s v="ORD2502"/>
    <s v="10-01-2021"/>
    <s v="CUST1110"/>
    <x v="0"/>
    <x v="0"/>
    <x v="0"/>
    <s v="Rohit"/>
    <n v="733"/>
    <n v="40"/>
    <n v="30"/>
    <x v="2"/>
    <n v="56"/>
    <x v="0"/>
    <n v="1"/>
    <n v="703"/>
    <x v="293"/>
    <x v="1"/>
    <n v="1"/>
  </r>
  <r>
    <s v="ORD2503"/>
    <s v="22-03-2021"/>
    <s v="CUST816"/>
    <x v="2"/>
    <x v="11"/>
    <x v="0"/>
    <s v="Arjun"/>
    <n v="759"/>
    <n v="30"/>
    <n v="50"/>
    <x v="2"/>
    <n v="26"/>
    <x v="1"/>
    <n v="1"/>
    <n v="709"/>
    <x v="92"/>
    <x v="0"/>
    <n v="3"/>
  </r>
  <r>
    <s v="ORD2504"/>
    <s v="06-02-2021"/>
    <s v="CUST1060"/>
    <x v="3"/>
    <x v="13"/>
    <x v="1"/>
    <s v="Suresh"/>
    <n v="439"/>
    <n v="30"/>
    <n v="0"/>
    <x v="0"/>
    <n v="27"/>
    <x v="0"/>
    <n v="1"/>
    <n v="439"/>
    <x v="517"/>
    <x v="2"/>
    <n v="2"/>
  </r>
  <r>
    <s v="ORD2505"/>
    <s v="09-02-2021"/>
    <s v="CUST938"/>
    <x v="0"/>
    <x v="10"/>
    <x v="0"/>
    <s v="Arjun"/>
    <n v="659"/>
    <n v="40"/>
    <n v="30"/>
    <x v="1"/>
    <n v="33"/>
    <x v="0"/>
    <n v="1"/>
    <n v="629"/>
    <x v="257"/>
    <x v="2"/>
    <n v="2"/>
  </r>
  <r>
    <s v="ORD2506"/>
    <s v="31-01-2021"/>
    <s v="CUST980"/>
    <x v="0"/>
    <x v="0"/>
    <x v="0"/>
    <s v="Arjun"/>
    <n v="528"/>
    <n v="40"/>
    <n v="0"/>
    <x v="0"/>
    <n v="43"/>
    <x v="0"/>
    <n v="1"/>
    <n v="528"/>
    <x v="333"/>
    <x v="1"/>
    <n v="1"/>
  </r>
  <r>
    <s v="ORD2507"/>
    <s v="19-03-2021"/>
    <s v="CUST1034"/>
    <x v="3"/>
    <x v="4"/>
    <x v="2"/>
    <s v="Vikas"/>
    <n v="466"/>
    <n v="30"/>
    <n v="50"/>
    <x v="0"/>
    <n v="51"/>
    <x v="0"/>
    <n v="1"/>
    <n v="416"/>
    <x v="587"/>
    <x v="0"/>
    <n v="3"/>
  </r>
  <r>
    <s v="ORD2508"/>
    <s v="20-03-2021"/>
    <s v="CUST946"/>
    <x v="3"/>
    <x v="4"/>
    <x v="2"/>
    <s v="Deepak"/>
    <n v="371"/>
    <n v="40"/>
    <n v="20"/>
    <x v="2"/>
    <n v="48"/>
    <x v="0"/>
    <n v="1"/>
    <n v="351"/>
    <x v="493"/>
    <x v="0"/>
    <n v="3"/>
  </r>
  <r>
    <s v="ORD2509"/>
    <s v="31-03-2021"/>
    <s v="CUST1143"/>
    <x v="1"/>
    <x v="2"/>
    <x v="1"/>
    <s v="Deepak"/>
    <n v="798"/>
    <n v="30"/>
    <n v="100"/>
    <x v="0"/>
    <n v="42"/>
    <x v="0"/>
    <n v="1"/>
    <n v="698"/>
    <x v="614"/>
    <x v="0"/>
    <n v="3"/>
  </r>
  <r>
    <s v="ORD2510"/>
    <s v="17-03-2021"/>
    <s v="CUST635"/>
    <x v="3"/>
    <x v="7"/>
    <x v="0"/>
    <s v="Amit"/>
    <n v="232"/>
    <n v="50"/>
    <n v="20"/>
    <x v="0"/>
    <n v="49"/>
    <x v="0"/>
    <n v="1"/>
    <n v="212"/>
    <x v="620"/>
    <x v="0"/>
    <n v="3"/>
  </r>
  <r>
    <s v="ORD2511"/>
    <s v="04-02-2021"/>
    <s v="CUST756"/>
    <x v="2"/>
    <x v="3"/>
    <x v="1"/>
    <s v="Vikas"/>
    <n v="700"/>
    <n v="50"/>
    <n v="30"/>
    <x v="0"/>
    <n v="47"/>
    <x v="0"/>
    <n v="1"/>
    <n v="670"/>
    <x v="379"/>
    <x v="2"/>
    <n v="2"/>
  </r>
  <r>
    <s v="ORD2512"/>
    <s v="08-02-2021"/>
    <s v="CUST659"/>
    <x v="0"/>
    <x v="10"/>
    <x v="0"/>
    <s v="Imran"/>
    <n v="556"/>
    <n v="40"/>
    <n v="100"/>
    <x v="0"/>
    <n v="53"/>
    <x v="0"/>
    <n v="1"/>
    <n v="456"/>
    <x v="30"/>
    <x v="2"/>
    <n v="2"/>
  </r>
  <r>
    <s v="ORD2513"/>
    <s v="15-03-2021"/>
    <s v="CUST953"/>
    <x v="1"/>
    <x v="8"/>
    <x v="2"/>
    <s v="Vikas"/>
    <n v="563"/>
    <n v="40"/>
    <n v="30"/>
    <x v="0"/>
    <n v="28"/>
    <x v="0"/>
    <n v="1"/>
    <n v="533"/>
    <x v="111"/>
    <x v="0"/>
    <n v="3"/>
  </r>
  <r>
    <s v="ORD2514"/>
    <s v="17-01-2021"/>
    <s v="CUST1087"/>
    <x v="3"/>
    <x v="4"/>
    <x v="2"/>
    <s v="Suresh"/>
    <n v="701"/>
    <n v="50"/>
    <n v="0"/>
    <x v="1"/>
    <n v="55"/>
    <x v="0"/>
    <n v="1"/>
    <n v="701"/>
    <x v="621"/>
    <x v="1"/>
    <n v="1"/>
  </r>
  <r>
    <s v="ORD2515"/>
    <s v="08-02-2021"/>
    <s v="CUST631"/>
    <x v="3"/>
    <x v="4"/>
    <x v="2"/>
    <s v="Rohit"/>
    <n v="656"/>
    <n v="50"/>
    <n v="50"/>
    <x v="0"/>
    <n v="33"/>
    <x v="0"/>
    <n v="1"/>
    <n v="606"/>
    <x v="367"/>
    <x v="2"/>
    <n v="2"/>
  </r>
  <r>
    <s v="ORD2516"/>
    <s v="03-01-2021"/>
    <s v="CUST1149"/>
    <x v="3"/>
    <x v="7"/>
    <x v="0"/>
    <s v="Manoj"/>
    <n v="417"/>
    <n v="30"/>
    <n v="0"/>
    <x v="0"/>
    <n v="35"/>
    <x v="0"/>
    <n v="1"/>
    <n v="417"/>
    <x v="622"/>
    <x v="1"/>
    <n v="1"/>
  </r>
  <r>
    <s v="ORD2517"/>
    <s v="01-02-2021"/>
    <s v="CUST979"/>
    <x v="2"/>
    <x v="3"/>
    <x v="1"/>
    <s v="Amit"/>
    <n v="696"/>
    <n v="50"/>
    <n v="20"/>
    <x v="2"/>
    <n v="38"/>
    <x v="0"/>
    <n v="1"/>
    <n v="676"/>
    <x v="223"/>
    <x v="2"/>
    <n v="2"/>
  </r>
  <r>
    <s v="ORD2518"/>
    <s v="20-01-2021"/>
    <s v="CUST843"/>
    <x v="2"/>
    <x v="3"/>
    <x v="1"/>
    <s v="Vikas"/>
    <n v="487"/>
    <n v="50"/>
    <n v="30"/>
    <x v="1"/>
    <n v="37"/>
    <x v="0"/>
    <n v="1"/>
    <n v="457"/>
    <x v="146"/>
    <x v="1"/>
    <n v="1"/>
  </r>
  <r>
    <s v="ORD2519"/>
    <s v="30-03-2021"/>
    <s v="CUST1047"/>
    <x v="0"/>
    <x v="12"/>
    <x v="3"/>
    <s v="Arjun"/>
    <n v="273"/>
    <n v="40"/>
    <n v="100"/>
    <x v="1"/>
    <n v="37"/>
    <x v="0"/>
    <n v="1"/>
    <n v="173"/>
    <x v="409"/>
    <x v="0"/>
    <n v="3"/>
  </r>
  <r>
    <s v="ORD2520"/>
    <s v="25-03-2021"/>
    <s v="CUST564"/>
    <x v="0"/>
    <x v="0"/>
    <x v="0"/>
    <s v="Vikas"/>
    <n v="288"/>
    <n v="40"/>
    <n v="100"/>
    <x v="2"/>
    <n v="45"/>
    <x v="0"/>
    <n v="1"/>
    <n v="188"/>
    <x v="184"/>
    <x v="0"/>
    <n v="3"/>
  </r>
  <r>
    <s v="ORD2521"/>
    <s v="27-03-2021"/>
    <s v="CUST1025"/>
    <x v="4"/>
    <x v="5"/>
    <x v="3"/>
    <s v="Vikas"/>
    <n v="686"/>
    <n v="30"/>
    <n v="0"/>
    <x v="1"/>
    <n v="32"/>
    <x v="0"/>
    <n v="1"/>
    <n v="686"/>
    <x v="145"/>
    <x v="0"/>
    <n v="3"/>
  </r>
  <r>
    <s v="ORD2522"/>
    <s v="10-02-2021"/>
    <s v="CUST1180"/>
    <x v="3"/>
    <x v="4"/>
    <x v="2"/>
    <s v="Arjun"/>
    <n v="167"/>
    <n v="50"/>
    <n v="100"/>
    <x v="1"/>
    <n v="53"/>
    <x v="0"/>
    <n v="1"/>
    <n v="67"/>
    <x v="623"/>
    <x v="2"/>
    <n v="2"/>
  </r>
  <r>
    <s v="ORD2523"/>
    <s v="06-03-2021"/>
    <s v="CUST982"/>
    <x v="4"/>
    <x v="14"/>
    <x v="0"/>
    <s v="Rohit"/>
    <n v="392"/>
    <n v="50"/>
    <n v="30"/>
    <x v="0"/>
    <n v="48"/>
    <x v="0"/>
    <n v="1"/>
    <n v="362"/>
    <x v="377"/>
    <x v="0"/>
    <n v="3"/>
  </r>
  <r>
    <s v="ORD2524"/>
    <s v="18-03-2021"/>
    <s v="CUST505"/>
    <x v="2"/>
    <x v="3"/>
    <x v="1"/>
    <s v="Karan"/>
    <n v="261"/>
    <n v="40"/>
    <n v="0"/>
    <x v="1"/>
    <n v="45"/>
    <x v="0"/>
    <n v="1"/>
    <n v="261"/>
    <x v="133"/>
    <x v="0"/>
    <n v="3"/>
  </r>
  <r>
    <s v="ORD2525"/>
    <s v="11-03-2021"/>
    <s v="CUST603"/>
    <x v="0"/>
    <x v="12"/>
    <x v="3"/>
    <s v="Rohit"/>
    <n v="677"/>
    <n v="20"/>
    <n v="30"/>
    <x v="1"/>
    <n v="31"/>
    <x v="0"/>
    <n v="1"/>
    <n v="647"/>
    <x v="624"/>
    <x v="0"/>
    <n v="3"/>
  </r>
  <r>
    <s v="ORD2526"/>
    <s v="03-03-2021"/>
    <s v="CUST924"/>
    <x v="0"/>
    <x v="10"/>
    <x v="0"/>
    <s v="Suresh"/>
    <n v="421"/>
    <n v="20"/>
    <n v="100"/>
    <x v="2"/>
    <n v="34"/>
    <x v="0"/>
    <n v="1"/>
    <n v="321"/>
    <x v="467"/>
    <x v="0"/>
    <n v="3"/>
  </r>
  <r>
    <s v="ORD2527"/>
    <s v="05-03-2021"/>
    <s v="CUST776"/>
    <x v="2"/>
    <x v="11"/>
    <x v="0"/>
    <s v="Rohit"/>
    <n v="642"/>
    <n v="20"/>
    <n v="20"/>
    <x v="2"/>
    <n v="57"/>
    <x v="0"/>
    <n v="1"/>
    <n v="622"/>
    <x v="412"/>
    <x v="0"/>
    <n v="3"/>
  </r>
  <r>
    <s v="ORD2528"/>
    <s v="28-02-2021"/>
    <s v="CUST1189"/>
    <x v="4"/>
    <x v="5"/>
    <x v="3"/>
    <s v="Rohit"/>
    <n v="418"/>
    <n v="50"/>
    <n v="100"/>
    <x v="1"/>
    <n v="42"/>
    <x v="0"/>
    <n v="1"/>
    <n v="318"/>
    <x v="163"/>
    <x v="2"/>
    <n v="2"/>
  </r>
  <r>
    <s v="ORD2529"/>
    <s v="02-03-2021"/>
    <s v="CUST961"/>
    <x v="4"/>
    <x v="5"/>
    <x v="3"/>
    <s v="Karan"/>
    <n v="495"/>
    <n v="50"/>
    <n v="20"/>
    <x v="1"/>
    <n v="42"/>
    <x v="0"/>
    <n v="1"/>
    <n v="475"/>
    <x v="307"/>
    <x v="0"/>
    <n v="3"/>
  </r>
  <r>
    <s v="ORD2530"/>
    <s v="25-01-2021"/>
    <s v="CUST1115"/>
    <x v="4"/>
    <x v="9"/>
    <x v="4"/>
    <s v="Rohit"/>
    <n v="536"/>
    <n v="40"/>
    <n v="20"/>
    <x v="0"/>
    <n v="24"/>
    <x v="0"/>
    <n v="1"/>
    <n v="516"/>
    <x v="193"/>
    <x v="1"/>
    <n v="1"/>
  </r>
  <r>
    <s v="ORD2531"/>
    <s v="16-01-2021"/>
    <s v="CUST757"/>
    <x v="0"/>
    <x v="10"/>
    <x v="0"/>
    <s v="Deepak"/>
    <n v="642"/>
    <n v="50"/>
    <n v="50"/>
    <x v="2"/>
    <n v="38"/>
    <x v="0"/>
    <n v="1"/>
    <n v="592"/>
    <x v="412"/>
    <x v="1"/>
    <n v="1"/>
  </r>
  <r>
    <s v="ORD2532"/>
    <s v="31-03-2021"/>
    <s v="CUST833"/>
    <x v="2"/>
    <x v="6"/>
    <x v="2"/>
    <s v="Manoj"/>
    <n v="269"/>
    <n v="30"/>
    <n v="30"/>
    <x v="1"/>
    <n v="31"/>
    <x v="0"/>
    <n v="1"/>
    <n v="239"/>
    <x v="584"/>
    <x v="0"/>
    <n v="3"/>
  </r>
  <r>
    <s v="ORD2533"/>
    <s v="02-03-2021"/>
    <s v="CUST772"/>
    <x v="0"/>
    <x v="12"/>
    <x v="3"/>
    <s v="Amit"/>
    <n v="364"/>
    <n v="20"/>
    <n v="50"/>
    <x v="1"/>
    <n v="27"/>
    <x v="0"/>
    <n v="1"/>
    <n v="314"/>
    <x v="560"/>
    <x v="0"/>
    <n v="3"/>
  </r>
  <r>
    <s v="ORD2534"/>
    <s v="19-01-2021"/>
    <s v="CUST530"/>
    <x v="2"/>
    <x v="3"/>
    <x v="1"/>
    <s v="Imran"/>
    <n v="714"/>
    <n v="20"/>
    <n v="20"/>
    <x v="1"/>
    <n v="52"/>
    <x v="0"/>
    <n v="1"/>
    <n v="694"/>
    <x v="49"/>
    <x v="1"/>
    <n v="1"/>
  </r>
  <r>
    <s v="ORD2535"/>
    <s v="27-02-2021"/>
    <s v="CUST974"/>
    <x v="4"/>
    <x v="14"/>
    <x v="0"/>
    <s v="Amit"/>
    <n v="180"/>
    <n v="30"/>
    <n v="20"/>
    <x v="1"/>
    <n v="31"/>
    <x v="0"/>
    <n v="1"/>
    <n v="160"/>
    <x v="484"/>
    <x v="2"/>
    <n v="2"/>
  </r>
  <r>
    <s v="ORD2536"/>
    <s v="25-03-2021"/>
    <s v="CUST1098"/>
    <x v="3"/>
    <x v="7"/>
    <x v="0"/>
    <s v="Suresh"/>
    <n v="293"/>
    <n v="20"/>
    <n v="50"/>
    <x v="1"/>
    <n v="53"/>
    <x v="0"/>
    <n v="1"/>
    <n v="243"/>
    <x v="524"/>
    <x v="0"/>
    <n v="3"/>
  </r>
  <r>
    <s v="ORD2537"/>
    <s v="06-03-2021"/>
    <s v="CUST796"/>
    <x v="1"/>
    <x v="1"/>
    <x v="1"/>
    <s v="Manoj"/>
    <n v="694"/>
    <n v="30"/>
    <n v="30"/>
    <x v="1"/>
    <n v="44"/>
    <x v="0"/>
    <n v="1"/>
    <n v="664"/>
    <x v="321"/>
    <x v="0"/>
    <n v="3"/>
  </r>
  <r>
    <s v="ORD2538"/>
    <s v="14-03-2021"/>
    <s v="CUST1116"/>
    <x v="0"/>
    <x v="0"/>
    <x v="0"/>
    <s v="Rohit"/>
    <n v="577"/>
    <n v="20"/>
    <n v="20"/>
    <x v="2"/>
    <n v="58"/>
    <x v="0"/>
    <n v="1"/>
    <n v="557"/>
    <x v="131"/>
    <x v="0"/>
    <n v="3"/>
  </r>
  <r>
    <s v="ORD2539"/>
    <s v="06-02-2021"/>
    <s v="CUST746"/>
    <x v="4"/>
    <x v="14"/>
    <x v="0"/>
    <s v="Manoj"/>
    <n v="259"/>
    <n v="30"/>
    <n v="30"/>
    <x v="2"/>
    <n v="22"/>
    <x v="1"/>
    <n v="1"/>
    <n v="229"/>
    <x v="74"/>
    <x v="2"/>
    <n v="2"/>
  </r>
  <r>
    <s v="ORD2540"/>
    <s v="27-03-2021"/>
    <s v="CUST803"/>
    <x v="3"/>
    <x v="4"/>
    <x v="2"/>
    <s v="Deepak"/>
    <n v="519"/>
    <n v="30"/>
    <n v="30"/>
    <x v="1"/>
    <n v="46"/>
    <x v="0"/>
    <n v="1"/>
    <n v="489"/>
    <x v="93"/>
    <x v="0"/>
    <n v="3"/>
  </r>
  <r>
    <s v="ORD2541"/>
    <s v="02-02-2021"/>
    <s v="CUST967"/>
    <x v="1"/>
    <x v="2"/>
    <x v="1"/>
    <s v="Arjun"/>
    <n v="428"/>
    <n v="30"/>
    <n v="50"/>
    <x v="2"/>
    <n v="50"/>
    <x v="0"/>
    <n v="1"/>
    <n v="378"/>
    <x v="36"/>
    <x v="2"/>
    <n v="2"/>
  </r>
  <r>
    <s v="ORD2542"/>
    <s v="21-02-2021"/>
    <s v="CUST840"/>
    <x v="1"/>
    <x v="1"/>
    <x v="1"/>
    <s v="Amit"/>
    <n v="764"/>
    <n v="20"/>
    <n v="100"/>
    <x v="0"/>
    <n v="24"/>
    <x v="0"/>
    <n v="1"/>
    <n v="664"/>
    <x v="47"/>
    <x v="2"/>
    <n v="2"/>
  </r>
  <r>
    <s v="ORD2543"/>
    <s v="19-03-2021"/>
    <s v="CUST953"/>
    <x v="2"/>
    <x v="3"/>
    <x v="1"/>
    <s v="Vikas"/>
    <n v="646"/>
    <n v="50"/>
    <n v="20"/>
    <x v="1"/>
    <n v="49"/>
    <x v="1"/>
    <n v="1"/>
    <n v="626"/>
    <x v="366"/>
    <x v="0"/>
    <n v="3"/>
  </r>
  <r>
    <s v="ORD2544"/>
    <s v="16-02-2021"/>
    <s v="CUST1072"/>
    <x v="0"/>
    <x v="12"/>
    <x v="3"/>
    <s v="Suresh"/>
    <n v="220"/>
    <n v="20"/>
    <n v="20"/>
    <x v="2"/>
    <n v="45"/>
    <x v="0"/>
    <n v="1"/>
    <n v="200"/>
    <x v="430"/>
    <x v="2"/>
    <n v="2"/>
  </r>
  <r>
    <s v="ORD2545"/>
    <s v="29-03-2021"/>
    <s v="CUST653"/>
    <x v="3"/>
    <x v="7"/>
    <x v="0"/>
    <s v="Suresh"/>
    <n v="189"/>
    <n v="40"/>
    <n v="0"/>
    <x v="1"/>
    <n v="38"/>
    <x v="1"/>
    <n v="1"/>
    <n v="189"/>
    <x v="590"/>
    <x v="0"/>
    <n v="3"/>
  </r>
  <r>
    <s v="ORD2546"/>
    <s v="03-03-2021"/>
    <s v="CUST523"/>
    <x v="2"/>
    <x v="11"/>
    <x v="0"/>
    <s v="Amit"/>
    <n v="236"/>
    <n v="50"/>
    <n v="100"/>
    <x v="0"/>
    <n v="27"/>
    <x v="0"/>
    <n v="1"/>
    <n v="136"/>
    <x v="187"/>
    <x v="0"/>
    <n v="3"/>
  </r>
  <r>
    <s v="ORD2547"/>
    <s v="24-03-2021"/>
    <s v="CUST998"/>
    <x v="4"/>
    <x v="14"/>
    <x v="0"/>
    <s v="Karan"/>
    <n v="567"/>
    <n v="50"/>
    <n v="50"/>
    <x v="0"/>
    <n v="27"/>
    <x v="0"/>
    <n v="1"/>
    <n v="517"/>
    <x v="419"/>
    <x v="0"/>
    <n v="3"/>
  </r>
  <r>
    <s v="ORD2548"/>
    <s v="01-01-2021"/>
    <s v="CUST1032"/>
    <x v="4"/>
    <x v="9"/>
    <x v="4"/>
    <s v="Suresh"/>
    <n v="210"/>
    <n v="40"/>
    <n v="0"/>
    <x v="2"/>
    <n v="50"/>
    <x v="0"/>
    <n v="1"/>
    <n v="210"/>
    <x v="117"/>
    <x v="1"/>
    <n v="1"/>
  </r>
  <r>
    <s v="ORD2549"/>
    <s v="20-01-2021"/>
    <s v="CUST1186"/>
    <x v="3"/>
    <x v="7"/>
    <x v="0"/>
    <s v="Manoj"/>
    <n v="648"/>
    <n v="40"/>
    <n v="100"/>
    <x v="1"/>
    <n v="45"/>
    <x v="0"/>
    <n v="1"/>
    <n v="548"/>
    <x v="9"/>
    <x v="1"/>
    <n v="1"/>
  </r>
  <r>
    <s v="ORD2550"/>
    <s v="22-02-2021"/>
    <s v="CUST635"/>
    <x v="2"/>
    <x v="6"/>
    <x v="2"/>
    <s v="Manoj"/>
    <n v="682"/>
    <n v="30"/>
    <n v="50"/>
    <x v="0"/>
    <n v="49"/>
    <x v="1"/>
    <n v="1"/>
    <n v="632"/>
    <x v="458"/>
    <x v="2"/>
    <n v="2"/>
  </r>
  <r>
    <s v="ORD2551"/>
    <s v="23-02-2021"/>
    <s v="CUST641"/>
    <x v="2"/>
    <x v="11"/>
    <x v="0"/>
    <s v="Rohit"/>
    <n v="564"/>
    <n v="40"/>
    <n v="0"/>
    <x v="0"/>
    <n v="39"/>
    <x v="0"/>
    <n v="1"/>
    <n v="564"/>
    <x v="398"/>
    <x v="2"/>
    <n v="2"/>
  </r>
  <r>
    <s v="ORD2552"/>
    <s v="07-03-2021"/>
    <s v="CUST1046"/>
    <x v="0"/>
    <x v="10"/>
    <x v="0"/>
    <s v="Imran"/>
    <n v="543"/>
    <n v="20"/>
    <n v="0"/>
    <x v="2"/>
    <n v="39"/>
    <x v="0"/>
    <n v="1"/>
    <n v="543"/>
    <x v="538"/>
    <x v="0"/>
    <n v="3"/>
  </r>
  <r>
    <s v="ORD2553"/>
    <s v="03-01-2021"/>
    <s v="CUST1042"/>
    <x v="2"/>
    <x v="11"/>
    <x v="0"/>
    <s v="Deepak"/>
    <n v="398"/>
    <n v="50"/>
    <n v="20"/>
    <x v="0"/>
    <n v="51"/>
    <x v="0"/>
    <n v="1"/>
    <n v="378"/>
    <x v="547"/>
    <x v="1"/>
    <n v="1"/>
  </r>
  <r>
    <s v="ORD2554"/>
    <s v="24-02-2021"/>
    <s v="CUST925"/>
    <x v="1"/>
    <x v="2"/>
    <x v="1"/>
    <s v="Suresh"/>
    <n v="213"/>
    <n v="30"/>
    <n v="30"/>
    <x v="2"/>
    <n v="33"/>
    <x v="0"/>
    <n v="1"/>
    <n v="183"/>
    <x v="409"/>
    <x v="2"/>
    <n v="2"/>
  </r>
  <r>
    <s v="ORD2555"/>
    <s v="28-02-2021"/>
    <s v="CUST1166"/>
    <x v="1"/>
    <x v="2"/>
    <x v="1"/>
    <s v="Rohit"/>
    <n v="211"/>
    <n v="50"/>
    <n v="20"/>
    <x v="2"/>
    <n v="56"/>
    <x v="0"/>
    <n v="1"/>
    <n v="191"/>
    <x v="220"/>
    <x v="2"/>
    <n v="2"/>
  </r>
  <r>
    <s v="ORD2556"/>
    <s v="19-02-2021"/>
    <s v="CUST547"/>
    <x v="2"/>
    <x v="3"/>
    <x v="1"/>
    <s v="Karan"/>
    <n v="495"/>
    <n v="50"/>
    <n v="50"/>
    <x v="2"/>
    <n v="35"/>
    <x v="0"/>
    <n v="1"/>
    <n v="445"/>
    <x v="433"/>
    <x v="2"/>
    <n v="2"/>
  </r>
  <r>
    <s v="ORD2557"/>
    <s v="19-01-2021"/>
    <s v="CUST950"/>
    <x v="1"/>
    <x v="8"/>
    <x v="2"/>
    <s v="Manoj"/>
    <n v="560"/>
    <n v="30"/>
    <n v="20"/>
    <x v="2"/>
    <n v="23"/>
    <x v="0"/>
    <n v="1"/>
    <n v="540"/>
    <x v="408"/>
    <x v="1"/>
    <n v="1"/>
  </r>
  <r>
    <s v="ORD2558"/>
    <s v="31-01-2021"/>
    <s v="CUST785"/>
    <x v="2"/>
    <x v="6"/>
    <x v="2"/>
    <s v="Vikas"/>
    <n v="693"/>
    <n v="20"/>
    <n v="20"/>
    <x v="1"/>
    <n v="24"/>
    <x v="0"/>
    <n v="1"/>
    <n v="673"/>
    <x v="219"/>
    <x v="1"/>
    <n v="1"/>
  </r>
  <r>
    <s v="ORD2559"/>
    <s v="01-03-2021"/>
    <s v="CUST864"/>
    <x v="0"/>
    <x v="0"/>
    <x v="0"/>
    <s v="Rohit"/>
    <n v="527"/>
    <n v="50"/>
    <n v="30"/>
    <x v="1"/>
    <n v="22"/>
    <x v="0"/>
    <n v="1"/>
    <n v="497"/>
    <x v="625"/>
    <x v="0"/>
    <n v="3"/>
  </r>
  <r>
    <s v="ORD2560"/>
    <s v="26-03-2021"/>
    <s v="CUST1132"/>
    <x v="2"/>
    <x v="3"/>
    <x v="1"/>
    <s v="Vikas"/>
    <n v="552"/>
    <n v="50"/>
    <n v="20"/>
    <x v="1"/>
    <n v="27"/>
    <x v="0"/>
    <n v="1"/>
    <n v="532"/>
    <x v="626"/>
    <x v="0"/>
    <n v="3"/>
  </r>
  <r>
    <s v="ORD2561"/>
    <s v="17-02-2021"/>
    <s v="CUST878"/>
    <x v="0"/>
    <x v="12"/>
    <x v="3"/>
    <s v="Deepak"/>
    <n v="241"/>
    <n v="50"/>
    <n v="50"/>
    <x v="0"/>
    <n v="43"/>
    <x v="0"/>
    <n v="1"/>
    <n v="191"/>
    <x v="220"/>
    <x v="2"/>
    <n v="2"/>
  </r>
  <r>
    <s v="ORD2562"/>
    <s v="26-02-2021"/>
    <s v="CUST970"/>
    <x v="1"/>
    <x v="8"/>
    <x v="2"/>
    <s v="Karan"/>
    <n v="621"/>
    <n v="20"/>
    <n v="30"/>
    <x v="1"/>
    <n v="26"/>
    <x v="1"/>
    <n v="1"/>
    <n v="591"/>
    <x v="627"/>
    <x v="2"/>
    <n v="2"/>
  </r>
  <r>
    <s v="ORD2563"/>
    <s v="20-03-2021"/>
    <s v="CUST598"/>
    <x v="3"/>
    <x v="4"/>
    <x v="2"/>
    <s v="Vikas"/>
    <n v="570"/>
    <n v="40"/>
    <n v="20"/>
    <x v="2"/>
    <n v="55"/>
    <x v="0"/>
    <n v="1"/>
    <n v="550"/>
    <x v="354"/>
    <x v="0"/>
    <n v="3"/>
  </r>
  <r>
    <s v="ORD2564"/>
    <s v="26-03-2021"/>
    <s v="CUST1136"/>
    <x v="4"/>
    <x v="14"/>
    <x v="0"/>
    <s v="Manoj"/>
    <n v="150"/>
    <n v="40"/>
    <n v="50"/>
    <x v="0"/>
    <n v="30"/>
    <x v="0"/>
    <n v="1"/>
    <n v="100"/>
    <x v="628"/>
    <x v="0"/>
    <n v="3"/>
  </r>
  <r>
    <s v="ORD2565"/>
    <s v="09-03-2021"/>
    <s v="CUST662"/>
    <x v="1"/>
    <x v="8"/>
    <x v="2"/>
    <s v="Karan"/>
    <n v="542"/>
    <n v="30"/>
    <n v="30"/>
    <x v="2"/>
    <n v="47"/>
    <x v="1"/>
    <n v="1"/>
    <n v="512"/>
    <x v="562"/>
    <x v="0"/>
    <n v="3"/>
  </r>
  <r>
    <s v="ORD2566"/>
    <s v="15-01-2021"/>
    <s v="CUST666"/>
    <x v="1"/>
    <x v="8"/>
    <x v="2"/>
    <s v="Rahul"/>
    <n v="391"/>
    <n v="40"/>
    <n v="30"/>
    <x v="1"/>
    <n v="47"/>
    <x v="0"/>
    <n v="1"/>
    <n v="361"/>
    <x v="629"/>
    <x v="1"/>
    <n v="1"/>
  </r>
  <r>
    <s v="ORD2567"/>
    <s v="06-02-2021"/>
    <s v="CUST989"/>
    <x v="0"/>
    <x v="10"/>
    <x v="0"/>
    <s v="Karan"/>
    <n v="318"/>
    <n v="20"/>
    <n v="50"/>
    <x v="1"/>
    <n v="56"/>
    <x v="0"/>
    <n v="1"/>
    <n v="268"/>
    <x v="369"/>
    <x v="2"/>
    <n v="2"/>
  </r>
  <r>
    <s v="ORD2568"/>
    <s v="15-01-2021"/>
    <s v="CUST666"/>
    <x v="2"/>
    <x v="6"/>
    <x v="2"/>
    <s v="Arjun"/>
    <n v="188"/>
    <n v="20"/>
    <n v="30"/>
    <x v="2"/>
    <n v="24"/>
    <x v="0"/>
    <n v="1"/>
    <n v="158"/>
    <x v="463"/>
    <x v="1"/>
    <n v="1"/>
  </r>
  <r>
    <s v="ORD2569"/>
    <s v="23-02-2021"/>
    <s v="CUST1154"/>
    <x v="3"/>
    <x v="13"/>
    <x v="1"/>
    <s v="Rahul"/>
    <n v="480"/>
    <n v="40"/>
    <n v="0"/>
    <x v="0"/>
    <n v="46"/>
    <x v="0"/>
    <n v="1"/>
    <n v="480"/>
    <x v="202"/>
    <x v="2"/>
    <n v="2"/>
  </r>
  <r>
    <s v="ORD2570"/>
    <s v="26-03-2021"/>
    <s v="CUST973"/>
    <x v="1"/>
    <x v="8"/>
    <x v="2"/>
    <s v="Rahul"/>
    <n v="452"/>
    <n v="40"/>
    <n v="0"/>
    <x v="0"/>
    <n v="34"/>
    <x v="1"/>
    <n v="1"/>
    <n v="452"/>
    <x v="158"/>
    <x v="0"/>
    <n v="3"/>
  </r>
  <r>
    <s v="ORD2571"/>
    <s v="11-03-2021"/>
    <s v="CUST676"/>
    <x v="3"/>
    <x v="4"/>
    <x v="2"/>
    <s v="Imran"/>
    <n v="195"/>
    <n v="30"/>
    <n v="20"/>
    <x v="0"/>
    <n v="59"/>
    <x v="1"/>
    <n v="1"/>
    <n v="175"/>
    <x v="506"/>
    <x v="0"/>
    <n v="3"/>
  </r>
  <r>
    <s v="ORD2572"/>
    <s v="22-02-2021"/>
    <s v="CUST611"/>
    <x v="0"/>
    <x v="12"/>
    <x v="3"/>
    <s v="Karan"/>
    <n v="332"/>
    <n v="30"/>
    <n v="20"/>
    <x v="1"/>
    <n v="57"/>
    <x v="0"/>
    <n v="1"/>
    <n v="312"/>
    <x v="448"/>
    <x v="2"/>
    <n v="2"/>
  </r>
  <r>
    <s v="ORD2573"/>
    <s v="31-01-2021"/>
    <s v="CUST798"/>
    <x v="1"/>
    <x v="2"/>
    <x v="1"/>
    <s v="Amit"/>
    <n v="284"/>
    <n v="40"/>
    <n v="20"/>
    <x v="2"/>
    <n v="53"/>
    <x v="0"/>
    <n v="1"/>
    <n v="264"/>
    <x v="630"/>
    <x v="1"/>
    <n v="1"/>
  </r>
  <r>
    <s v="ORD2574"/>
    <s v="18-03-2021"/>
    <s v="CUST638"/>
    <x v="3"/>
    <x v="4"/>
    <x v="2"/>
    <s v="Arjun"/>
    <n v="790"/>
    <n v="50"/>
    <n v="20"/>
    <x v="2"/>
    <n v="34"/>
    <x v="1"/>
    <n v="1"/>
    <n v="770"/>
    <x v="631"/>
    <x v="0"/>
    <n v="3"/>
  </r>
  <r>
    <s v="ORD2575"/>
    <s v="15-02-2021"/>
    <s v="CUST660"/>
    <x v="0"/>
    <x v="12"/>
    <x v="3"/>
    <s v="Imran"/>
    <n v="409"/>
    <n v="50"/>
    <n v="0"/>
    <x v="2"/>
    <n v="29"/>
    <x v="0"/>
    <n v="1"/>
    <n v="409"/>
    <x v="12"/>
    <x v="2"/>
    <n v="2"/>
  </r>
  <r>
    <s v="ORD2576"/>
    <s v="17-02-2021"/>
    <s v="CUST1016"/>
    <x v="3"/>
    <x v="4"/>
    <x v="2"/>
    <s v="Arjun"/>
    <n v="335"/>
    <n v="30"/>
    <n v="100"/>
    <x v="1"/>
    <n v="59"/>
    <x v="1"/>
    <n v="1"/>
    <n v="235"/>
    <x v="275"/>
    <x v="2"/>
    <n v="2"/>
  </r>
  <r>
    <s v="ORD2577"/>
    <s v="18-02-2021"/>
    <s v="CUST562"/>
    <x v="1"/>
    <x v="8"/>
    <x v="2"/>
    <s v="Deepak"/>
    <n v="316"/>
    <n v="20"/>
    <n v="20"/>
    <x v="0"/>
    <n v="51"/>
    <x v="0"/>
    <n v="1"/>
    <n v="296"/>
    <x v="98"/>
    <x v="2"/>
    <n v="2"/>
  </r>
  <r>
    <s v="ORD2578"/>
    <s v="27-01-2021"/>
    <s v="CUST631"/>
    <x v="1"/>
    <x v="2"/>
    <x v="1"/>
    <s v="Karan"/>
    <n v="667"/>
    <n v="20"/>
    <n v="0"/>
    <x v="2"/>
    <n v="48"/>
    <x v="0"/>
    <n v="1"/>
    <n v="667"/>
    <x v="341"/>
    <x v="1"/>
    <n v="1"/>
  </r>
  <r>
    <s v="ORD2579"/>
    <s v="13-02-2021"/>
    <s v="CUST758"/>
    <x v="1"/>
    <x v="2"/>
    <x v="1"/>
    <s v="Karan"/>
    <n v="524"/>
    <n v="40"/>
    <n v="0"/>
    <x v="2"/>
    <n v="36"/>
    <x v="0"/>
    <n v="1"/>
    <n v="524"/>
    <x v="501"/>
    <x v="2"/>
    <n v="2"/>
  </r>
  <r>
    <s v="ORD2580"/>
    <s v="06-01-2021"/>
    <s v="CUST708"/>
    <x v="4"/>
    <x v="9"/>
    <x v="4"/>
    <s v="Arjun"/>
    <n v="629"/>
    <n v="50"/>
    <n v="0"/>
    <x v="2"/>
    <n v="59"/>
    <x v="0"/>
    <n v="1"/>
    <n v="629"/>
    <x v="602"/>
    <x v="1"/>
    <n v="1"/>
  </r>
  <r>
    <s v="ORD2581"/>
    <s v="02-01-2021"/>
    <s v="CUST999"/>
    <x v="2"/>
    <x v="6"/>
    <x v="2"/>
    <s v="Rohit"/>
    <n v="447"/>
    <n v="40"/>
    <n v="100"/>
    <x v="1"/>
    <n v="41"/>
    <x v="0"/>
    <n v="1"/>
    <n v="347"/>
    <x v="221"/>
    <x v="1"/>
    <n v="1"/>
  </r>
  <r>
    <s v="ORD2582"/>
    <s v="24-03-2021"/>
    <s v="CUST915"/>
    <x v="4"/>
    <x v="14"/>
    <x v="0"/>
    <s v="Vikas"/>
    <n v="740"/>
    <n v="20"/>
    <n v="50"/>
    <x v="2"/>
    <n v="46"/>
    <x v="0"/>
    <n v="1"/>
    <n v="690"/>
    <x v="316"/>
    <x v="0"/>
    <n v="3"/>
  </r>
  <r>
    <s v="ORD2583"/>
    <s v="26-03-2021"/>
    <s v="CUST648"/>
    <x v="2"/>
    <x v="6"/>
    <x v="2"/>
    <s v="Rohit"/>
    <n v="797"/>
    <n v="30"/>
    <n v="100"/>
    <x v="2"/>
    <n v="39"/>
    <x v="0"/>
    <n v="1"/>
    <n v="697"/>
    <x v="73"/>
    <x v="0"/>
    <n v="3"/>
  </r>
  <r>
    <s v="ORD2584"/>
    <s v="03-02-2021"/>
    <s v="CUST711"/>
    <x v="1"/>
    <x v="8"/>
    <x v="2"/>
    <s v="Manoj"/>
    <n v="187"/>
    <n v="20"/>
    <n v="50"/>
    <x v="1"/>
    <n v="24"/>
    <x v="0"/>
    <n v="1"/>
    <n v="137"/>
    <x v="632"/>
    <x v="2"/>
    <n v="2"/>
  </r>
  <r>
    <s v="ORD2585"/>
    <s v="21-02-2021"/>
    <s v="CUST733"/>
    <x v="4"/>
    <x v="14"/>
    <x v="0"/>
    <s v="Arjun"/>
    <n v="207"/>
    <n v="20"/>
    <n v="20"/>
    <x v="2"/>
    <n v="36"/>
    <x v="0"/>
    <n v="1"/>
    <n v="187"/>
    <x v="113"/>
    <x v="2"/>
    <n v="2"/>
  </r>
  <r>
    <s v="ORD2586"/>
    <s v="05-02-2021"/>
    <s v="CUST995"/>
    <x v="3"/>
    <x v="4"/>
    <x v="2"/>
    <s v="Imran"/>
    <n v="536"/>
    <n v="40"/>
    <n v="20"/>
    <x v="0"/>
    <n v="25"/>
    <x v="0"/>
    <n v="1"/>
    <n v="516"/>
    <x v="193"/>
    <x v="2"/>
    <n v="2"/>
  </r>
  <r>
    <s v="ORD2587"/>
    <s v="14-03-2021"/>
    <s v="CUST541"/>
    <x v="4"/>
    <x v="14"/>
    <x v="0"/>
    <s v="Arjun"/>
    <n v="161"/>
    <n v="20"/>
    <n v="20"/>
    <x v="2"/>
    <n v="59"/>
    <x v="0"/>
    <n v="1"/>
    <n v="141"/>
    <x v="531"/>
    <x v="0"/>
    <n v="3"/>
  </r>
  <r>
    <s v="ORD2588"/>
    <s v="22-02-2021"/>
    <s v="CUST549"/>
    <x v="3"/>
    <x v="7"/>
    <x v="0"/>
    <s v="Arjun"/>
    <n v="250"/>
    <n v="20"/>
    <n v="20"/>
    <x v="0"/>
    <n v="45"/>
    <x v="0"/>
    <n v="1"/>
    <n v="230"/>
    <x v="117"/>
    <x v="2"/>
    <n v="2"/>
  </r>
  <r>
    <s v="ORD2589"/>
    <s v="05-01-2021"/>
    <s v="CUST740"/>
    <x v="0"/>
    <x v="10"/>
    <x v="0"/>
    <s v="Manoj"/>
    <n v="756"/>
    <n v="40"/>
    <n v="30"/>
    <x v="2"/>
    <n v="37"/>
    <x v="0"/>
    <n v="1"/>
    <n v="726"/>
    <x v="486"/>
    <x v="1"/>
    <n v="1"/>
  </r>
  <r>
    <s v="ORD2590"/>
    <s v="04-02-2021"/>
    <s v="CUST913"/>
    <x v="3"/>
    <x v="4"/>
    <x v="2"/>
    <s v="Deepak"/>
    <n v="285"/>
    <n v="20"/>
    <n v="30"/>
    <x v="2"/>
    <n v="60"/>
    <x v="0"/>
    <n v="1"/>
    <n v="255"/>
    <x v="22"/>
    <x v="2"/>
    <n v="2"/>
  </r>
  <r>
    <s v="ORD2591"/>
    <s v="16-03-2021"/>
    <s v="CUST741"/>
    <x v="0"/>
    <x v="0"/>
    <x v="0"/>
    <s v="Vikas"/>
    <n v="161"/>
    <n v="50"/>
    <n v="30"/>
    <x v="2"/>
    <n v="37"/>
    <x v="1"/>
    <n v="1"/>
    <n v="131"/>
    <x v="633"/>
    <x v="0"/>
    <n v="3"/>
  </r>
  <r>
    <s v="ORD2592"/>
    <s v="21-02-2021"/>
    <s v="CUST976"/>
    <x v="0"/>
    <x v="0"/>
    <x v="0"/>
    <s v="Rahul"/>
    <n v="273"/>
    <n v="30"/>
    <n v="100"/>
    <x v="1"/>
    <n v="38"/>
    <x v="0"/>
    <n v="1"/>
    <n v="173"/>
    <x v="331"/>
    <x v="2"/>
    <n v="2"/>
  </r>
  <r>
    <s v="ORD2593"/>
    <s v="14-01-2021"/>
    <s v="CUST558"/>
    <x v="0"/>
    <x v="12"/>
    <x v="3"/>
    <s v="Karan"/>
    <n v="346"/>
    <n v="30"/>
    <n v="50"/>
    <x v="2"/>
    <n v="26"/>
    <x v="0"/>
    <n v="1"/>
    <n v="296"/>
    <x v="634"/>
    <x v="1"/>
    <n v="1"/>
  </r>
  <r>
    <s v="ORD2594"/>
    <s v="18-01-2021"/>
    <s v="CUST911"/>
    <x v="1"/>
    <x v="1"/>
    <x v="1"/>
    <s v="Manoj"/>
    <n v="201"/>
    <n v="30"/>
    <n v="50"/>
    <x v="0"/>
    <n v="34"/>
    <x v="0"/>
    <n v="1"/>
    <n v="151"/>
    <x v="633"/>
    <x v="1"/>
    <n v="1"/>
  </r>
  <r>
    <s v="ORD2595"/>
    <s v="10-01-2021"/>
    <s v="CUST510"/>
    <x v="3"/>
    <x v="4"/>
    <x v="2"/>
    <s v="Vikas"/>
    <n v="692"/>
    <n v="40"/>
    <n v="30"/>
    <x v="1"/>
    <n v="55"/>
    <x v="0"/>
    <n v="1"/>
    <n v="662"/>
    <x v="32"/>
    <x v="1"/>
    <n v="1"/>
  </r>
  <r>
    <s v="ORD2596"/>
    <s v="11-01-2021"/>
    <s v="CUST954"/>
    <x v="2"/>
    <x v="11"/>
    <x v="0"/>
    <s v="Deepak"/>
    <n v="153"/>
    <n v="50"/>
    <n v="50"/>
    <x v="2"/>
    <n v="34"/>
    <x v="0"/>
    <n v="1"/>
    <n v="103"/>
    <x v="482"/>
    <x v="1"/>
    <n v="1"/>
  </r>
  <r>
    <s v="ORD2597"/>
    <s v="09-03-2021"/>
    <s v="CUST1030"/>
    <x v="3"/>
    <x v="4"/>
    <x v="2"/>
    <s v="Vikas"/>
    <n v="491"/>
    <n v="40"/>
    <n v="100"/>
    <x v="1"/>
    <n v="55"/>
    <x v="0"/>
    <n v="1"/>
    <n v="391"/>
    <x v="127"/>
    <x v="0"/>
    <n v="3"/>
  </r>
  <r>
    <s v="ORD2598"/>
    <s v="27-01-2021"/>
    <s v="CUST509"/>
    <x v="4"/>
    <x v="9"/>
    <x v="4"/>
    <s v="Vikas"/>
    <n v="664"/>
    <n v="50"/>
    <n v="50"/>
    <x v="1"/>
    <n v="48"/>
    <x v="0"/>
    <n v="1"/>
    <n v="614"/>
    <x v="60"/>
    <x v="1"/>
    <n v="1"/>
  </r>
  <r>
    <s v="ORD2599"/>
    <s v="24-03-2021"/>
    <s v="CUST1126"/>
    <x v="3"/>
    <x v="13"/>
    <x v="1"/>
    <s v="Manoj"/>
    <n v="158"/>
    <n v="20"/>
    <n v="50"/>
    <x v="0"/>
    <n v="57"/>
    <x v="0"/>
    <n v="1"/>
    <n v="108"/>
    <x v="635"/>
    <x v="0"/>
    <n v="3"/>
  </r>
  <r>
    <s v="ORD2600"/>
    <s v="28-02-2021"/>
    <s v="CUST544"/>
    <x v="2"/>
    <x v="11"/>
    <x v="0"/>
    <s v="Amit"/>
    <n v="654"/>
    <n v="50"/>
    <n v="50"/>
    <x v="2"/>
    <n v="59"/>
    <x v="0"/>
    <n v="1"/>
    <n v="604"/>
    <x v="636"/>
    <x v="2"/>
    <n v="2"/>
  </r>
  <r>
    <s v="ORD2601"/>
    <s v="12-03-2021"/>
    <s v="CUST905"/>
    <x v="3"/>
    <x v="7"/>
    <x v="0"/>
    <s v="Suresh"/>
    <n v="216"/>
    <n v="30"/>
    <n v="100"/>
    <x v="0"/>
    <n v="26"/>
    <x v="0"/>
    <n v="1"/>
    <n v="116"/>
    <x v="197"/>
    <x v="0"/>
    <n v="3"/>
  </r>
  <r>
    <s v="ORD2602"/>
    <s v="24-02-2021"/>
    <s v="CUST983"/>
    <x v="3"/>
    <x v="13"/>
    <x v="1"/>
    <s v="Suresh"/>
    <n v="177"/>
    <n v="50"/>
    <n v="50"/>
    <x v="0"/>
    <n v="58"/>
    <x v="0"/>
    <n v="1"/>
    <n v="127"/>
    <x v="487"/>
    <x v="2"/>
    <n v="2"/>
  </r>
  <r>
    <s v="ORD2603"/>
    <s v="13-01-2021"/>
    <s v="CUST820"/>
    <x v="1"/>
    <x v="1"/>
    <x v="1"/>
    <s v="Manoj"/>
    <n v="608"/>
    <n v="50"/>
    <n v="50"/>
    <x v="0"/>
    <n v="20"/>
    <x v="0"/>
    <n v="1"/>
    <n v="558"/>
    <x v="445"/>
    <x v="1"/>
    <n v="1"/>
  </r>
  <r>
    <s v="ORD2604"/>
    <s v="03-02-2021"/>
    <s v="CUST562"/>
    <x v="2"/>
    <x v="3"/>
    <x v="1"/>
    <s v="Vikas"/>
    <n v="721"/>
    <n v="30"/>
    <n v="50"/>
    <x v="2"/>
    <n v="55"/>
    <x v="0"/>
    <n v="1"/>
    <n v="671"/>
    <x v="42"/>
    <x v="2"/>
    <n v="2"/>
  </r>
  <r>
    <s v="ORD2605"/>
    <s v="03-03-2021"/>
    <s v="CUST977"/>
    <x v="2"/>
    <x v="6"/>
    <x v="2"/>
    <s v="Deepak"/>
    <n v="271"/>
    <n v="40"/>
    <n v="50"/>
    <x v="0"/>
    <n v="22"/>
    <x v="0"/>
    <n v="1"/>
    <n v="221"/>
    <x v="148"/>
    <x v="0"/>
    <n v="3"/>
  </r>
  <r>
    <s v="ORD2606"/>
    <s v="18-03-2021"/>
    <s v="CUST743"/>
    <x v="2"/>
    <x v="11"/>
    <x v="0"/>
    <s v="Karan"/>
    <n v="473"/>
    <n v="50"/>
    <n v="30"/>
    <x v="0"/>
    <n v="51"/>
    <x v="0"/>
    <n v="1"/>
    <n v="443"/>
    <x v="18"/>
    <x v="0"/>
    <n v="3"/>
  </r>
  <r>
    <s v="ORD2607"/>
    <s v="31-01-2021"/>
    <s v="CUST693"/>
    <x v="3"/>
    <x v="7"/>
    <x v="0"/>
    <s v="Karan"/>
    <n v="168"/>
    <n v="40"/>
    <n v="100"/>
    <x v="0"/>
    <n v="29"/>
    <x v="0"/>
    <n v="1"/>
    <n v="68"/>
    <x v="637"/>
    <x v="1"/>
    <n v="1"/>
  </r>
  <r>
    <s v="ORD2608"/>
    <s v="04-01-2021"/>
    <s v="CUST1184"/>
    <x v="1"/>
    <x v="8"/>
    <x v="2"/>
    <s v="Manoj"/>
    <n v="634"/>
    <n v="50"/>
    <n v="100"/>
    <x v="0"/>
    <n v="29"/>
    <x v="0"/>
    <n v="1"/>
    <n v="534"/>
    <x v="299"/>
    <x v="1"/>
    <n v="1"/>
  </r>
  <r>
    <s v="ORD2609"/>
    <s v="02-01-2021"/>
    <s v="CUST777"/>
    <x v="2"/>
    <x v="3"/>
    <x v="1"/>
    <s v="Imran"/>
    <n v="429"/>
    <n v="30"/>
    <n v="30"/>
    <x v="2"/>
    <n v="28"/>
    <x v="0"/>
    <n v="1"/>
    <n v="399"/>
    <x v="457"/>
    <x v="1"/>
    <n v="1"/>
  </r>
  <r>
    <s v="ORD2610"/>
    <s v="06-01-2021"/>
    <s v="CUST561"/>
    <x v="1"/>
    <x v="8"/>
    <x v="2"/>
    <s v="Karan"/>
    <n v="250"/>
    <n v="50"/>
    <n v="30"/>
    <x v="1"/>
    <n v="40"/>
    <x v="0"/>
    <n v="1"/>
    <n v="220"/>
    <x v="249"/>
    <x v="1"/>
    <n v="1"/>
  </r>
  <r>
    <s v="ORD2611"/>
    <s v="20-01-2021"/>
    <s v="CUST544"/>
    <x v="0"/>
    <x v="12"/>
    <x v="3"/>
    <s v="Deepak"/>
    <n v="306"/>
    <n v="50"/>
    <n v="20"/>
    <x v="2"/>
    <n v="43"/>
    <x v="0"/>
    <n v="1"/>
    <n v="286"/>
    <x v="85"/>
    <x v="1"/>
    <n v="1"/>
  </r>
  <r>
    <s v="ORD2612"/>
    <s v="15-02-2021"/>
    <s v="CUST1013"/>
    <x v="0"/>
    <x v="10"/>
    <x v="0"/>
    <s v="Suresh"/>
    <n v="289"/>
    <n v="30"/>
    <n v="20"/>
    <x v="2"/>
    <n v="21"/>
    <x v="0"/>
    <n v="1"/>
    <n v="269"/>
    <x v="485"/>
    <x v="2"/>
    <n v="2"/>
  </r>
  <r>
    <s v="ORD2613"/>
    <s v="09-01-2021"/>
    <s v="CUST826"/>
    <x v="0"/>
    <x v="10"/>
    <x v="0"/>
    <s v="Rahul"/>
    <n v="227"/>
    <n v="20"/>
    <n v="50"/>
    <x v="0"/>
    <n v="34"/>
    <x v="0"/>
    <n v="1"/>
    <n v="177"/>
    <x v="476"/>
    <x v="1"/>
    <n v="1"/>
  </r>
  <r>
    <s v="ORD2614"/>
    <s v="23-03-2021"/>
    <s v="CUST594"/>
    <x v="3"/>
    <x v="13"/>
    <x v="1"/>
    <s v="Rohit"/>
    <n v="451"/>
    <n v="20"/>
    <n v="0"/>
    <x v="1"/>
    <n v="39"/>
    <x v="0"/>
    <n v="1"/>
    <n v="451"/>
    <x v="326"/>
    <x v="0"/>
    <n v="3"/>
  </r>
  <r>
    <s v="ORD2615"/>
    <s v="07-02-2021"/>
    <s v="CUST665"/>
    <x v="1"/>
    <x v="8"/>
    <x v="2"/>
    <s v="Amit"/>
    <n v="234"/>
    <n v="50"/>
    <n v="0"/>
    <x v="2"/>
    <n v="60"/>
    <x v="0"/>
    <n v="1"/>
    <n v="234"/>
    <x v="490"/>
    <x v="2"/>
    <n v="2"/>
  </r>
  <r>
    <s v="ORD2616"/>
    <s v="13-02-2021"/>
    <s v="CUST1005"/>
    <x v="0"/>
    <x v="0"/>
    <x v="0"/>
    <s v="Deepak"/>
    <n v="192"/>
    <n v="50"/>
    <n v="20"/>
    <x v="0"/>
    <n v="31"/>
    <x v="1"/>
    <n v="1"/>
    <n v="172"/>
    <x v="340"/>
    <x v="2"/>
    <n v="2"/>
  </r>
  <r>
    <s v="ORD2617"/>
    <s v="05-02-2021"/>
    <s v="CUST530"/>
    <x v="3"/>
    <x v="13"/>
    <x v="1"/>
    <s v="Imran"/>
    <n v="721"/>
    <n v="50"/>
    <n v="30"/>
    <x v="2"/>
    <n v="25"/>
    <x v="0"/>
    <n v="1"/>
    <n v="691"/>
    <x v="611"/>
    <x v="2"/>
    <n v="2"/>
  </r>
  <r>
    <s v="ORD2618"/>
    <s v="12-01-2021"/>
    <s v="CUST720"/>
    <x v="4"/>
    <x v="14"/>
    <x v="0"/>
    <s v="Vikas"/>
    <n v="219"/>
    <n v="30"/>
    <n v="20"/>
    <x v="0"/>
    <n v="39"/>
    <x v="1"/>
    <n v="1"/>
    <n v="199"/>
    <x v="590"/>
    <x v="1"/>
    <n v="1"/>
  </r>
  <r>
    <s v="ORD2619"/>
    <s v="23-02-2021"/>
    <s v="CUST777"/>
    <x v="0"/>
    <x v="0"/>
    <x v="0"/>
    <s v="Rohit"/>
    <n v="460"/>
    <n v="20"/>
    <n v="20"/>
    <x v="1"/>
    <n v="52"/>
    <x v="0"/>
    <n v="1"/>
    <n v="440"/>
    <x v="45"/>
    <x v="2"/>
    <n v="2"/>
  </r>
  <r>
    <s v="ORD2620"/>
    <s v="30-01-2021"/>
    <s v="CUST520"/>
    <x v="2"/>
    <x v="6"/>
    <x v="2"/>
    <s v="Amit"/>
    <n v="675"/>
    <n v="50"/>
    <n v="100"/>
    <x v="1"/>
    <n v="57"/>
    <x v="0"/>
    <n v="1"/>
    <n v="575"/>
    <x v="336"/>
    <x v="1"/>
    <n v="1"/>
  </r>
  <r>
    <s v="ORD2621"/>
    <s v="01-01-2021"/>
    <s v="CUST715"/>
    <x v="4"/>
    <x v="14"/>
    <x v="0"/>
    <s v="Deepak"/>
    <n v="791"/>
    <n v="30"/>
    <n v="30"/>
    <x v="0"/>
    <n v="45"/>
    <x v="0"/>
    <n v="1"/>
    <n v="761"/>
    <x v="238"/>
    <x v="1"/>
    <n v="1"/>
  </r>
  <r>
    <s v="ORD2622"/>
    <s v="01-02-2021"/>
    <s v="CUST1196"/>
    <x v="0"/>
    <x v="12"/>
    <x v="3"/>
    <s v="Manoj"/>
    <n v="416"/>
    <n v="30"/>
    <n v="50"/>
    <x v="2"/>
    <n v="35"/>
    <x v="0"/>
    <n v="1"/>
    <n v="366"/>
    <x v="56"/>
    <x v="2"/>
    <n v="2"/>
  </r>
  <r>
    <s v="ORD2623"/>
    <s v="28-03-2021"/>
    <s v="CUST1063"/>
    <x v="0"/>
    <x v="12"/>
    <x v="3"/>
    <s v="Deepak"/>
    <n v="406"/>
    <n v="40"/>
    <n v="100"/>
    <x v="2"/>
    <n v="20"/>
    <x v="0"/>
    <n v="1"/>
    <n v="306"/>
    <x v="48"/>
    <x v="0"/>
    <n v="3"/>
  </r>
  <r>
    <s v="ORD2624"/>
    <s v="21-01-2021"/>
    <s v="CUST531"/>
    <x v="1"/>
    <x v="2"/>
    <x v="1"/>
    <s v="Vikas"/>
    <n v="267"/>
    <n v="20"/>
    <n v="100"/>
    <x v="1"/>
    <n v="20"/>
    <x v="0"/>
    <n v="1"/>
    <n v="167"/>
    <x v="97"/>
    <x v="1"/>
    <n v="1"/>
  </r>
  <r>
    <s v="ORD2625"/>
    <s v="23-01-2021"/>
    <s v="CUST814"/>
    <x v="2"/>
    <x v="11"/>
    <x v="0"/>
    <s v="Arjun"/>
    <n v="302"/>
    <n v="40"/>
    <n v="30"/>
    <x v="1"/>
    <n v="42"/>
    <x v="0"/>
    <n v="1"/>
    <n v="272"/>
    <x v="195"/>
    <x v="1"/>
    <n v="1"/>
  </r>
  <r>
    <s v="ORD2626"/>
    <s v="22-02-2021"/>
    <s v="CUST1150"/>
    <x v="1"/>
    <x v="1"/>
    <x v="1"/>
    <s v="Manoj"/>
    <n v="787"/>
    <n v="30"/>
    <n v="50"/>
    <x v="1"/>
    <n v="53"/>
    <x v="0"/>
    <n v="1"/>
    <n v="737"/>
    <x v="638"/>
    <x v="2"/>
    <n v="2"/>
  </r>
  <r>
    <s v="ORD2627"/>
    <s v="22-03-2021"/>
    <s v="CUST695"/>
    <x v="2"/>
    <x v="11"/>
    <x v="0"/>
    <s v="Deepak"/>
    <n v="164"/>
    <n v="40"/>
    <n v="50"/>
    <x v="2"/>
    <n v="40"/>
    <x v="0"/>
    <n v="1"/>
    <n v="114"/>
    <x v="610"/>
    <x v="0"/>
    <n v="3"/>
  </r>
  <r>
    <s v="ORD2628"/>
    <s v="15-03-2021"/>
    <s v="CUST863"/>
    <x v="1"/>
    <x v="1"/>
    <x v="1"/>
    <s v="Suresh"/>
    <n v="387"/>
    <n v="20"/>
    <n v="50"/>
    <x v="2"/>
    <n v="40"/>
    <x v="0"/>
    <n v="1"/>
    <n v="337"/>
    <x v="149"/>
    <x v="0"/>
    <n v="3"/>
  </r>
  <r>
    <s v="ORD2629"/>
    <s v="14-01-2021"/>
    <s v="CUST1090"/>
    <x v="2"/>
    <x v="11"/>
    <x v="0"/>
    <s v="Arjun"/>
    <n v="366"/>
    <n v="30"/>
    <n v="30"/>
    <x v="1"/>
    <n v="33"/>
    <x v="1"/>
    <n v="1"/>
    <n v="336"/>
    <x v="639"/>
    <x v="1"/>
    <n v="1"/>
  </r>
  <r>
    <s v="ORD2630"/>
    <s v="14-02-2021"/>
    <s v="CUST1051"/>
    <x v="1"/>
    <x v="1"/>
    <x v="1"/>
    <s v="Amit"/>
    <n v="341"/>
    <n v="30"/>
    <n v="100"/>
    <x v="1"/>
    <n v="52"/>
    <x v="0"/>
    <n v="1"/>
    <n v="241"/>
    <x v="33"/>
    <x v="2"/>
    <n v="2"/>
  </r>
  <r>
    <s v="ORD2631"/>
    <s v="12-02-2021"/>
    <s v="CUST1104"/>
    <x v="1"/>
    <x v="2"/>
    <x v="1"/>
    <s v="Amit"/>
    <n v="280"/>
    <n v="50"/>
    <n v="0"/>
    <x v="2"/>
    <n v="58"/>
    <x v="0"/>
    <n v="1"/>
    <n v="280"/>
    <x v="640"/>
    <x v="2"/>
    <n v="2"/>
  </r>
  <r>
    <s v="ORD2632"/>
    <s v="16-01-2021"/>
    <s v="CUST1092"/>
    <x v="0"/>
    <x v="0"/>
    <x v="0"/>
    <s v="Vikas"/>
    <n v="280"/>
    <n v="30"/>
    <n v="0"/>
    <x v="2"/>
    <n v="35"/>
    <x v="0"/>
    <n v="1"/>
    <n v="280"/>
    <x v="641"/>
    <x v="1"/>
    <n v="1"/>
  </r>
  <r>
    <s v="ORD2633"/>
    <s v="28-01-2021"/>
    <s v="CUST643"/>
    <x v="2"/>
    <x v="6"/>
    <x v="2"/>
    <s v="Deepak"/>
    <n v="153"/>
    <n v="50"/>
    <n v="30"/>
    <x v="0"/>
    <n v="55"/>
    <x v="0"/>
    <n v="1"/>
    <n v="123"/>
    <x v="4"/>
    <x v="1"/>
    <n v="1"/>
  </r>
  <r>
    <s v="ORD2634"/>
    <s v="26-03-2021"/>
    <s v="CUST670"/>
    <x v="2"/>
    <x v="3"/>
    <x v="1"/>
    <s v="Rahul"/>
    <n v="477"/>
    <n v="40"/>
    <n v="50"/>
    <x v="1"/>
    <n v="49"/>
    <x v="0"/>
    <n v="1"/>
    <n v="427"/>
    <x v="25"/>
    <x v="0"/>
    <n v="3"/>
  </r>
  <r>
    <s v="ORD2635"/>
    <s v="16-02-2021"/>
    <s v="CUST1073"/>
    <x v="2"/>
    <x v="11"/>
    <x v="0"/>
    <s v="Amit"/>
    <n v="520"/>
    <n v="40"/>
    <n v="20"/>
    <x v="0"/>
    <n v="23"/>
    <x v="0"/>
    <n v="1"/>
    <n v="500"/>
    <x v="80"/>
    <x v="2"/>
    <n v="2"/>
  </r>
  <r>
    <s v="ORD2636"/>
    <s v="31-01-2021"/>
    <s v="CUST552"/>
    <x v="1"/>
    <x v="1"/>
    <x v="1"/>
    <s v="Rahul"/>
    <n v="267"/>
    <n v="20"/>
    <n v="30"/>
    <x v="0"/>
    <n v="55"/>
    <x v="0"/>
    <n v="1"/>
    <n v="237"/>
    <x v="38"/>
    <x v="1"/>
    <n v="1"/>
  </r>
  <r>
    <s v="ORD2637"/>
    <s v="26-02-2021"/>
    <s v="CUST705"/>
    <x v="4"/>
    <x v="5"/>
    <x v="3"/>
    <s v="Amit"/>
    <n v="241"/>
    <n v="40"/>
    <n v="50"/>
    <x v="2"/>
    <n v="23"/>
    <x v="0"/>
    <n v="1"/>
    <n v="191"/>
    <x v="320"/>
    <x v="2"/>
    <n v="2"/>
  </r>
  <r>
    <s v="ORD2638"/>
    <s v="19-03-2021"/>
    <s v="CUST974"/>
    <x v="2"/>
    <x v="6"/>
    <x v="2"/>
    <s v="Arjun"/>
    <n v="395"/>
    <n v="50"/>
    <n v="100"/>
    <x v="0"/>
    <n v="31"/>
    <x v="0"/>
    <n v="1"/>
    <n v="295"/>
    <x v="642"/>
    <x v="0"/>
    <n v="3"/>
  </r>
  <r>
    <s v="ORD2639"/>
    <s v="28-02-2021"/>
    <s v="CUST659"/>
    <x v="1"/>
    <x v="1"/>
    <x v="1"/>
    <s v="Amit"/>
    <n v="684"/>
    <n v="20"/>
    <n v="30"/>
    <x v="1"/>
    <n v="53"/>
    <x v="0"/>
    <n v="1"/>
    <n v="654"/>
    <x v="309"/>
    <x v="2"/>
    <n v="2"/>
  </r>
  <r>
    <s v="ORD2640"/>
    <s v="14-03-2021"/>
    <s v="CUST767"/>
    <x v="2"/>
    <x v="6"/>
    <x v="2"/>
    <s v="Arjun"/>
    <n v="487"/>
    <n v="20"/>
    <n v="50"/>
    <x v="2"/>
    <n v="33"/>
    <x v="0"/>
    <n v="1"/>
    <n v="437"/>
    <x v="102"/>
    <x v="0"/>
    <n v="3"/>
  </r>
  <r>
    <s v="ORD2641"/>
    <s v="30-01-2021"/>
    <s v="CUST622"/>
    <x v="1"/>
    <x v="1"/>
    <x v="1"/>
    <s v="Imran"/>
    <n v="472"/>
    <n v="30"/>
    <n v="30"/>
    <x v="0"/>
    <n v="22"/>
    <x v="0"/>
    <n v="1"/>
    <n v="442"/>
    <x v="325"/>
    <x v="1"/>
    <n v="1"/>
  </r>
  <r>
    <s v="ORD2642"/>
    <s v="30-01-2021"/>
    <s v="CUST920"/>
    <x v="4"/>
    <x v="9"/>
    <x v="4"/>
    <s v="Suresh"/>
    <n v="559"/>
    <n v="30"/>
    <n v="100"/>
    <x v="0"/>
    <n v="42"/>
    <x v="0"/>
    <n v="1"/>
    <n v="459"/>
    <x v="334"/>
    <x v="1"/>
    <n v="1"/>
  </r>
  <r>
    <s v="ORD2643"/>
    <s v="01-03-2021"/>
    <s v="CUST687"/>
    <x v="2"/>
    <x v="11"/>
    <x v="0"/>
    <s v="Imran"/>
    <n v="304"/>
    <n v="50"/>
    <n v="0"/>
    <x v="2"/>
    <n v="44"/>
    <x v="0"/>
    <n v="1"/>
    <n v="304"/>
    <x v="59"/>
    <x v="0"/>
    <n v="3"/>
  </r>
  <r>
    <s v="ORD2644"/>
    <s v="08-01-2021"/>
    <s v="CUST524"/>
    <x v="1"/>
    <x v="2"/>
    <x v="1"/>
    <s v="Manoj"/>
    <n v="614"/>
    <n v="40"/>
    <n v="50"/>
    <x v="0"/>
    <n v="52"/>
    <x v="1"/>
    <n v="1"/>
    <n v="564"/>
    <x v="398"/>
    <x v="1"/>
    <n v="1"/>
  </r>
  <r>
    <s v="ORD2645"/>
    <s v="23-01-2021"/>
    <s v="CUST1042"/>
    <x v="1"/>
    <x v="1"/>
    <x v="1"/>
    <s v="Deepak"/>
    <n v="190"/>
    <n v="30"/>
    <n v="20"/>
    <x v="1"/>
    <n v="59"/>
    <x v="0"/>
    <n v="1"/>
    <n v="170"/>
    <x v="444"/>
    <x v="1"/>
    <n v="1"/>
  </r>
  <r>
    <s v="ORD2646"/>
    <s v="16-02-2021"/>
    <s v="CUST594"/>
    <x v="3"/>
    <x v="13"/>
    <x v="1"/>
    <s v="Manoj"/>
    <n v="410"/>
    <n v="40"/>
    <n v="20"/>
    <x v="2"/>
    <n v="55"/>
    <x v="0"/>
    <n v="1"/>
    <n v="390"/>
    <x v="100"/>
    <x v="2"/>
    <n v="2"/>
  </r>
  <r>
    <s v="ORD2647"/>
    <s v="29-03-2021"/>
    <s v="CUST679"/>
    <x v="1"/>
    <x v="2"/>
    <x v="1"/>
    <s v="Arjun"/>
    <n v="218"/>
    <n v="50"/>
    <n v="30"/>
    <x v="2"/>
    <n v="36"/>
    <x v="0"/>
    <n v="1"/>
    <n v="188"/>
    <x v="13"/>
    <x v="0"/>
    <n v="3"/>
  </r>
  <r>
    <s v="ORD2648"/>
    <s v="06-02-2021"/>
    <s v="CUST936"/>
    <x v="3"/>
    <x v="7"/>
    <x v="0"/>
    <s v="Suresh"/>
    <n v="235"/>
    <n v="40"/>
    <n v="20"/>
    <x v="2"/>
    <n v="22"/>
    <x v="0"/>
    <n v="1"/>
    <n v="215"/>
    <x v="319"/>
    <x v="2"/>
    <n v="2"/>
  </r>
  <r>
    <s v="ORD2649"/>
    <s v="21-03-2021"/>
    <s v="CUST1197"/>
    <x v="1"/>
    <x v="8"/>
    <x v="2"/>
    <s v="Imran"/>
    <n v="205"/>
    <n v="40"/>
    <n v="100"/>
    <x v="2"/>
    <n v="32"/>
    <x v="0"/>
    <n v="1"/>
    <n v="105"/>
    <x v="575"/>
    <x v="0"/>
    <n v="3"/>
  </r>
  <r>
    <s v="ORD2650"/>
    <s v="02-02-2021"/>
    <s v="CUST1030"/>
    <x v="0"/>
    <x v="10"/>
    <x v="0"/>
    <s v="Vikas"/>
    <n v="362"/>
    <n v="30"/>
    <n v="0"/>
    <x v="1"/>
    <n v="31"/>
    <x v="0"/>
    <n v="1"/>
    <n v="362"/>
    <x v="242"/>
    <x v="2"/>
    <n v="2"/>
  </r>
  <r>
    <s v="ORD2651"/>
    <s v="19-03-2021"/>
    <s v="CUST1053"/>
    <x v="4"/>
    <x v="14"/>
    <x v="0"/>
    <s v="Imran"/>
    <n v="661"/>
    <n v="30"/>
    <n v="30"/>
    <x v="2"/>
    <n v="41"/>
    <x v="0"/>
    <n v="1"/>
    <n v="631"/>
    <x v="40"/>
    <x v="0"/>
    <n v="3"/>
  </r>
  <r>
    <s v="ORD2652"/>
    <s v="20-02-2021"/>
    <s v="CUST665"/>
    <x v="3"/>
    <x v="13"/>
    <x v="1"/>
    <s v="Deepak"/>
    <n v="233"/>
    <n v="20"/>
    <n v="100"/>
    <x v="2"/>
    <n v="28"/>
    <x v="0"/>
    <n v="1"/>
    <n v="133"/>
    <x v="482"/>
    <x v="2"/>
    <n v="2"/>
  </r>
  <r>
    <s v="ORD2653"/>
    <s v="05-01-2021"/>
    <s v="CUST1045"/>
    <x v="0"/>
    <x v="10"/>
    <x v="0"/>
    <s v="Manoj"/>
    <n v="168"/>
    <n v="40"/>
    <n v="50"/>
    <x v="2"/>
    <n v="26"/>
    <x v="0"/>
    <n v="1"/>
    <n v="118"/>
    <x v="536"/>
    <x v="1"/>
    <n v="1"/>
  </r>
  <r>
    <s v="ORD2654"/>
    <s v="15-02-2021"/>
    <s v="CUST830"/>
    <x v="3"/>
    <x v="4"/>
    <x v="2"/>
    <s v="Vikas"/>
    <n v="406"/>
    <n v="50"/>
    <n v="100"/>
    <x v="0"/>
    <n v="39"/>
    <x v="1"/>
    <n v="1"/>
    <n v="306"/>
    <x v="224"/>
    <x v="2"/>
    <n v="2"/>
  </r>
  <r>
    <s v="ORD2655"/>
    <s v="20-02-2021"/>
    <s v="CUST938"/>
    <x v="0"/>
    <x v="10"/>
    <x v="0"/>
    <s v="Karan"/>
    <n v="752"/>
    <n v="20"/>
    <n v="50"/>
    <x v="0"/>
    <n v="56"/>
    <x v="0"/>
    <n v="1"/>
    <n v="702"/>
    <x v="115"/>
    <x v="2"/>
    <n v="2"/>
  </r>
  <r>
    <s v="ORD2656"/>
    <s v="30-01-2021"/>
    <s v="CUST682"/>
    <x v="4"/>
    <x v="5"/>
    <x v="3"/>
    <s v="Rahul"/>
    <n v="372"/>
    <n v="30"/>
    <n v="100"/>
    <x v="2"/>
    <n v="33"/>
    <x v="0"/>
    <n v="1"/>
    <n v="272"/>
    <x v="529"/>
    <x v="1"/>
    <n v="1"/>
  </r>
  <r>
    <s v="ORD2657"/>
    <s v="19-03-2021"/>
    <s v="CUST830"/>
    <x v="1"/>
    <x v="1"/>
    <x v="1"/>
    <s v="Rahul"/>
    <n v="195"/>
    <n v="20"/>
    <n v="30"/>
    <x v="0"/>
    <n v="44"/>
    <x v="0"/>
    <n v="1"/>
    <n v="165"/>
    <x v="24"/>
    <x v="0"/>
    <n v="3"/>
  </r>
  <r>
    <s v="ORD2658"/>
    <s v="26-01-2021"/>
    <s v="CUST613"/>
    <x v="3"/>
    <x v="4"/>
    <x v="2"/>
    <s v="Karan"/>
    <n v="643"/>
    <n v="30"/>
    <n v="50"/>
    <x v="1"/>
    <n v="41"/>
    <x v="0"/>
    <n v="1"/>
    <n v="593"/>
    <x v="576"/>
    <x v="1"/>
    <n v="1"/>
  </r>
  <r>
    <s v="ORD2659"/>
    <s v="10-03-2021"/>
    <s v="CUST1048"/>
    <x v="0"/>
    <x v="10"/>
    <x v="0"/>
    <s v="Suresh"/>
    <n v="712"/>
    <n v="20"/>
    <n v="50"/>
    <x v="2"/>
    <n v="26"/>
    <x v="0"/>
    <n v="1"/>
    <n v="662"/>
    <x v="269"/>
    <x v="0"/>
    <n v="3"/>
  </r>
  <r>
    <s v="ORD2660"/>
    <s v="04-03-2021"/>
    <s v="CUST675"/>
    <x v="0"/>
    <x v="10"/>
    <x v="0"/>
    <s v="Suresh"/>
    <n v="175"/>
    <n v="40"/>
    <n v="20"/>
    <x v="1"/>
    <n v="47"/>
    <x v="0"/>
    <n v="1"/>
    <n v="155"/>
    <x v="346"/>
    <x v="0"/>
    <n v="3"/>
  </r>
  <r>
    <s v="ORD2661"/>
    <s v="10-02-2021"/>
    <s v="CUST566"/>
    <x v="4"/>
    <x v="14"/>
    <x v="0"/>
    <s v="Deepak"/>
    <n v="165"/>
    <n v="30"/>
    <n v="30"/>
    <x v="0"/>
    <n v="42"/>
    <x v="0"/>
    <n v="1"/>
    <n v="135"/>
    <x v="643"/>
    <x v="2"/>
    <n v="2"/>
  </r>
  <r>
    <s v="ORD2662"/>
    <s v="21-02-2021"/>
    <s v="CUST501"/>
    <x v="3"/>
    <x v="13"/>
    <x v="1"/>
    <s v="Deepak"/>
    <n v="521"/>
    <n v="40"/>
    <n v="0"/>
    <x v="0"/>
    <n v="40"/>
    <x v="0"/>
    <n v="1"/>
    <n v="521"/>
    <x v="227"/>
    <x v="2"/>
    <n v="2"/>
  </r>
  <r>
    <s v="ORD2663"/>
    <s v="22-03-2021"/>
    <s v="CUST905"/>
    <x v="4"/>
    <x v="9"/>
    <x v="4"/>
    <s v="Arjun"/>
    <n v="168"/>
    <n v="50"/>
    <n v="30"/>
    <x v="1"/>
    <n v="30"/>
    <x v="0"/>
    <n v="1"/>
    <n v="138"/>
    <x v="112"/>
    <x v="0"/>
    <n v="3"/>
  </r>
  <r>
    <s v="ORD2664"/>
    <s v="26-03-2021"/>
    <s v="CUST926"/>
    <x v="0"/>
    <x v="0"/>
    <x v="0"/>
    <s v="Amit"/>
    <n v="608"/>
    <n v="30"/>
    <n v="0"/>
    <x v="1"/>
    <n v="26"/>
    <x v="0"/>
    <n v="1"/>
    <n v="608"/>
    <x v="171"/>
    <x v="0"/>
    <n v="3"/>
  </r>
  <r>
    <s v="ORD2665"/>
    <s v="14-01-2021"/>
    <s v="CUST528"/>
    <x v="0"/>
    <x v="12"/>
    <x v="3"/>
    <s v="Deepak"/>
    <n v="612"/>
    <n v="50"/>
    <n v="100"/>
    <x v="2"/>
    <n v="33"/>
    <x v="0"/>
    <n v="1"/>
    <n v="512"/>
    <x v="492"/>
    <x v="1"/>
    <n v="1"/>
  </r>
  <r>
    <s v="ORD2666"/>
    <s v="08-01-2021"/>
    <s v="CUST1183"/>
    <x v="1"/>
    <x v="1"/>
    <x v="1"/>
    <s v="Karan"/>
    <n v="371"/>
    <n v="40"/>
    <n v="50"/>
    <x v="2"/>
    <n v="27"/>
    <x v="0"/>
    <n v="1"/>
    <n v="321"/>
    <x v="483"/>
    <x v="1"/>
    <n v="1"/>
  </r>
  <r>
    <s v="ORD2667"/>
    <s v="10-03-2021"/>
    <s v="CUST878"/>
    <x v="1"/>
    <x v="2"/>
    <x v="1"/>
    <s v="Rahul"/>
    <n v="721"/>
    <n v="50"/>
    <n v="30"/>
    <x v="1"/>
    <n v="53"/>
    <x v="0"/>
    <n v="1"/>
    <n v="691"/>
    <x v="611"/>
    <x v="0"/>
    <n v="3"/>
  </r>
  <r>
    <s v="ORD2668"/>
    <s v="22-03-2021"/>
    <s v="CUST825"/>
    <x v="2"/>
    <x v="3"/>
    <x v="1"/>
    <s v="Amit"/>
    <n v="470"/>
    <n v="50"/>
    <n v="50"/>
    <x v="1"/>
    <n v="22"/>
    <x v="0"/>
    <n v="1"/>
    <n v="420"/>
    <x v="62"/>
    <x v="0"/>
    <n v="3"/>
  </r>
  <r>
    <s v="ORD2669"/>
    <s v="18-02-2021"/>
    <s v="CUST1140"/>
    <x v="0"/>
    <x v="10"/>
    <x v="0"/>
    <s v="Rohit"/>
    <n v="245"/>
    <n v="40"/>
    <n v="20"/>
    <x v="2"/>
    <n v="24"/>
    <x v="0"/>
    <n v="1"/>
    <n v="225"/>
    <x v="275"/>
    <x v="2"/>
    <n v="2"/>
  </r>
  <r>
    <s v="ORD2670"/>
    <s v="07-02-2021"/>
    <s v="CUST1122"/>
    <x v="3"/>
    <x v="7"/>
    <x v="0"/>
    <s v="Imran"/>
    <n v="356"/>
    <n v="50"/>
    <n v="0"/>
    <x v="0"/>
    <n v="53"/>
    <x v="0"/>
    <n v="1"/>
    <n v="356"/>
    <x v="502"/>
    <x v="2"/>
    <n v="2"/>
  </r>
  <r>
    <s v="ORD2671"/>
    <s v="19-01-2021"/>
    <s v="CUST1143"/>
    <x v="3"/>
    <x v="4"/>
    <x v="2"/>
    <s v="Vikas"/>
    <n v="640"/>
    <n v="20"/>
    <n v="50"/>
    <x v="2"/>
    <n v="40"/>
    <x v="0"/>
    <n v="1"/>
    <n v="590"/>
    <x v="394"/>
    <x v="1"/>
    <n v="1"/>
  </r>
  <r>
    <s v="ORD2672"/>
    <s v="14-02-2021"/>
    <s v="CUST839"/>
    <x v="4"/>
    <x v="9"/>
    <x v="4"/>
    <s v="Vikas"/>
    <n v="471"/>
    <n v="40"/>
    <n v="50"/>
    <x v="0"/>
    <n v="38"/>
    <x v="0"/>
    <n v="1"/>
    <n v="421"/>
    <x v="159"/>
    <x v="2"/>
    <n v="2"/>
  </r>
  <r>
    <s v="ORD2673"/>
    <s v="15-03-2021"/>
    <s v="CUST763"/>
    <x v="2"/>
    <x v="6"/>
    <x v="2"/>
    <s v="Imran"/>
    <n v="153"/>
    <n v="20"/>
    <n v="0"/>
    <x v="1"/>
    <n v="22"/>
    <x v="0"/>
    <n v="1"/>
    <n v="153"/>
    <x v="4"/>
    <x v="0"/>
    <n v="3"/>
  </r>
  <r>
    <s v="ORD2674"/>
    <s v="05-03-2021"/>
    <s v="CUST845"/>
    <x v="2"/>
    <x v="11"/>
    <x v="0"/>
    <s v="Rahul"/>
    <n v="514"/>
    <n v="40"/>
    <n v="20"/>
    <x v="0"/>
    <n v="33"/>
    <x v="0"/>
    <n v="1"/>
    <n v="494"/>
    <x v="644"/>
    <x v="0"/>
    <n v="3"/>
  </r>
  <r>
    <s v="ORD2675"/>
    <s v="27-01-2021"/>
    <s v="CUST811"/>
    <x v="1"/>
    <x v="1"/>
    <x v="1"/>
    <s v="Rahul"/>
    <n v="498"/>
    <n v="40"/>
    <n v="30"/>
    <x v="1"/>
    <n v="23"/>
    <x v="0"/>
    <n v="1"/>
    <n v="468"/>
    <x v="494"/>
    <x v="1"/>
    <n v="1"/>
  </r>
  <r>
    <s v="ORD2676"/>
    <s v="24-01-2021"/>
    <s v="CUST621"/>
    <x v="2"/>
    <x v="6"/>
    <x v="2"/>
    <s v="Imran"/>
    <n v="740"/>
    <n v="50"/>
    <n v="0"/>
    <x v="1"/>
    <n v="47"/>
    <x v="0"/>
    <n v="1"/>
    <n v="740"/>
    <x v="104"/>
    <x v="1"/>
    <n v="1"/>
  </r>
  <r>
    <s v="ORD2677"/>
    <s v="05-01-2021"/>
    <s v="CUST855"/>
    <x v="0"/>
    <x v="10"/>
    <x v="0"/>
    <s v="Suresh"/>
    <n v="709"/>
    <n v="50"/>
    <n v="30"/>
    <x v="1"/>
    <n v="40"/>
    <x v="1"/>
    <n v="1"/>
    <n v="679"/>
    <x v="607"/>
    <x v="1"/>
    <n v="1"/>
  </r>
  <r>
    <s v="ORD2678"/>
    <s v="26-02-2021"/>
    <s v="CUST846"/>
    <x v="1"/>
    <x v="8"/>
    <x v="2"/>
    <s v="Vikas"/>
    <n v="340"/>
    <n v="30"/>
    <n v="30"/>
    <x v="2"/>
    <n v="52"/>
    <x v="1"/>
    <n v="1"/>
    <n v="310"/>
    <x v="420"/>
    <x v="2"/>
    <n v="2"/>
  </r>
  <r>
    <s v="ORD2679"/>
    <s v="30-03-2021"/>
    <s v="CUST921"/>
    <x v="4"/>
    <x v="5"/>
    <x v="3"/>
    <s v="Amit"/>
    <n v="327"/>
    <n v="20"/>
    <n v="100"/>
    <x v="1"/>
    <n v="33"/>
    <x v="0"/>
    <n v="1"/>
    <n v="227"/>
    <x v="216"/>
    <x v="0"/>
    <n v="3"/>
  </r>
  <r>
    <s v="ORD2680"/>
    <s v="10-02-2021"/>
    <s v="CUST767"/>
    <x v="1"/>
    <x v="8"/>
    <x v="2"/>
    <s v="Karan"/>
    <n v="737"/>
    <n v="50"/>
    <n v="100"/>
    <x v="0"/>
    <n v="38"/>
    <x v="0"/>
    <n v="1"/>
    <n v="637"/>
    <x v="341"/>
    <x v="2"/>
    <n v="2"/>
  </r>
  <r>
    <s v="ORD2681"/>
    <s v="29-03-2021"/>
    <s v="CUST1112"/>
    <x v="0"/>
    <x v="12"/>
    <x v="3"/>
    <s v="Suresh"/>
    <n v="607"/>
    <n v="30"/>
    <n v="50"/>
    <x v="1"/>
    <n v="31"/>
    <x v="0"/>
    <n v="1"/>
    <n v="557"/>
    <x v="645"/>
    <x v="0"/>
    <n v="3"/>
  </r>
  <r>
    <s v="ORD2682"/>
    <s v="28-01-2021"/>
    <s v="CUST949"/>
    <x v="4"/>
    <x v="14"/>
    <x v="0"/>
    <s v="Karan"/>
    <n v="345"/>
    <n v="30"/>
    <n v="30"/>
    <x v="1"/>
    <n v="53"/>
    <x v="1"/>
    <n v="1"/>
    <n v="315"/>
    <x v="642"/>
    <x v="1"/>
    <n v="1"/>
  </r>
  <r>
    <s v="ORD2683"/>
    <s v="30-01-2021"/>
    <s v="CUST1012"/>
    <x v="2"/>
    <x v="6"/>
    <x v="2"/>
    <s v="Deepak"/>
    <n v="347"/>
    <n v="40"/>
    <n v="100"/>
    <x v="0"/>
    <n v="52"/>
    <x v="0"/>
    <n v="1"/>
    <n v="247"/>
    <x v="58"/>
    <x v="1"/>
    <n v="1"/>
  </r>
  <r>
    <s v="ORD2684"/>
    <s v="28-03-2021"/>
    <s v="CUST789"/>
    <x v="4"/>
    <x v="14"/>
    <x v="0"/>
    <s v="Vikas"/>
    <n v="734"/>
    <n v="50"/>
    <n v="100"/>
    <x v="1"/>
    <n v="47"/>
    <x v="0"/>
    <n v="1"/>
    <n v="634"/>
    <x v="47"/>
    <x v="0"/>
    <n v="3"/>
  </r>
  <r>
    <s v="ORD2685"/>
    <s v="12-03-2021"/>
    <s v="CUST828"/>
    <x v="0"/>
    <x v="0"/>
    <x v="0"/>
    <s v="Rohit"/>
    <n v="462"/>
    <n v="40"/>
    <n v="20"/>
    <x v="0"/>
    <n v="58"/>
    <x v="0"/>
    <n v="1"/>
    <n v="442"/>
    <x v="335"/>
    <x v="0"/>
    <n v="3"/>
  </r>
  <r>
    <s v="ORD2686"/>
    <s v="16-02-2021"/>
    <s v="CUST1191"/>
    <x v="0"/>
    <x v="0"/>
    <x v="0"/>
    <s v="Vikas"/>
    <n v="762"/>
    <n v="50"/>
    <n v="0"/>
    <x v="0"/>
    <n v="42"/>
    <x v="0"/>
    <n v="1"/>
    <n v="762"/>
    <x v="646"/>
    <x v="2"/>
    <n v="2"/>
  </r>
  <r>
    <s v="ORD2687"/>
    <s v="16-01-2021"/>
    <s v="CUST515"/>
    <x v="1"/>
    <x v="2"/>
    <x v="1"/>
    <s v="Amit"/>
    <n v="520"/>
    <n v="50"/>
    <n v="0"/>
    <x v="0"/>
    <n v="30"/>
    <x v="0"/>
    <n v="1"/>
    <n v="520"/>
    <x v="408"/>
    <x v="1"/>
    <n v="1"/>
  </r>
  <r>
    <s v="ORD2688"/>
    <s v="26-02-2021"/>
    <s v="CUST782"/>
    <x v="0"/>
    <x v="12"/>
    <x v="3"/>
    <s v="Karan"/>
    <n v="707"/>
    <n v="50"/>
    <n v="30"/>
    <x v="2"/>
    <n v="58"/>
    <x v="0"/>
    <n v="1"/>
    <n v="677"/>
    <x v="73"/>
    <x v="2"/>
    <n v="2"/>
  </r>
  <r>
    <s v="ORD2689"/>
    <s v="09-02-2021"/>
    <s v="CUST631"/>
    <x v="1"/>
    <x v="8"/>
    <x v="2"/>
    <s v="Imran"/>
    <n v="291"/>
    <n v="40"/>
    <n v="100"/>
    <x v="2"/>
    <n v="25"/>
    <x v="0"/>
    <n v="1"/>
    <n v="191"/>
    <x v="320"/>
    <x v="2"/>
    <n v="2"/>
  </r>
  <r>
    <s v="ORD2690"/>
    <s v="05-03-2021"/>
    <s v="CUST506"/>
    <x v="2"/>
    <x v="3"/>
    <x v="1"/>
    <s v="Rohit"/>
    <n v="168"/>
    <n v="20"/>
    <n v="100"/>
    <x v="1"/>
    <n v="21"/>
    <x v="1"/>
    <n v="1"/>
    <n v="68"/>
    <x v="647"/>
    <x v="0"/>
    <n v="3"/>
  </r>
  <r>
    <s v="ORD2691"/>
    <s v="05-02-2021"/>
    <s v="CUST790"/>
    <x v="1"/>
    <x v="2"/>
    <x v="1"/>
    <s v="Manoj"/>
    <n v="730"/>
    <n v="30"/>
    <n v="0"/>
    <x v="0"/>
    <n v="34"/>
    <x v="0"/>
    <n v="1"/>
    <n v="730"/>
    <x v="41"/>
    <x v="2"/>
    <n v="2"/>
  </r>
  <r>
    <s v="ORD2692"/>
    <s v="28-01-2021"/>
    <s v="CUST780"/>
    <x v="1"/>
    <x v="2"/>
    <x v="1"/>
    <s v="Manoj"/>
    <n v="733"/>
    <n v="20"/>
    <n v="100"/>
    <x v="2"/>
    <n v="21"/>
    <x v="0"/>
    <n v="1"/>
    <n v="633"/>
    <x v="497"/>
    <x v="1"/>
    <n v="1"/>
  </r>
  <r>
    <s v="ORD2693"/>
    <s v="21-03-2021"/>
    <s v="CUST761"/>
    <x v="2"/>
    <x v="3"/>
    <x v="1"/>
    <s v="Amit"/>
    <n v="202"/>
    <n v="30"/>
    <n v="30"/>
    <x v="0"/>
    <n v="54"/>
    <x v="0"/>
    <n v="1"/>
    <n v="172"/>
    <x v="103"/>
    <x v="0"/>
    <n v="3"/>
  </r>
  <r>
    <s v="ORD2694"/>
    <s v="05-01-2021"/>
    <s v="CUST762"/>
    <x v="0"/>
    <x v="0"/>
    <x v="0"/>
    <s v="Amit"/>
    <n v="416"/>
    <n v="20"/>
    <n v="30"/>
    <x v="1"/>
    <n v="21"/>
    <x v="1"/>
    <n v="1"/>
    <n v="386"/>
    <x v="502"/>
    <x v="1"/>
    <n v="1"/>
  </r>
  <r>
    <s v="ORD2695"/>
    <s v="11-01-2021"/>
    <s v="CUST567"/>
    <x v="0"/>
    <x v="10"/>
    <x v="0"/>
    <s v="Rahul"/>
    <n v="293"/>
    <n v="30"/>
    <n v="0"/>
    <x v="1"/>
    <n v="43"/>
    <x v="0"/>
    <n v="1"/>
    <n v="293"/>
    <x v="314"/>
    <x v="1"/>
    <n v="1"/>
  </r>
  <r>
    <s v="ORD2696"/>
    <s v="11-02-2021"/>
    <s v="CUST821"/>
    <x v="0"/>
    <x v="0"/>
    <x v="0"/>
    <s v="Rohit"/>
    <n v="185"/>
    <n v="20"/>
    <n v="20"/>
    <x v="1"/>
    <n v="28"/>
    <x v="0"/>
    <n v="1"/>
    <n v="165"/>
    <x v="24"/>
    <x v="2"/>
    <n v="2"/>
  </r>
  <r>
    <s v="ORD2697"/>
    <s v="26-01-2021"/>
    <s v="CUST629"/>
    <x v="1"/>
    <x v="1"/>
    <x v="1"/>
    <s v="Vikas"/>
    <n v="328"/>
    <n v="20"/>
    <n v="30"/>
    <x v="1"/>
    <n v="45"/>
    <x v="0"/>
    <n v="1"/>
    <n v="298"/>
    <x v="329"/>
    <x v="1"/>
    <n v="1"/>
  </r>
  <r>
    <s v="ORD2698"/>
    <s v="23-01-2021"/>
    <s v="CUST859"/>
    <x v="3"/>
    <x v="13"/>
    <x v="1"/>
    <s v="Arjun"/>
    <n v="749"/>
    <n v="40"/>
    <n v="20"/>
    <x v="0"/>
    <n v="23"/>
    <x v="0"/>
    <n v="1"/>
    <n v="729"/>
    <x v="126"/>
    <x v="1"/>
    <n v="1"/>
  </r>
  <r>
    <s v="ORD2699"/>
    <s v="04-02-2021"/>
    <s v="CUST834"/>
    <x v="1"/>
    <x v="1"/>
    <x v="1"/>
    <s v="Rohit"/>
    <n v="373"/>
    <n v="30"/>
    <n v="100"/>
    <x v="0"/>
    <n v="45"/>
    <x v="0"/>
    <n v="1"/>
    <n v="273"/>
    <x v="648"/>
    <x v="2"/>
    <n v="2"/>
  </r>
  <r>
    <s v="ORD2700"/>
    <s v="14-03-2021"/>
    <s v="CUST632"/>
    <x v="3"/>
    <x v="4"/>
    <x v="2"/>
    <s v="Karan"/>
    <n v="544"/>
    <n v="40"/>
    <n v="100"/>
    <x v="2"/>
    <n v="25"/>
    <x v="0"/>
    <n v="1"/>
    <n v="444"/>
    <x v="599"/>
    <x v="0"/>
    <n v="3"/>
  </r>
  <r>
    <s v="ORD2701"/>
    <s v="27-01-2021"/>
    <s v="CUST1143"/>
    <x v="3"/>
    <x v="7"/>
    <x v="0"/>
    <s v="Arjun"/>
    <n v="241"/>
    <n v="30"/>
    <n v="20"/>
    <x v="2"/>
    <n v="50"/>
    <x v="0"/>
    <n v="1"/>
    <n v="221"/>
    <x v="256"/>
    <x v="1"/>
    <n v="1"/>
  </r>
  <r>
    <s v="ORD2702"/>
    <s v="23-03-2021"/>
    <s v="CUST654"/>
    <x v="1"/>
    <x v="2"/>
    <x v="1"/>
    <s v="Rohit"/>
    <n v="284"/>
    <n v="20"/>
    <n v="50"/>
    <x v="1"/>
    <n v="55"/>
    <x v="0"/>
    <n v="1"/>
    <n v="234"/>
    <x v="123"/>
    <x v="0"/>
    <n v="3"/>
  </r>
  <r>
    <s v="ORD2703"/>
    <s v="12-03-2021"/>
    <s v="CUST608"/>
    <x v="0"/>
    <x v="12"/>
    <x v="3"/>
    <s v="Rohit"/>
    <n v="643"/>
    <n v="20"/>
    <n v="0"/>
    <x v="0"/>
    <n v="35"/>
    <x v="0"/>
    <n v="1"/>
    <n v="643"/>
    <x v="434"/>
    <x v="0"/>
    <n v="3"/>
  </r>
  <r>
    <s v="ORD2704"/>
    <s v="09-01-2021"/>
    <s v="CUST1100"/>
    <x v="4"/>
    <x v="9"/>
    <x v="4"/>
    <s v="Amit"/>
    <n v="312"/>
    <n v="50"/>
    <n v="100"/>
    <x v="2"/>
    <n v="32"/>
    <x v="0"/>
    <n v="1"/>
    <n v="212"/>
    <x v="620"/>
    <x v="1"/>
    <n v="1"/>
  </r>
  <r>
    <s v="ORD2705"/>
    <s v="06-01-2021"/>
    <s v="CUST1031"/>
    <x v="3"/>
    <x v="7"/>
    <x v="0"/>
    <s v="Rohit"/>
    <n v="521"/>
    <n v="30"/>
    <n v="100"/>
    <x v="2"/>
    <n v="55"/>
    <x v="0"/>
    <n v="1"/>
    <n v="421"/>
    <x v="455"/>
    <x v="1"/>
    <n v="1"/>
  </r>
  <r>
    <s v="ORD2706"/>
    <s v="09-03-2021"/>
    <s v="CUST1061"/>
    <x v="3"/>
    <x v="7"/>
    <x v="0"/>
    <s v="Suresh"/>
    <n v="348"/>
    <n v="30"/>
    <n v="100"/>
    <x v="2"/>
    <n v="25"/>
    <x v="0"/>
    <n v="1"/>
    <n v="248"/>
    <x v="347"/>
    <x v="0"/>
    <n v="3"/>
  </r>
  <r>
    <s v="ORD2707"/>
    <s v="03-02-2021"/>
    <s v="CUST917"/>
    <x v="4"/>
    <x v="9"/>
    <x v="4"/>
    <s v="Rahul"/>
    <n v="663"/>
    <n v="30"/>
    <n v="0"/>
    <x v="0"/>
    <n v="50"/>
    <x v="0"/>
    <n v="1"/>
    <n v="663"/>
    <x v="219"/>
    <x v="2"/>
    <n v="2"/>
  </r>
  <r>
    <s v="ORD2708"/>
    <s v="28-01-2021"/>
    <s v="CUST617"/>
    <x v="3"/>
    <x v="13"/>
    <x v="1"/>
    <s v="Imran"/>
    <n v="411"/>
    <n v="20"/>
    <n v="100"/>
    <x v="0"/>
    <n v="29"/>
    <x v="0"/>
    <n v="1"/>
    <n v="311"/>
    <x v="273"/>
    <x v="1"/>
    <n v="1"/>
  </r>
  <r>
    <s v="ORD2709"/>
    <s v="30-03-2021"/>
    <s v="CUST1005"/>
    <x v="1"/>
    <x v="2"/>
    <x v="1"/>
    <s v="Imran"/>
    <n v="288"/>
    <n v="40"/>
    <n v="100"/>
    <x v="0"/>
    <n v="38"/>
    <x v="0"/>
    <n v="1"/>
    <n v="188"/>
    <x v="184"/>
    <x v="0"/>
    <n v="3"/>
  </r>
  <r>
    <s v="ORD2710"/>
    <s v="03-01-2021"/>
    <s v="CUST871"/>
    <x v="4"/>
    <x v="5"/>
    <x v="3"/>
    <s v="Amit"/>
    <n v="176"/>
    <n v="50"/>
    <n v="0"/>
    <x v="1"/>
    <n v="54"/>
    <x v="0"/>
    <n v="1"/>
    <n v="176"/>
    <x v="516"/>
    <x v="1"/>
    <n v="1"/>
  </r>
  <r>
    <s v="ORD2711"/>
    <s v="23-03-2021"/>
    <s v="CUST846"/>
    <x v="4"/>
    <x v="9"/>
    <x v="4"/>
    <s v="Imran"/>
    <n v="294"/>
    <n v="30"/>
    <n v="50"/>
    <x v="2"/>
    <n v="50"/>
    <x v="1"/>
    <n v="1"/>
    <n v="244"/>
    <x v="364"/>
    <x v="0"/>
    <n v="3"/>
  </r>
  <r>
    <s v="ORD2712"/>
    <s v="28-01-2021"/>
    <s v="CUST605"/>
    <x v="1"/>
    <x v="2"/>
    <x v="1"/>
    <s v="Deepak"/>
    <n v="507"/>
    <n v="50"/>
    <n v="100"/>
    <x v="0"/>
    <n v="25"/>
    <x v="1"/>
    <n v="1"/>
    <n v="407"/>
    <x v="102"/>
    <x v="1"/>
    <n v="1"/>
  </r>
  <r>
    <s v="ORD2713"/>
    <s v="18-01-2021"/>
    <s v="CUST588"/>
    <x v="0"/>
    <x v="12"/>
    <x v="3"/>
    <s v="Rohit"/>
    <n v="541"/>
    <n v="30"/>
    <n v="0"/>
    <x v="2"/>
    <n v="55"/>
    <x v="0"/>
    <n v="1"/>
    <n v="541"/>
    <x v="244"/>
    <x v="1"/>
    <n v="1"/>
  </r>
  <r>
    <s v="ORD2714"/>
    <s v="26-02-2021"/>
    <s v="CUST880"/>
    <x v="4"/>
    <x v="14"/>
    <x v="0"/>
    <s v="Arjun"/>
    <n v="255"/>
    <n v="50"/>
    <n v="20"/>
    <x v="2"/>
    <n v="27"/>
    <x v="0"/>
    <n v="1"/>
    <n v="235"/>
    <x v="571"/>
    <x v="2"/>
    <n v="2"/>
  </r>
  <r>
    <s v="ORD2715"/>
    <s v="26-03-2021"/>
    <s v="CUST1112"/>
    <x v="0"/>
    <x v="0"/>
    <x v="0"/>
    <s v="Vikas"/>
    <n v="189"/>
    <n v="40"/>
    <n v="20"/>
    <x v="2"/>
    <n v="33"/>
    <x v="0"/>
    <n v="1"/>
    <n v="169"/>
    <x v="546"/>
    <x v="0"/>
    <n v="3"/>
  </r>
  <r>
    <s v="ORD2716"/>
    <s v="21-03-2021"/>
    <s v="CUST733"/>
    <x v="0"/>
    <x v="0"/>
    <x v="0"/>
    <s v="Arjun"/>
    <n v="254"/>
    <n v="40"/>
    <n v="100"/>
    <x v="0"/>
    <n v="49"/>
    <x v="0"/>
    <n v="1"/>
    <n v="154"/>
    <x v="452"/>
    <x v="0"/>
    <n v="3"/>
  </r>
  <r>
    <s v="ORD2717"/>
    <s v="06-01-2021"/>
    <s v="CUST528"/>
    <x v="4"/>
    <x v="5"/>
    <x v="3"/>
    <s v="Imran"/>
    <n v="732"/>
    <n v="50"/>
    <n v="100"/>
    <x v="2"/>
    <n v="42"/>
    <x v="0"/>
    <n v="1"/>
    <n v="632"/>
    <x v="269"/>
    <x v="1"/>
    <n v="1"/>
  </r>
  <r>
    <s v="ORD2718"/>
    <s v="13-02-2021"/>
    <s v="CUST625"/>
    <x v="0"/>
    <x v="0"/>
    <x v="0"/>
    <s v="Amit"/>
    <n v="216"/>
    <n v="40"/>
    <n v="100"/>
    <x v="1"/>
    <n v="23"/>
    <x v="0"/>
    <n v="1"/>
    <n v="116"/>
    <x v="557"/>
    <x v="2"/>
    <n v="2"/>
  </r>
  <r>
    <s v="ORD2719"/>
    <s v="14-02-2021"/>
    <s v="CUST1022"/>
    <x v="4"/>
    <x v="9"/>
    <x v="4"/>
    <s v="Imran"/>
    <n v="247"/>
    <n v="50"/>
    <n v="20"/>
    <x v="2"/>
    <n v="49"/>
    <x v="0"/>
    <n v="1"/>
    <n v="227"/>
    <x v="67"/>
    <x v="2"/>
    <n v="2"/>
  </r>
  <r>
    <s v="ORD2720"/>
    <s v="18-03-2021"/>
    <s v="CUST707"/>
    <x v="0"/>
    <x v="0"/>
    <x v="0"/>
    <s v="Karan"/>
    <n v="172"/>
    <n v="50"/>
    <n v="0"/>
    <x v="2"/>
    <n v="34"/>
    <x v="1"/>
    <n v="1"/>
    <n v="172"/>
    <x v="340"/>
    <x v="0"/>
    <n v="3"/>
  </r>
  <r>
    <s v="ORD2721"/>
    <s v="07-01-2021"/>
    <s v="CUST627"/>
    <x v="2"/>
    <x v="3"/>
    <x v="1"/>
    <s v="Karan"/>
    <n v="673"/>
    <n v="50"/>
    <n v="0"/>
    <x v="1"/>
    <n v="47"/>
    <x v="0"/>
    <n v="1"/>
    <n v="673"/>
    <x v="183"/>
    <x v="1"/>
    <n v="1"/>
  </r>
  <r>
    <s v="ORD2722"/>
    <s v="01-01-2021"/>
    <s v="CUST833"/>
    <x v="3"/>
    <x v="4"/>
    <x v="2"/>
    <s v="Karan"/>
    <n v="163"/>
    <n v="30"/>
    <n v="100"/>
    <x v="0"/>
    <n v="25"/>
    <x v="0"/>
    <n v="1"/>
    <n v="63"/>
    <x v="649"/>
    <x v="1"/>
    <n v="1"/>
  </r>
  <r>
    <s v="ORD2723"/>
    <s v="18-02-2021"/>
    <s v="CUST522"/>
    <x v="0"/>
    <x v="12"/>
    <x v="3"/>
    <s v="Rohit"/>
    <n v="797"/>
    <n v="30"/>
    <n v="30"/>
    <x v="1"/>
    <n v="25"/>
    <x v="0"/>
    <n v="1"/>
    <n v="767"/>
    <x v="558"/>
    <x v="2"/>
    <n v="2"/>
  </r>
  <r>
    <s v="ORD2724"/>
    <s v="22-01-2021"/>
    <s v="CUST1035"/>
    <x v="4"/>
    <x v="14"/>
    <x v="0"/>
    <s v="Imran"/>
    <n v="624"/>
    <n v="50"/>
    <n v="100"/>
    <x v="2"/>
    <n v="44"/>
    <x v="1"/>
    <n v="1"/>
    <n v="524"/>
    <x v="279"/>
    <x v="1"/>
    <n v="1"/>
  </r>
  <r>
    <s v="ORD2725"/>
    <s v="04-03-2021"/>
    <s v="CUST554"/>
    <x v="2"/>
    <x v="11"/>
    <x v="0"/>
    <s v="Arjun"/>
    <n v="462"/>
    <n v="50"/>
    <n v="20"/>
    <x v="2"/>
    <n v="58"/>
    <x v="0"/>
    <n v="1"/>
    <n v="442"/>
    <x v="158"/>
    <x v="0"/>
    <n v="3"/>
  </r>
  <r>
    <s v="ORD2726"/>
    <s v="07-01-2021"/>
    <s v="CUST626"/>
    <x v="2"/>
    <x v="6"/>
    <x v="2"/>
    <s v="Manoj"/>
    <n v="512"/>
    <n v="30"/>
    <n v="20"/>
    <x v="2"/>
    <n v="54"/>
    <x v="0"/>
    <n v="1"/>
    <n v="492"/>
    <x v="313"/>
    <x v="1"/>
    <n v="1"/>
  </r>
  <r>
    <s v="ORD2727"/>
    <s v="22-02-2021"/>
    <s v="CUST1171"/>
    <x v="2"/>
    <x v="3"/>
    <x v="1"/>
    <s v="Arjun"/>
    <n v="555"/>
    <n v="20"/>
    <n v="30"/>
    <x v="2"/>
    <n v="30"/>
    <x v="0"/>
    <n v="1"/>
    <n v="525"/>
    <x v="272"/>
    <x v="2"/>
    <n v="2"/>
  </r>
  <r>
    <s v="ORD2728"/>
    <s v="08-03-2021"/>
    <s v="CUST1101"/>
    <x v="4"/>
    <x v="5"/>
    <x v="3"/>
    <s v="Amit"/>
    <n v="486"/>
    <n v="40"/>
    <n v="100"/>
    <x v="0"/>
    <n v="59"/>
    <x v="0"/>
    <n v="1"/>
    <n v="386"/>
    <x v="55"/>
    <x v="0"/>
    <n v="3"/>
  </r>
  <r>
    <s v="ORD2729"/>
    <s v="12-01-2021"/>
    <s v="CUST779"/>
    <x v="4"/>
    <x v="5"/>
    <x v="3"/>
    <s v="Rahul"/>
    <n v="598"/>
    <n v="30"/>
    <n v="50"/>
    <x v="1"/>
    <n v="49"/>
    <x v="0"/>
    <n v="1"/>
    <n v="548"/>
    <x v="438"/>
    <x v="1"/>
    <n v="1"/>
  </r>
  <r>
    <s v="ORD2730"/>
    <s v="04-01-2021"/>
    <s v="CUST757"/>
    <x v="1"/>
    <x v="1"/>
    <x v="1"/>
    <s v="Karan"/>
    <n v="456"/>
    <n v="30"/>
    <n v="30"/>
    <x v="2"/>
    <n v="22"/>
    <x v="0"/>
    <n v="1"/>
    <n v="426"/>
    <x v="189"/>
    <x v="1"/>
    <n v="1"/>
  </r>
  <r>
    <s v="ORD2731"/>
    <s v="13-01-2021"/>
    <s v="CUST567"/>
    <x v="3"/>
    <x v="13"/>
    <x v="1"/>
    <s v="Deepak"/>
    <n v="604"/>
    <n v="20"/>
    <n v="50"/>
    <x v="0"/>
    <n v="47"/>
    <x v="0"/>
    <n v="1"/>
    <n v="554"/>
    <x v="279"/>
    <x v="1"/>
    <n v="1"/>
  </r>
  <r>
    <s v="ORD2732"/>
    <s v="08-01-2021"/>
    <s v="CUST1069"/>
    <x v="0"/>
    <x v="0"/>
    <x v="0"/>
    <s v="Deepak"/>
    <n v="717"/>
    <n v="40"/>
    <n v="100"/>
    <x v="0"/>
    <n v="57"/>
    <x v="1"/>
    <n v="1"/>
    <n v="617"/>
    <x v="650"/>
    <x v="1"/>
    <n v="1"/>
  </r>
  <r>
    <s v="ORD2733"/>
    <s v="14-01-2021"/>
    <s v="CUST609"/>
    <x v="4"/>
    <x v="14"/>
    <x v="0"/>
    <s v="Rahul"/>
    <n v="494"/>
    <n v="20"/>
    <n v="30"/>
    <x v="2"/>
    <n v="31"/>
    <x v="0"/>
    <n v="1"/>
    <n v="464"/>
    <x v="599"/>
    <x v="1"/>
    <n v="1"/>
  </r>
  <r>
    <s v="ORD2734"/>
    <s v="16-03-2021"/>
    <s v="CUST1122"/>
    <x v="1"/>
    <x v="2"/>
    <x v="1"/>
    <s v="Rahul"/>
    <n v="597"/>
    <n v="50"/>
    <n v="0"/>
    <x v="1"/>
    <n v="38"/>
    <x v="0"/>
    <n v="1"/>
    <n v="597"/>
    <x v="11"/>
    <x v="0"/>
    <n v="3"/>
  </r>
  <r>
    <s v="ORD2735"/>
    <s v="09-01-2021"/>
    <s v="CUST766"/>
    <x v="2"/>
    <x v="3"/>
    <x v="1"/>
    <s v="Vikas"/>
    <n v="562"/>
    <n v="40"/>
    <n v="20"/>
    <x v="2"/>
    <n v="32"/>
    <x v="0"/>
    <n v="1"/>
    <n v="542"/>
    <x v="626"/>
    <x v="1"/>
    <n v="1"/>
  </r>
  <r>
    <s v="ORD2736"/>
    <s v="04-03-2021"/>
    <s v="CUST683"/>
    <x v="3"/>
    <x v="13"/>
    <x v="1"/>
    <s v="Rohit"/>
    <n v="676"/>
    <n v="20"/>
    <n v="20"/>
    <x v="2"/>
    <n v="31"/>
    <x v="0"/>
    <n v="1"/>
    <n v="656"/>
    <x v="366"/>
    <x v="0"/>
    <n v="3"/>
  </r>
  <r>
    <s v="ORD2737"/>
    <s v="22-01-2021"/>
    <s v="CUST563"/>
    <x v="4"/>
    <x v="5"/>
    <x v="3"/>
    <s v="Amit"/>
    <n v="549"/>
    <n v="50"/>
    <n v="20"/>
    <x v="1"/>
    <n v="59"/>
    <x v="0"/>
    <n v="1"/>
    <n v="529"/>
    <x v="355"/>
    <x v="1"/>
    <n v="1"/>
  </r>
  <r>
    <s v="ORD2738"/>
    <s v="20-02-2021"/>
    <s v="CUST1094"/>
    <x v="1"/>
    <x v="8"/>
    <x v="2"/>
    <s v="Amit"/>
    <n v="649"/>
    <n v="20"/>
    <n v="50"/>
    <x v="0"/>
    <n v="45"/>
    <x v="0"/>
    <n v="1"/>
    <n v="599"/>
    <x v="414"/>
    <x v="2"/>
    <n v="2"/>
  </r>
  <r>
    <s v="ORD2739"/>
    <s v="17-01-2021"/>
    <s v="CUST761"/>
    <x v="3"/>
    <x v="13"/>
    <x v="1"/>
    <s v="Suresh"/>
    <n v="584"/>
    <n v="30"/>
    <n v="30"/>
    <x v="2"/>
    <n v="47"/>
    <x v="0"/>
    <n v="1"/>
    <n v="554"/>
    <x v="299"/>
    <x v="1"/>
    <n v="1"/>
  </r>
  <r>
    <s v="ORD2740"/>
    <s v="04-01-2021"/>
    <s v="CUST777"/>
    <x v="0"/>
    <x v="12"/>
    <x v="3"/>
    <s v="Manoj"/>
    <n v="559"/>
    <n v="30"/>
    <n v="0"/>
    <x v="1"/>
    <n v="42"/>
    <x v="0"/>
    <n v="1"/>
    <n v="559"/>
    <x v="582"/>
    <x v="1"/>
    <n v="1"/>
  </r>
  <r>
    <s v="ORD2741"/>
    <s v="17-01-2021"/>
    <s v="CUST957"/>
    <x v="2"/>
    <x v="11"/>
    <x v="0"/>
    <s v="Karan"/>
    <n v="677"/>
    <n v="40"/>
    <n v="50"/>
    <x v="1"/>
    <n v="21"/>
    <x v="0"/>
    <n v="1"/>
    <n v="627"/>
    <x v="624"/>
    <x v="1"/>
    <n v="1"/>
  </r>
  <r>
    <s v="ORD2742"/>
    <s v="05-02-2021"/>
    <s v="CUST979"/>
    <x v="2"/>
    <x v="6"/>
    <x v="2"/>
    <s v="Karan"/>
    <n v="733"/>
    <n v="20"/>
    <n v="100"/>
    <x v="0"/>
    <n v="24"/>
    <x v="0"/>
    <n v="1"/>
    <n v="633"/>
    <x v="497"/>
    <x v="2"/>
    <n v="2"/>
  </r>
  <r>
    <s v="ORD2743"/>
    <s v="07-03-2021"/>
    <s v="CUST1180"/>
    <x v="0"/>
    <x v="10"/>
    <x v="0"/>
    <s v="Arjun"/>
    <n v="308"/>
    <n v="20"/>
    <n v="50"/>
    <x v="0"/>
    <n v="25"/>
    <x v="0"/>
    <n v="1"/>
    <n v="258"/>
    <x v="347"/>
    <x v="0"/>
    <n v="3"/>
  </r>
  <r>
    <s v="ORD2744"/>
    <s v="04-02-2021"/>
    <s v="CUST783"/>
    <x v="3"/>
    <x v="4"/>
    <x v="2"/>
    <s v="Manoj"/>
    <n v="429"/>
    <n v="40"/>
    <n v="50"/>
    <x v="1"/>
    <n v="48"/>
    <x v="0"/>
    <n v="1"/>
    <n v="379"/>
    <x v="91"/>
    <x v="2"/>
    <n v="2"/>
  </r>
  <r>
    <s v="ORD2745"/>
    <s v="12-01-2021"/>
    <s v="CUST874"/>
    <x v="0"/>
    <x v="12"/>
    <x v="3"/>
    <s v="Arjun"/>
    <n v="781"/>
    <n v="30"/>
    <n v="20"/>
    <x v="0"/>
    <n v="48"/>
    <x v="0"/>
    <n v="1"/>
    <n v="761"/>
    <x v="238"/>
    <x v="1"/>
    <n v="1"/>
  </r>
  <r>
    <s v="ORD2746"/>
    <s v="04-01-2021"/>
    <s v="CUST1111"/>
    <x v="2"/>
    <x v="3"/>
    <x v="1"/>
    <s v="Karan"/>
    <n v="378"/>
    <n v="30"/>
    <n v="50"/>
    <x v="1"/>
    <n v="34"/>
    <x v="1"/>
    <n v="1"/>
    <n v="328"/>
    <x v="551"/>
    <x v="1"/>
    <n v="1"/>
  </r>
  <r>
    <s v="ORD2747"/>
    <s v="14-02-2021"/>
    <s v="CUST1032"/>
    <x v="2"/>
    <x v="3"/>
    <x v="1"/>
    <s v="Vikas"/>
    <n v="357"/>
    <n v="50"/>
    <n v="0"/>
    <x v="0"/>
    <n v="27"/>
    <x v="0"/>
    <n v="1"/>
    <n v="357"/>
    <x v="618"/>
    <x v="2"/>
    <n v="2"/>
  </r>
  <r>
    <s v="ORD2748"/>
    <s v="24-01-2021"/>
    <s v="CUST1104"/>
    <x v="0"/>
    <x v="10"/>
    <x v="0"/>
    <s v="Arjun"/>
    <n v="774"/>
    <n v="20"/>
    <n v="30"/>
    <x v="0"/>
    <n v="34"/>
    <x v="0"/>
    <n v="1"/>
    <n v="744"/>
    <x v="401"/>
    <x v="1"/>
    <n v="1"/>
  </r>
  <r>
    <s v="ORD2749"/>
    <s v="09-01-2021"/>
    <s v="CUST614"/>
    <x v="4"/>
    <x v="5"/>
    <x v="3"/>
    <s v="Suresh"/>
    <n v="548"/>
    <n v="40"/>
    <n v="100"/>
    <x v="0"/>
    <n v="54"/>
    <x v="0"/>
    <n v="1"/>
    <n v="448"/>
    <x v="651"/>
    <x v="1"/>
    <n v="1"/>
  </r>
  <r>
    <s v="ORD2750"/>
    <s v="15-02-2021"/>
    <s v="CUST1135"/>
    <x v="3"/>
    <x v="4"/>
    <x v="2"/>
    <s v="Rahul"/>
    <n v="179"/>
    <n v="50"/>
    <n v="50"/>
    <x v="2"/>
    <n v="31"/>
    <x v="1"/>
    <n v="1"/>
    <n v="129"/>
    <x v="545"/>
    <x v="2"/>
    <n v="2"/>
  </r>
  <r>
    <s v="ORD2751"/>
    <s v="19-02-2021"/>
    <s v="CUST824"/>
    <x v="4"/>
    <x v="14"/>
    <x v="0"/>
    <s v="Suresh"/>
    <n v="718"/>
    <n v="50"/>
    <n v="50"/>
    <x v="1"/>
    <n v="50"/>
    <x v="1"/>
    <n v="1"/>
    <n v="668"/>
    <x v="118"/>
    <x v="2"/>
    <n v="2"/>
  </r>
  <r>
    <s v="ORD2752"/>
    <s v="04-01-2021"/>
    <s v="CUST1092"/>
    <x v="0"/>
    <x v="0"/>
    <x v="0"/>
    <s v="Manoj"/>
    <n v="444"/>
    <n v="20"/>
    <n v="30"/>
    <x v="1"/>
    <n v="38"/>
    <x v="0"/>
    <n v="1"/>
    <n v="414"/>
    <x v="410"/>
    <x v="1"/>
    <n v="1"/>
  </r>
  <r>
    <s v="ORD2753"/>
    <s v="09-01-2021"/>
    <s v="CUST962"/>
    <x v="2"/>
    <x v="6"/>
    <x v="2"/>
    <s v="Deepak"/>
    <n v="561"/>
    <n v="40"/>
    <n v="100"/>
    <x v="2"/>
    <n v="49"/>
    <x v="0"/>
    <n v="1"/>
    <n v="461"/>
    <x v="616"/>
    <x v="1"/>
    <n v="1"/>
  </r>
  <r>
    <s v="ORD2754"/>
    <s v="04-03-2021"/>
    <s v="CUST979"/>
    <x v="1"/>
    <x v="8"/>
    <x v="2"/>
    <s v="Rohit"/>
    <n v="579"/>
    <n v="20"/>
    <n v="100"/>
    <x v="2"/>
    <n v="60"/>
    <x v="0"/>
    <n v="1"/>
    <n v="479"/>
    <x v="328"/>
    <x v="0"/>
    <n v="3"/>
  </r>
  <r>
    <s v="ORD2755"/>
    <s v="06-03-2021"/>
    <s v="CUST929"/>
    <x v="3"/>
    <x v="13"/>
    <x v="1"/>
    <s v="Vikas"/>
    <n v="284"/>
    <n v="40"/>
    <n v="0"/>
    <x v="1"/>
    <n v="34"/>
    <x v="0"/>
    <n v="1"/>
    <n v="284"/>
    <x v="26"/>
    <x v="0"/>
    <n v="3"/>
  </r>
  <r>
    <s v="ORD2756"/>
    <s v="27-01-2021"/>
    <s v="CUST948"/>
    <x v="0"/>
    <x v="0"/>
    <x v="0"/>
    <s v="Arjun"/>
    <n v="353"/>
    <n v="40"/>
    <n v="30"/>
    <x v="1"/>
    <n v="47"/>
    <x v="0"/>
    <n v="1"/>
    <n v="323"/>
    <x v="393"/>
    <x v="1"/>
    <n v="1"/>
  </r>
  <r>
    <s v="ORD2757"/>
    <s v="19-02-2021"/>
    <s v="CUST697"/>
    <x v="0"/>
    <x v="10"/>
    <x v="0"/>
    <s v="Karan"/>
    <n v="728"/>
    <n v="20"/>
    <n v="30"/>
    <x v="0"/>
    <n v="34"/>
    <x v="0"/>
    <n v="1"/>
    <n v="698"/>
    <x v="118"/>
    <x v="2"/>
    <n v="2"/>
  </r>
  <r>
    <s v="ORD2758"/>
    <s v="21-01-2021"/>
    <s v="CUST871"/>
    <x v="4"/>
    <x v="9"/>
    <x v="4"/>
    <s v="Deepak"/>
    <n v="236"/>
    <n v="40"/>
    <n v="20"/>
    <x v="0"/>
    <n v="31"/>
    <x v="0"/>
    <n v="1"/>
    <n v="216"/>
    <x v="548"/>
    <x v="1"/>
    <n v="1"/>
  </r>
  <r>
    <s v="ORD2759"/>
    <s v="26-01-2021"/>
    <s v="CUST735"/>
    <x v="3"/>
    <x v="4"/>
    <x v="2"/>
    <s v="Manoj"/>
    <n v="634"/>
    <n v="30"/>
    <n v="20"/>
    <x v="2"/>
    <n v="41"/>
    <x v="0"/>
    <n v="1"/>
    <n v="614"/>
    <x v="532"/>
    <x v="1"/>
    <n v="1"/>
  </r>
  <r>
    <s v="ORD2760"/>
    <s v="30-03-2021"/>
    <s v="CUST1136"/>
    <x v="4"/>
    <x v="9"/>
    <x v="4"/>
    <s v="Rohit"/>
    <n v="555"/>
    <n v="30"/>
    <n v="100"/>
    <x v="0"/>
    <n v="52"/>
    <x v="1"/>
    <n v="1"/>
    <n v="455"/>
    <x v="107"/>
    <x v="0"/>
    <n v="3"/>
  </r>
  <r>
    <s v="ORD2761"/>
    <s v="21-03-2021"/>
    <s v="CUST1037"/>
    <x v="2"/>
    <x v="6"/>
    <x v="2"/>
    <s v="Manoj"/>
    <n v="204"/>
    <n v="40"/>
    <n v="20"/>
    <x v="1"/>
    <n v="54"/>
    <x v="0"/>
    <n v="1"/>
    <n v="184"/>
    <x v="601"/>
    <x v="0"/>
    <n v="3"/>
  </r>
  <r>
    <s v="ORD2762"/>
    <s v="13-01-2021"/>
    <s v="CUST625"/>
    <x v="3"/>
    <x v="13"/>
    <x v="1"/>
    <s v="Vikas"/>
    <n v="184"/>
    <n v="50"/>
    <n v="100"/>
    <x v="2"/>
    <n v="49"/>
    <x v="0"/>
    <n v="1"/>
    <n v="84"/>
    <x v="358"/>
    <x v="1"/>
    <n v="1"/>
  </r>
  <r>
    <s v="ORD2763"/>
    <s v="03-02-2021"/>
    <s v="CUST806"/>
    <x v="1"/>
    <x v="8"/>
    <x v="2"/>
    <s v="Deepak"/>
    <n v="567"/>
    <n v="30"/>
    <n v="20"/>
    <x v="1"/>
    <n v="22"/>
    <x v="0"/>
    <n v="1"/>
    <n v="547"/>
    <x v="131"/>
    <x v="2"/>
    <n v="2"/>
  </r>
  <r>
    <s v="ORD2764"/>
    <s v="04-03-2021"/>
    <s v="CUST731"/>
    <x v="0"/>
    <x v="12"/>
    <x v="3"/>
    <s v="Amit"/>
    <n v="430"/>
    <n v="30"/>
    <n v="100"/>
    <x v="1"/>
    <n v="30"/>
    <x v="0"/>
    <n v="1"/>
    <n v="330"/>
    <x v="520"/>
    <x v="0"/>
    <n v="3"/>
  </r>
  <r>
    <s v="ORD2765"/>
    <s v="19-01-2021"/>
    <s v="CUST784"/>
    <x v="0"/>
    <x v="10"/>
    <x v="0"/>
    <s v="Manoj"/>
    <n v="320"/>
    <n v="20"/>
    <n v="30"/>
    <x v="2"/>
    <n v="32"/>
    <x v="0"/>
    <n v="1"/>
    <n v="290"/>
    <x v="641"/>
    <x v="1"/>
    <n v="1"/>
  </r>
  <r>
    <s v="ORD2766"/>
    <s v="13-02-2021"/>
    <s v="CUST887"/>
    <x v="4"/>
    <x v="14"/>
    <x v="0"/>
    <s v="Manoj"/>
    <n v="687"/>
    <n v="40"/>
    <n v="50"/>
    <x v="2"/>
    <n v="31"/>
    <x v="0"/>
    <n v="1"/>
    <n v="637"/>
    <x v="157"/>
    <x v="2"/>
    <n v="2"/>
  </r>
  <r>
    <s v="ORD2767"/>
    <s v="27-01-2021"/>
    <s v="CUST966"/>
    <x v="3"/>
    <x v="4"/>
    <x v="2"/>
    <s v="Karan"/>
    <n v="346"/>
    <n v="20"/>
    <n v="20"/>
    <x v="1"/>
    <n v="41"/>
    <x v="0"/>
    <n v="1"/>
    <n v="326"/>
    <x v="48"/>
    <x v="1"/>
    <n v="1"/>
  </r>
  <r>
    <s v="ORD2768"/>
    <s v="13-03-2021"/>
    <s v="CUST1039"/>
    <x v="3"/>
    <x v="13"/>
    <x v="1"/>
    <s v="Rahul"/>
    <n v="710"/>
    <n v="20"/>
    <n v="20"/>
    <x v="0"/>
    <n v="57"/>
    <x v="0"/>
    <n v="1"/>
    <n v="690"/>
    <x v="316"/>
    <x v="0"/>
    <n v="3"/>
  </r>
  <r>
    <s v="ORD2769"/>
    <s v="12-02-2021"/>
    <s v="CUST1034"/>
    <x v="1"/>
    <x v="1"/>
    <x v="1"/>
    <s v="Imran"/>
    <n v="218"/>
    <n v="40"/>
    <n v="0"/>
    <x v="0"/>
    <n v="56"/>
    <x v="0"/>
    <n v="1"/>
    <n v="218"/>
    <x v="508"/>
    <x v="2"/>
    <n v="2"/>
  </r>
  <r>
    <s v="ORD2770"/>
    <s v="09-03-2021"/>
    <s v="CUST774"/>
    <x v="4"/>
    <x v="5"/>
    <x v="3"/>
    <s v="Arjun"/>
    <n v="437"/>
    <n v="20"/>
    <n v="0"/>
    <x v="1"/>
    <n v="36"/>
    <x v="0"/>
    <n v="1"/>
    <n v="437"/>
    <x v="102"/>
    <x v="0"/>
    <n v="3"/>
  </r>
  <r>
    <s v="ORD2771"/>
    <s v="24-03-2021"/>
    <s v="CUST685"/>
    <x v="4"/>
    <x v="14"/>
    <x v="0"/>
    <s v="Manoj"/>
    <n v="244"/>
    <n v="40"/>
    <n v="50"/>
    <x v="1"/>
    <n v="52"/>
    <x v="1"/>
    <n v="1"/>
    <n v="194"/>
    <x v="600"/>
    <x v="0"/>
    <n v="3"/>
  </r>
  <r>
    <s v="ORD2772"/>
    <s v="07-01-2021"/>
    <s v="CUST652"/>
    <x v="3"/>
    <x v="13"/>
    <x v="1"/>
    <s v="Suresh"/>
    <n v="668"/>
    <n v="40"/>
    <n v="30"/>
    <x v="2"/>
    <n v="37"/>
    <x v="0"/>
    <n v="1"/>
    <n v="638"/>
    <x v="89"/>
    <x v="1"/>
    <n v="1"/>
  </r>
  <r>
    <s v="ORD2773"/>
    <s v="02-01-2021"/>
    <s v="CUST572"/>
    <x v="0"/>
    <x v="0"/>
    <x v="0"/>
    <s v="Arjun"/>
    <n v="663"/>
    <n v="50"/>
    <n v="20"/>
    <x v="0"/>
    <n v="35"/>
    <x v="0"/>
    <n v="1"/>
    <n v="643"/>
    <x v="219"/>
    <x v="1"/>
    <n v="1"/>
  </r>
  <r>
    <s v="ORD2774"/>
    <s v="24-01-2021"/>
    <s v="CUST663"/>
    <x v="4"/>
    <x v="9"/>
    <x v="4"/>
    <s v="Imran"/>
    <n v="505"/>
    <n v="20"/>
    <n v="30"/>
    <x v="0"/>
    <n v="34"/>
    <x v="0"/>
    <n v="1"/>
    <n v="475"/>
    <x v="433"/>
    <x v="1"/>
    <n v="1"/>
  </r>
  <r>
    <s v="ORD2775"/>
    <s v="08-01-2021"/>
    <s v="CUST736"/>
    <x v="0"/>
    <x v="10"/>
    <x v="0"/>
    <s v="Manoj"/>
    <n v="792"/>
    <n v="20"/>
    <n v="50"/>
    <x v="2"/>
    <n v="21"/>
    <x v="0"/>
    <n v="1"/>
    <n v="742"/>
    <x v="254"/>
    <x v="1"/>
    <n v="1"/>
  </r>
  <r>
    <s v="ORD2776"/>
    <s v="24-03-2021"/>
    <s v="CUST795"/>
    <x v="2"/>
    <x v="3"/>
    <x v="1"/>
    <s v="Karan"/>
    <n v="629"/>
    <n v="30"/>
    <n v="0"/>
    <x v="2"/>
    <n v="28"/>
    <x v="0"/>
    <n v="1"/>
    <n v="629"/>
    <x v="356"/>
    <x v="0"/>
    <n v="3"/>
  </r>
  <r>
    <s v="ORD2777"/>
    <s v="29-03-2021"/>
    <s v="CUST1110"/>
    <x v="0"/>
    <x v="10"/>
    <x v="0"/>
    <s v="Rahul"/>
    <n v="665"/>
    <n v="40"/>
    <n v="50"/>
    <x v="0"/>
    <n v="39"/>
    <x v="0"/>
    <n v="1"/>
    <n v="615"/>
    <x v="652"/>
    <x v="0"/>
    <n v="3"/>
  </r>
  <r>
    <s v="ORD2778"/>
    <s v="23-01-2021"/>
    <s v="CUST506"/>
    <x v="1"/>
    <x v="2"/>
    <x v="1"/>
    <s v="Karan"/>
    <n v="706"/>
    <n v="40"/>
    <n v="30"/>
    <x v="2"/>
    <n v="30"/>
    <x v="0"/>
    <n v="1"/>
    <n v="676"/>
    <x v="145"/>
    <x v="1"/>
    <n v="1"/>
  </r>
  <r>
    <s v="ORD2779"/>
    <s v="15-02-2021"/>
    <s v="CUST917"/>
    <x v="3"/>
    <x v="13"/>
    <x v="1"/>
    <s v="Rohit"/>
    <n v="483"/>
    <n v="20"/>
    <n v="30"/>
    <x v="1"/>
    <n v="24"/>
    <x v="0"/>
    <n v="1"/>
    <n v="453"/>
    <x v="122"/>
    <x v="2"/>
    <n v="2"/>
  </r>
  <r>
    <s v="ORD2780"/>
    <s v="31-03-2021"/>
    <s v="CUST1086"/>
    <x v="0"/>
    <x v="0"/>
    <x v="0"/>
    <s v="Suresh"/>
    <n v="407"/>
    <n v="20"/>
    <n v="50"/>
    <x v="1"/>
    <n v="40"/>
    <x v="0"/>
    <n v="1"/>
    <n v="357"/>
    <x v="1"/>
    <x v="0"/>
    <n v="3"/>
  </r>
  <r>
    <s v="ORD2781"/>
    <s v="18-03-2021"/>
    <s v="CUST616"/>
    <x v="2"/>
    <x v="6"/>
    <x v="2"/>
    <s v="Arjun"/>
    <n v="178"/>
    <n v="40"/>
    <n v="30"/>
    <x v="1"/>
    <n v="32"/>
    <x v="0"/>
    <n v="1"/>
    <n v="148"/>
    <x v="112"/>
    <x v="0"/>
    <n v="3"/>
  </r>
  <r>
    <s v="ORD2782"/>
    <s v="27-03-2021"/>
    <s v="CUST1038"/>
    <x v="1"/>
    <x v="1"/>
    <x v="1"/>
    <s v="Rohit"/>
    <n v="272"/>
    <n v="50"/>
    <n v="50"/>
    <x v="0"/>
    <n v="33"/>
    <x v="0"/>
    <n v="1"/>
    <n v="222"/>
    <x v="82"/>
    <x v="0"/>
    <n v="3"/>
  </r>
  <r>
    <s v="ORD2783"/>
    <s v="20-03-2021"/>
    <s v="CUST735"/>
    <x v="4"/>
    <x v="9"/>
    <x v="4"/>
    <s v="Suresh"/>
    <n v="672"/>
    <n v="40"/>
    <n v="50"/>
    <x v="0"/>
    <n v="22"/>
    <x v="0"/>
    <n v="1"/>
    <n v="622"/>
    <x v="458"/>
    <x v="0"/>
    <n v="3"/>
  </r>
  <r>
    <s v="ORD2784"/>
    <s v="10-03-2021"/>
    <s v="CUST565"/>
    <x v="1"/>
    <x v="2"/>
    <x v="1"/>
    <s v="Deepak"/>
    <n v="667"/>
    <n v="40"/>
    <n v="50"/>
    <x v="0"/>
    <n v="31"/>
    <x v="0"/>
    <n v="1"/>
    <n v="617"/>
    <x v="650"/>
    <x v="0"/>
    <n v="3"/>
  </r>
  <r>
    <s v="ORD2785"/>
    <s v="12-03-2021"/>
    <s v="CUST943"/>
    <x v="4"/>
    <x v="9"/>
    <x v="4"/>
    <s v="Arjun"/>
    <n v="676"/>
    <n v="50"/>
    <n v="50"/>
    <x v="1"/>
    <n v="36"/>
    <x v="0"/>
    <n v="1"/>
    <n v="626"/>
    <x v="366"/>
    <x v="0"/>
    <n v="3"/>
  </r>
  <r>
    <s v="ORD2786"/>
    <s v="13-01-2021"/>
    <s v="CUST718"/>
    <x v="0"/>
    <x v="0"/>
    <x v="0"/>
    <s v="Arjun"/>
    <n v="666"/>
    <n v="30"/>
    <n v="0"/>
    <x v="2"/>
    <n v="56"/>
    <x v="0"/>
    <n v="1"/>
    <n v="666"/>
    <x v="550"/>
    <x v="1"/>
    <n v="1"/>
  </r>
  <r>
    <s v="ORD2787"/>
    <s v="23-02-2021"/>
    <s v="CUST556"/>
    <x v="4"/>
    <x v="14"/>
    <x v="0"/>
    <s v="Karan"/>
    <n v="439"/>
    <n v="30"/>
    <n v="0"/>
    <x v="1"/>
    <n v="47"/>
    <x v="0"/>
    <n v="1"/>
    <n v="439"/>
    <x v="517"/>
    <x v="2"/>
    <n v="2"/>
  </r>
  <r>
    <s v="ORD2788"/>
    <s v="21-02-2021"/>
    <s v="CUST1048"/>
    <x v="1"/>
    <x v="1"/>
    <x v="1"/>
    <s v="Karan"/>
    <n v="664"/>
    <n v="50"/>
    <n v="100"/>
    <x v="0"/>
    <n v="58"/>
    <x v="0"/>
    <n v="1"/>
    <n v="564"/>
    <x v="23"/>
    <x v="2"/>
    <n v="2"/>
  </r>
  <r>
    <s v="ORD2789"/>
    <s v="29-01-2021"/>
    <s v="CUST726"/>
    <x v="0"/>
    <x v="10"/>
    <x v="0"/>
    <s v="Vikas"/>
    <n v="701"/>
    <n v="20"/>
    <n v="20"/>
    <x v="2"/>
    <n v="54"/>
    <x v="0"/>
    <n v="1"/>
    <n v="681"/>
    <x v="42"/>
    <x v="1"/>
    <n v="1"/>
  </r>
  <r>
    <s v="ORD2790"/>
    <s v="29-01-2021"/>
    <s v="CUST608"/>
    <x v="1"/>
    <x v="1"/>
    <x v="1"/>
    <s v="Manoj"/>
    <n v="460"/>
    <n v="50"/>
    <n v="0"/>
    <x v="2"/>
    <n v="57"/>
    <x v="0"/>
    <n v="1"/>
    <n v="460"/>
    <x v="120"/>
    <x v="1"/>
    <n v="1"/>
  </r>
  <r>
    <s v="ORD2791"/>
    <s v="03-02-2021"/>
    <s v="CUST514"/>
    <x v="4"/>
    <x v="5"/>
    <x v="3"/>
    <s v="Imran"/>
    <n v="721"/>
    <n v="40"/>
    <n v="0"/>
    <x v="2"/>
    <n v="25"/>
    <x v="0"/>
    <n v="1"/>
    <n v="721"/>
    <x v="86"/>
    <x v="2"/>
    <n v="2"/>
  </r>
  <r>
    <s v="ORD2792"/>
    <s v="28-01-2021"/>
    <s v="CUST986"/>
    <x v="1"/>
    <x v="1"/>
    <x v="1"/>
    <s v="Manoj"/>
    <n v="308"/>
    <n v="40"/>
    <n v="0"/>
    <x v="2"/>
    <n v="23"/>
    <x v="0"/>
    <n v="1"/>
    <n v="308"/>
    <x v="236"/>
    <x v="1"/>
    <n v="1"/>
  </r>
  <r>
    <s v="ORD2793"/>
    <s v="26-03-2021"/>
    <s v="CUST1179"/>
    <x v="4"/>
    <x v="9"/>
    <x v="4"/>
    <s v="Rohit"/>
    <n v="636"/>
    <n v="50"/>
    <n v="50"/>
    <x v="1"/>
    <n v="28"/>
    <x v="0"/>
    <n v="1"/>
    <n v="586"/>
    <x v="124"/>
    <x v="0"/>
    <n v="3"/>
  </r>
  <r>
    <s v="ORD2794"/>
    <s v="10-02-2021"/>
    <s v="CUST1065"/>
    <x v="3"/>
    <x v="4"/>
    <x v="2"/>
    <s v="Imran"/>
    <n v="789"/>
    <n v="20"/>
    <n v="50"/>
    <x v="0"/>
    <n v="55"/>
    <x v="0"/>
    <n v="1"/>
    <n v="739"/>
    <x v="422"/>
    <x v="2"/>
    <n v="2"/>
  </r>
  <r>
    <s v="ORD2795"/>
    <s v="10-03-2021"/>
    <s v="CUST1124"/>
    <x v="2"/>
    <x v="6"/>
    <x v="2"/>
    <s v="Rahul"/>
    <n v="589"/>
    <n v="50"/>
    <n v="50"/>
    <x v="2"/>
    <n v="32"/>
    <x v="0"/>
    <n v="1"/>
    <n v="539"/>
    <x v="582"/>
    <x v="0"/>
    <n v="3"/>
  </r>
  <r>
    <s v="ORD2796"/>
    <s v="05-01-2021"/>
    <s v="CUST542"/>
    <x v="2"/>
    <x v="11"/>
    <x v="0"/>
    <s v="Suresh"/>
    <n v="309"/>
    <n v="20"/>
    <n v="20"/>
    <x v="1"/>
    <n v="29"/>
    <x v="0"/>
    <n v="1"/>
    <n v="289"/>
    <x v="382"/>
    <x v="1"/>
    <n v="1"/>
  </r>
  <r>
    <s v="ORD2797"/>
    <s v="27-02-2021"/>
    <s v="CUST750"/>
    <x v="1"/>
    <x v="2"/>
    <x v="1"/>
    <s v="Deepak"/>
    <n v="644"/>
    <n v="50"/>
    <n v="0"/>
    <x v="2"/>
    <n v="26"/>
    <x v="0"/>
    <n v="1"/>
    <n v="644"/>
    <x v="321"/>
    <x v="2"/>
    <n v="2"/>
  </r>
  <r>
    <s v="ORD2798"/>
    <s v="11-02-2021"/>
    <s v="CUST615"/>
    <x v="2"/>
    <x v="3"/>
    <x v="1"/>
    <s v="Karan"/>
    <n v="795"/>
    <n v="50"/>
    <n v="30"/>
    <x v="0"/>
    <n v="28"/>
    <x v="0"/>
    <n v="1"/>
    <n v="765"/>
    <x v="566"/>
    <x v="2"/>
    <n v="2"/>
  </r>
  <r>
    <s v="ORD2799"/>
    <s v="27-03-2021"/>
    <s v="CUST1104"/>
    <x v="4"/>
    <x v="14"/>
    <x v="0"/>
    <s v="Imran"/>
    <n v="739"/>
    <n v="40"/>
    <n v="0"/>
    <x v="2"/>
    <n v="40"/>
    <x v="0"/>
    <n v="1"/>
    <n v="739"/>
    <x v="504"/>
    <x v="0"/>
    <n v="3"/>
  </r>
  <r>
    <s v="ORD2800"/>
    <s v="31-01-2021"/>
    <s v="CUST765"/>
    <x v="4"/>
    <x v="5"/>
    <x v="3"/>
    <s v="Rahul"/>
    <n v="647"/>
    <n v="20"/>
    <n v="50"/>
    <x v="2"/>
    <n v="55"/>
    <x v="0"/>
    <n v="1"/>
    <n v="597"/>
    <x v="387"/>
    <x v="1"/>
    <n v="1"/>
  </r>
  <r>
    <s v="ORD2801"/>
    <s v="02-02-2021"/>
    <s v="CUST912"/>
    <x v="3"/>
    <x v="4"/>
    <x v="2"/>
    <s v="Karan"/>
    <n v="792"/>
    <n v="50"/>
    <n v="30"/>
    <x v="0"/>
    <n v="41"/>
    <x v="0"/>
    <n v="1"/>
    <n v="762"/>
    <x v="646"/>
    <x v="2"/>
    <n v="2"/>
  </r>
  <r>
    <s v="ORD2802"/>
    <s v="24-01-2021"/>
    <s v="CUST548"/>
    <x v="3"/>
    <x v="13"/>
    <x v="1"/>
    <s v="Arjun"/>
    <n v="497"/>
    <n v="30"/>
    <n v="0"/>
    <x v="0"/>
    <n v="54"/>
    <x v="0"/>
    <n v="1"/>
    <n v="497"/>
    <x v="480"/>
    <x v="1"/>
    <n v="1"/>
  </r>
  <r>
    <s v="ORD2803"/>
    <s v="11-01-2021"/>
    <s v="CUST720"/>
    <x v="1"/>
    <x v="2"/>
    <x v="1"/>
    <s v="Rohit"/>
    <n v="676"/>
    <n v="20"/>
    <n v="50"/>
    <x v="0"/>
    <n v="47"/>
    <x v="0"/>
    <n v="1"/>
    <n v="626"/>
    <x v="53"/>
    <x v="1"/>
    <n v="1"/>
  </r>
  <r>
    <s v="ORD2804"/>
    <s v="29-01-2021"/>
    <s v="CUST937"/>
    <x v="4"/>
    <x v="14"/>
    <x v="0"/>
    <s v="Karan"/>
    <n v="609"/>
    <n v="30"/>
    <n v="50"/>
    <x v="2"/>
    <n v="32"/>
    <x v="0"/>
    <n v="1"/>
    <n v="559"/>
    <x v="582"/>
    <x v="1"/>
    <n v="1"/>
  </r>
  <r>
    <s v="ORD2805"/>
    <s v="21-03-2021"/>
    <s v="CUST1000"/>
    <x v="0"/>
    <x v="0"/>
    <x v="0"/>
    <s v="Manoj"/>
    <n v="486"/>
    <n v="20"/>
    <n v="0"/>
    <x v="1"/>
    <n v="27"/>
    <x v="0"/>
    <n v="1"/>
    <n v="486"/>
    <x v="64"/>
    <x v="0"/>
    <n v="3"/>
  </r>
  <r>
    <s v="ORD2806"/>
    <s v="19-02-2021"/>
    <s v="CUST1149"/>
    <x v="1"/>
    <x v="2"/>
    <x v="1"/>
    <s v="Amit"/>
    <n v="666"/>
    <n v="20"/>
    <n v="50"/>
    <x v="1"/>
    <n v="34"/>
    <x v="0"/>
    <n v="1"/>
    <n v="616"/>
    <x v="124"/>
    <x v="2"/>
    <n v="2"/>
  </r>
  <r>
    <s v="ORD2807"/>
    <s v="10-03-2021"/>
    <s v="CUST670"/>
    <x v="0"/>
    <x v="10"/>
    <x v="0"/>
    <s v="Arjun"/>
    <n v="790"/>
    <n v="20"/>
    <n v="50"/>
    <x v="2"/>
    <n v="21"/>
    <x v="0"/>
    <n v="1"/>
    <n v="740"/>
    <x v="41"/>
    <x v="0"/>
    <n v="3"/>
  </r>
  <r>
    <s v="ORD2808"/>
    <s v="08-03-2021"/>
    <s v="CUST566"/>
    <x v="1"/>
    <x v="2"/>
    <x v="1"/>
    <s v="Suresh"/>
    <n v="210"/>
    <n v="20"/>
    <n v="20"/>
    <x v="1"/>
    <n v="45"/>
    <x v="0"/>
    <n v="1"/>
    <n v="190"/>
    <x v="513"/>
    <x v="0"/>
    <n v="3"/>
  </r>
  <r>
    <s v="ORD2809"/>
    <s v="31-03-2021"/>
    <s v="CUST734"/>
    <x v="3"/>
    <x v="13"/>
    <x v="1"/>
    <s v="Rohit"/>
    <n v="765"/>
    <n v="40"/>
    <n v="100"/>
    <x v="1"/>
    <n v="22"/>
    <x v="0"/>
    <n v="1"/>
    <n v="665"/>
    <x v="142"/>
    <x v="0"/>
    <n v="3"/>
  </r>
  <r>
    <s v="ORD2810"/>
    <s v="01-01-2021"/>
    <s v="CUST1003"/>
    <x v="0"/>
    <x v="12"/>
    <x v="3"/>
    <s v="Manoj"/>
    <n v="668"/>
    <n v="50"/>
    <n v="20"/>
    <x v="1"/>
    <n v="46"/>
    <x v="0"/>
    <n v="1"/>
    <n v="648"/>
    <x v="653"/>
    <x v="1"/>
    <n v="1"/>
  </r>
  <r>
    <s v="ORD2811"/>
    <s v="01-01-2021"/>
    <s v="CUST868"/>
    <x v="2"/>
    <x v="6"/>
    <x v="2"/>
    <s v="Suresh"/>
    <n v="493"/>
    <n v="20"/>
    <n v="0"/>
    <x v="0"/>
    <n v="34"/>
    <x v="0"/>
    <n v="1"/>
    <n v="493"/>
    <x v="268"/>
    <x v="1"/>
    <n v="1"/>
  </r>
  <r>
    <s v="ORD2812"/>
    <s v="16-01-2021"/>
    <s v="CUST673"/>
    <x v="2"/>
    <x v="3"/>
    <x v="1"/>
    <s v="Rahul"/>
    <n v="304"/>
    <n v="20"/>
    <n v="50"/>
    <x v="0"/>
    <n v="55"/>
    <x v="0"/>
    <n v="1"/>
    <n v="254"/>
    <x v="364"/>
    <x v="1"/>
    <n v="1"/>
  </r>
  <r>
    <s v="ORD2813"/>
    <s v="04-03-2021"/>
    <s v="CUST1062"/>
    <x v="1"/>
    <x v="8"/>
    <x v="2"/>
    <s v="Rohit"/>
    <n v="465"/>
    <n v="50"/>
    <n v="30"/>
    <x v="2"/>
    <n v="45"/>
    <x v="0"/>
    <n v="1"/>
    <n v="435"/>
    <x v="107"/>
    <x v="0"/>
    <n v="3"/>
  </r>
  <r>
    <s v="ORD2814"/>
    <s v="17-03-2021"/>
    <s v="CUST950"/>
    <x v="1"/>
    <x v="2"/>
    <x v="1"/>
    <s v="Suresh"/>
    <n v="186"/>
    <n v="40"/>
    <n v="50"/>
    <x v="2"/>
    <n v="39"/>
    <x v="0"/>
    <n v="1"/>
    <n v="136"/>
    <x v="235"/>
    <x v="0"/>
    <n v="3"/>
  </r>
  <r>
    <s v="ORD2815"/>
    <s v="18-01-2021"/>
    <s v="CUST574"/>
    <x v="4"/>
    <x v="14"/>
    <x v="0"/>
    <s v="Arjun"/>
    <n v="289"/>
    <n v="30"/>
    <n v="20"/>
    <x v="0"/>
    <n v="45"/>
    <x v="0"/>
    <n v="1"/>
    <n v="269"/>
    <x v="485"/>
    <x v="1"/>
    <n v="1"/>
  </r>
  <r>
    <s v="ORD2816"/>
    <s v="03-03-2021"/>
    <s v="CUST794"/>
    <x v="1"/>
    <x v="1"/>
    <x v="1"/>
    <s v="Amit"/>
    <n v="297"/>
    <n v="30"/>
    <n v="0"/>
    <x v="0"/>
    <n v="33"/>
    <x v="0"/>
    <n v="1"/>
    <n v="297"/>
    <x v="209"/>
    <x v="0"/>
    <n v="3"/>
  </r>
  <r>
    <s v="ORD2817"/>
    <s v="15-02-2021"/>
    <s v="CUST1076"/>
    <x v="3"/>
    <x v="13"/>
    <x v="1"/>
    <s v="Rohit"/>
    <n v="730"/>
    <n v="50"/>
    <n v="20"/>
    <x v="0"/>
    <n v="56"/>
    <x v="0"/>
    <n v="1"/>
    <n v="710"/>
    <x v="41"/>
    <x v="2"/>
    <n v="2"/>
  </r>
  <r>
    <s v="ORD2818"/>
    <s v="25-03-2021"/>
    <s v="CUST880"/>
    <x v="3"/>
    <x v="13"/>
    <x v="1"/>
    <s v="Imran"/>
    <n v="574"/>
    <n v="40"/>
    <n v="30"/>
    <x v="0"/>
    <n v="33"/>
    <x v="0"/>
    <n v="1"/>
    <n v="544"/>
    <x v="299"/>
    <x v="0"/>
    <n v="3"/>
  </r>
  <r>
    <s v="ORD2819"/>
    <s v="06-03-2021"/>
    <s v="CUST1094"/>
    <x v="4"/>
    <x v="9"/>
    <x v="4"/>
    <s v="Arjun"/>
    <n v="568"/>
    <n v="50"/>
    <n v="100"/>
    <x v="0"/>
    <n v="44"/>
    <x v="0"/>
    <n v="1"/>
    <n v="468"/>
    <x v="225"/>
    <x v="0"/>
    <n v="3"/>
  </r>
  <r>
    <s v="ORD2820"/>
    <s v="30-01-2021"/>
    <s v="CUST803"/>
    <x v="4"/>
    <x v="14"/>
    <x v="0"/>
    <s v="Arjun"/>
    <n v="586"/>
    <n v="40"/>
    <n v="30"/>
    <x v="1"/>
    <n v="49"/>
    <x v="0"/>
    <n v="1"/>
    <n v="556"/>
    <x v="460"/>
    <x v="1"/>
    <n v="1"/>
  </r>
  <r>
    <s v="ORD2821"/>
    <s v="02-01-2021"/>
    <s v="CUST996"/>
    <x v="4"/>
    <x v="9"/>
    <x v="4"/>
    <s v="Imran"/>
    <n v="358"/>
    <n v="40"/>
    <n v="30"/>
    <x v="0"/>
    <n v="38"/>
    <x v="0"/>
    <n v="1"/>
    <n v="328"/>
    <x v="163"/>
    <x v="1"/>
    <n v="1"/>
  </r>
  <r>
    <s v="ORD2822"/>
    <s v="30-01-2021"/>
    <s v="CUST578"/>
    <x v="0"/>
    <x v="0"/>
    <x v="0"/>
    <s v="Rahul"/>
    <n v="411"/>
    <n v="20"/>
    <n v="50"/>
    <x v="0"/>
    <n v="41"/>
    <x v="0"/>
    <n v="1"/>
    <n v="361"/>
    <x v="204"/>
    <x v="1"/>
    <n v="1"/>
  </r>
  <r>
    <s v="ORD2823"/>
    <s v="04-01-2021"/>
    <s v="CUST852"/>
    <x v="0"/>
    <x v="0"/>
    <x v="0"/>
    <s v="Deepak"/>
    <n v="558"/>
    <n v="20"/>
    <n v="30"/>
    <x v="2"/>
    <n v="25"/>
    <x v="0"/>
    <n v="1"/>
    <n v="528"/>
    <x v="69"/>
    <x v="1"/>
    <n v="1"/>
  </r>
  <r>
    <s v="ORD2824"/>
    <s v="28-03-2021"/>
    <s v="CUST824"/>
    <x v="0"/>
    <x v="0"/>
    <x v="0"/>
    <s v="Manoj"/>
    <n v="527"/>
    <n v="50"/>
    <n v="100"/>
    <x v="2"/>
    <n v="35"/>
    <x v="0"/>
    <n v="1"/>
    <n v="427"/>
    <x v="413"/>
    <x v="0"/>
    <n v="3"/>
  </r>
  <r>
    <s v="ORD2825"/>
    <s v="17-01-2021"/>
    <s v="CUST903"/>
    <x v="1"/>
    <x v="2"/>
    <x v="1"/>
    <s v="Rahul"/>
    <n v="680"/>
    <n v="50"/>
    <n v="100"/>
    <x v="2"/>
    <n v="53"/>
    <x v="0"/>
    <n v="1"/>
    <n v="580"/>
    <x v="138"/>
    <x v="1"/>
    <n v="1"/>
  </r>
  <r>
    <s v="ORD2826"/>
    <s v="09-03-2021"/>
    <s v="CUST1096"/>
    <x v="4"/>
    <x v="9"/>
    <x v="4"/>
    <s v="Deepak"/>
    <n v="292"/>
    <n v="50"/>
    <n v="100"/>
    <x v="1"/>
    <n v="44"/>
    <x v="0"/>
    <n v="1"/>
    <n v="192"/>
    <x v="105"/>
    <x v="0"/>
    <n v="3"/>
  </r>
  <r>
    <s v="ORD2827"/>
    <s v="03-03-2021"/>
    <s v="CUST978"/>
    <x v="1"/>
    <x v="8"/>
    <x v="2"/>
    <s v="Suresh"/>
    <n v="452"/>
    <n v="40"/>
    <n v="30"/>
    <x v="1"/>
    <n v="54"/>
    <x v="0"/>
    <n v="1"/>
    <n v="422"/>
    <x v="596"/>
    <x v="0"/>
    <n v="3"/>
  </r>
  <r>
    <s v="ORD2828"/>
    <s v="24-01-2021"/>
    <s v="CUST718"/>
    <x v="4"/>
    <x v="9"/>
    <x v="4"/>
    <s v="Vikas"/>
    <n v="511"/>
    <n v="50"/>
    <n v="50"/>
    <x v="2"/>
    <n v="55"/>
    <x v="0"/>
    <n v="1"/>
    <n v="461"/>
    <x v="0"/>
    <x v="1"/>
    <n v="1"/>
  </r>
  <r>
    <s v="ORD2829"/>
    <s v="06-01-2021"/>
    <s v="CUST588"/>
    <x v="4"/>
    <x v="14"/>
    <x v="0"/>
    <s v="Manoj"/>
    <n v="768"/>
    <n v="30"/>
    <n v="0"/>
    <x v="2"/>
    <n v="41"/>
    <x v="0"/>
    <n v="1"/>
    <n v="768"/>
    <x v="521"/>
    <x v="1"/>
    <n v="1"/>
  </r>
  <r>
    <s v="ORD2830"/>
    <s v="03-02-2021"/>
    <s v="CUST887"/>
    <x v="0"/>
    <x v="0"/>
    <x v="0"/>
    <s v="Imran"/>
    <n v="771"/>
    <n v="20"/>
    <n v="100"/>
    <x v="2"/>
    <n v="48"/>
    <x v="1"/>
    <n v="1"/>
    <n v="671"/>
    <x v="418"/>
    <x v="2"/>
    <n v="2"/>
  </r>
  <r>
    <s v="ORD2831"/>
    <s v="29-03-2021"/>
    <s v="CUST810"/>
    <x v="0"/>
    <x v="0"/>
    <x v="0"/>
    <s v="Deepak"/>
    <n v="543"/>
    <n v="40"/>
    <n v="0"/>
    <x v="2"/>
    <n v="27"/>
    <x v="0"/>
    <n v="1"/>
    <n v="543"/>
    <x v="654"/>
    <x v="0"/>
    <n v="3"/>
  </r>
  <r>
    <s v="ORD2832"/>
    <s v="28-02-2021"/>
    <s v="CUST814"/>
    <x v="1"/>
    <x v="1"/>
    <x v="1"/>
    <s v="Manoj"/>
    <n v="164"/>
    <n v="20"/>
    <n v="100"/>
    <x v="1"/>
    <n v="48"/>
    <x v="0"/>
    <n v="1"/>
    <n v="64"/>
    <x v="655"/>
    <x v="2"/>
    <n v="2"/>
  </r>
  <r>
    <s v="ORD2833"/>
    <s v="12-02-2021"/>
    <s v="CUST1122"/>
    <x v="4"/>
    <x v="5"/>
    <x v="3"/>
    <s v="Amit"/>
    <n v="485"/>
    <n v="50"/>
    <n v="30"/>
    <x v="1"/>
    <n v="42"/>
    <x v="0"/>
    <n v="1"/>
    <n v="455"/>
    <x v="656"/>
    <x v="2"/>
    <n v="2"/>
  </r>
  <r>
    <s v="ORD2834"/>
    <s v="22-01-2021"/>
    <s v="CUST594"/>
    <x v="4"/>
    <x v="14"/>
    <x v="0"/>
    <s v="Deepak"/>
    <n v="470"/>
    <n v="20"/>
    <n v="20"/>
    <x v="2"/>
    <n v="22"/>
    <x v="0"/>
    <n v="1"/>
    <n v="450"/>
    <x v="62"/>
    <x v="1"/>
    <n v="1"/>
  </r>
  <r>
    <s v="ORD2835"/>
    <s v="16-01-2021"/>
    <s v="CUST862"/>
    <x v="2"/>
    <x v="6"/>
    <x v="2"/>
    <s v="Manoj"/>
    <n v="476"/>
    <n v="40"/>
    <n v="50"/>
    <x v="2"/>
    <n v="36"/>
    <x v="0"/>
    <n v="1"/>
    <n v="426"/>
    <x v="657"/>
    <x v="1"/>
    <n v="1"/>
  </r>
  <r>
    <s v="ORD2836"/>
    <s v="16-03-2021"/>
    <s v="CUST965"/>
    <x v="3"/>
    <x v="7"/>
    <x v="0"/>
    <s v="Deepak"/>
    <n v="492"/>
    <n v="20"/>
    <n v="100"/>
    <x v="0"/>
    <n v="36"/>
    <x v="0"/>
    <n v="1"/>
    <n v="392"/>
    <x v="377"/>
    <x v="0"/>
    <n v="3"/>
  </r>
  <r>
    <s v="ORD2837"/>
    <s v="14-03-2021"/>
    <s v="CUST789"/>
    <x v="2"/>
    <x v="3"/>
    <x v="1"/>
    <s v="Vikas"/>
    <n v="295"/>
    <n v="30"/>
    <n v="50"/>
    <x v="0"/>
    <n v="48"/>
    <x v="0"/>
    <n v="1"/>
    <n v="245"/>
    <x v="22"/>
    <x v="0"/>
    <n v="3"/>
  </r>
  <r>
    <s v="ORD2838"/>
    <s v="08-02-2021"/>
    <s v="CUST946"/>
    <x v="3"/>
    <x v="4"/>
    <x v="2"/>
    <s v="Manoj"/>
    <n v="453"/>
    <n v="20"/>
    <n v="30"/>
    <x v="0"/>
    <n v="59"/>
    <x v="0"/>
    <n v="1"/>
    <n v="423"/>
    <x v="473"/>
    <x v="2"/>
    <n v="2"/>
  </r>
  <r>
    <s v="ORD2839"/>
    <s v="26-02-2021"/>
    <s v="CUST798"/>
    <x v="1"/>
    <x v="1"/>
    <x v="1"/>
    <s v="Manoj"/>
    <n v="215"/>
    <n v="50"/>
    <n v="30"/>
    <x v="1"/>
    <n v="52"/>
    <x v="0"/>
    <n v="1"/>
    <n v="185"/>
    <x v="519"/>
    <x v="2"/>
    <n v="2"/>
  </r>
  <r>
    <s v="ORD2840"/>
    <s v="17-01-2021"/>
    <s v="CUST853"/>
    <x v="4"/>
    <x v="5"/>
    <x v="3"/>
    <s v="Karan"/>
    <n v="512"/>
    <n v="20"/>
    <n v="30"/>
    <x v="2"/>
    <n v="25"/>
    <x v="0"/>
    <n v="1"/>
    <n v="482"/>
    <x v="561"/>
    <x v="1"/>
    <n v="1"/>
  </r>
  <r>
    <s v="ORD2841"/>
    <s v="11-03-2021"/>
    <s v="CUST1116"/>
    <x v="3"/>
    <x v="7"/>
    <x v="0"/>
    <s v="Arjun"/>
    <n v="228"/>
    <n v="20"/>
    <n v="20"/>
    <x v="0"/>
    <n v="26"/>
    <x v="0"/>
    <n v="1"/>
    <n v="208"/>
    <x v="184"/>
    <x v="0"/>
    <n v="3"/>
  </r>
  <r>
    <s v="ORD2842"/>
    <s v="04-01-2021"/>
    <s v="CUST728"/>
    <x v="0"/>
    <x v="0"/>
    <x v="0"/>
    <s v="Arjun"/>
    <n v="457"/>
    <n v="40"/>
    <n v="100"/>
    <x v="2"/>
    <n v="58"/>
    <x v="0"/>
    <n v="1"/>
    <n v="357"/>
    <x v="233"/>
    <x v="1"/>
    <n v="1"/>
  </r>
  <r>
    <s v="ORD2843"/>
    <s v="25-03-2021"/>
    <s v="CUST933"/>
    <x v="1"/>
    <x v="8"/>
    <x v="2"/>
    <s v="Arjun"/>
    <n v="230"/>
    <n v="50"/>
    <n v="0"/>
    <x v="1"/>
    <n v="56"/>
    <x v="0"/>
    <n v="1"/>
    <n v="230"/>
    <x v="203"/>
    <x v="0"/>
    <n v="3"/>
  </r>
  <r>
    <s v="ORD2844"/>
    <s v="15-03-2021"/>
    <s v="CUST664"/>
    <x v="4"/>
    <x v="5"/>
    <x v="3"/>
    <s v="Amit"/>
    <n v="659"/>
    <n v="20"/>
    <n v="30"/>
    <x v="0"/>
    <n v="25"/>
    <x v="0"/>
    <n v="1"/>
    <n v="629"/>
    <x v="569"/>
    <x v="0"/>
    <n v="3"/>
  </r>
  <r>
    <s v="ORD2845"/>
    <s v="01-03-2021"/>
    <s v="CUST631"/>
    <x v="0"/>
    <x v="12"/>
    <x v="3"/>
    <s v="Imran"/>
    <n v="447"/>
    <n v="30"/>
    <n v="100"/>
    <x v="0"/>
    <n v="32"/>
    <x v="0"/>
    <n v="1"/>
    <n v="347"/>
    <x v="1"/>
    <x v="0"/>
    <n v="3"/>
  </r>
  <r>
    <s v="ORD2846"/>
    <s v="07-02-2021"/>
    <s v="CUST728"/>
    <x v="0"/>
    <x v="10"/>
    <x v="0"/>
    <s v="Arjun"/>
    <n v="420"/>
    <n v="40"/>
    <n v="30"/>
    <x v="1"/>
    <n v="23"/>
    <x v="0"/>
    <n v="1"/>
    <n v="390"/>
    <x v="100"/>
    <x v="2"/>
    <n v="2"/>
  </r>
  <r>
    <s v="ORD2847"/>
    <s v="19-03-2021"/>
    <s v="CUST644"/>
    <x v="1"/>
    <x v="1"/>
    <x v="1"/>
    <s v="Manoj"/>
    <n v="798"/>
    <n v="30"/>
    <n v="20"/>
    <x v="1"/>
    <n v="36"/>
    <x v="0"/>
    <n v="1"/>
    <n v="778"/>
    <x v="71"/>
    <x v="0"/>
    <n v="3"/>
  </r>
  <r>
    <s v="ORD2848"/>
    <s v="01-03-2021"/>
    <s v="CUST1057"/>
    <x v="1"/>
    <x v="2"/>
    <x v="1"/>
    <s v="Vikas"/>
    <n v="466"/>
    <n v="40"/>
    <n v="100"/>
    <x v="2"/>
    <n v="39"/>
    <x v="0"/>
    <n v="1"/>
    <n v="366"/>
    <x v="502"/>
    <x v="0"/>
    <n v="3"/>
  </r>
  <r>
    <s v="ORD2849"/>
    <s v="23-01-2021"/>
    <s v="CUST826"/>
    <x v="3"/>
    <x v="13"/>
    <x v="1"/>
    <s v="Suresh"/>
    <n v="608"/>
    <n v="50"/>
    <n v="20"/>
    <x v="0"/>
    <n v="37"/>
    <x v="0"/>
    <n v="1"/>
    <n v="588"/>
    <x v="171"/>
    <x v="1"/>
    <n v="1"/>
  </r>
  <r>
    <s v="ORD2850"/>
    <s v="31-01-2021"/>
    <s v="CUST1157"/>
    <x v="2"/>
    <x v="3"/>
    <x v="1"/>
    <s v="Vikas"/>
    <n v="291"/>
    <n v="40"/>
    <n v="0"/>
    <x v="1"/>
    <n v="31"/>
    <x v="0"/>
    <n v="1"/>
    <n v="291"/>
    <x v="273"/>
    <x v="1"/>
    <n v="1"/>
  </r>
  <r>
    <s v="ORD2851"/>
    <s v="12-03-2021"/>
    <s v="CUST725"/>
    <x v="3"/>
    <x v="13"/>
    <x v="1"/>
    <s v="Karan"/>
    <n v="358"/>
    <n v="20"/>
    <n v="100"/>
    <x v="1"/>
    <n v="51"/>
    <x v="0"/>
    <n v="1"/>
    <n v="258"/>
    <x v="347"/>
    <x v="0"/>
    <n v="3"/>
  </r>
  <r>
    <s v="ORD2852"/>
    <s v="07-03-2021"/>
    <s v="CUST1136"/>
    <x v="1"/>
    <x v="8"/>
    <x v="2"/>
    <s v="Vikas"/>
    <n v="545"/>
    <n v="30"/>
    <n v="100"/>
    <x v="1"/>
    <n v="44"/>
    <x v="0"/>
    <n v="1"/>
    <n v="445"/>
    <x v="230"/>
    <x v="0"/>
    <n v="3"/>
  </r>
  <r>
    <s v="ORD2853"/>
    <s v="01-01-2021"/>
    <s v="CUST711"/>
    <x v="4"/>
    <x v="9"/>
    <x v="4"/>
    <s v="Manoj"/>
    <n v="529"/>
    <n v="30"/>
    <n v="30"/>
    <x v="0"/>
    <n v="21"/>
    <x v="0"/>
    <n v="1"/>
    <n v="499"/>
    <x v="526"/>
    <x v="1"/>
    <n v="1"/>
  </r>
  <r>
    <s v="ORD2854"/>
    <s v="07-02-2021"/>
    <s v="CUST661"/>
    <x v="1"/>
    <x v="1"/>
    <x v="1"/>
    <s v="Imran"/>
    <n v="225"/>
    <n v="30"/>
    <n v="0"/>
    <x v="2"/>
    <n v="46"/>
    <x v="0"/>
    <n v="1"/>
    <n v="225"/>
    <x v="319"/>
    <x v="2"/>
    <n v="2"/>
  </r>
  <r>
    <s v="ORD2855"/>
    <s v="14-02-2021"/>
    <s v="CUST506"/>
    <x v="1"/>
    <x v="8"/>
    <x v="2"/>
    <s v="Manoj"/>
    <n v="775"/>
    <n v="20"/>
    <n v="50"/>
    <x v="1"/>
    <n v="55"/>
    <x v="0"/>
    <n v="1"/>
    <n v="725"/>
    <x v="658"/>
    <x v="2"/>
    <n v="2"/>
  </r>
  <r>
    <s v="ORD2856"/>
    <s v="14-02-2021"/>
    <s v="CUST1066"/>
    <x v="4"/>
    <x v="9"/>
    <x v="4"/>
    <s v="Imran"/>
    <n v="744"/>
    <n v="20"/>
    <n v="50"/>
    <x v="0"/>
    <n v="44"/>
    <x v="0"/>
    <n v="1"/>
    <n v="694"/>
    <x v="49"/>
    <x v="2"/>
    <n v="2"/>
  </r>
  <r>
    <s v="ORD2857"/>
    <s v="26-02-2021"/>
    <s v="CUST962"/>
    <x v="3"/>
    <x v="13"/>
    <x v="1"/>
    <s v="Arjun"/>
    <n v="769"/>
    <n v="40"/>
    <n v="0"/>
    <x v="1"/>
    <n v="59"/>
    <x v="0"/>
    <n v="1"/>
    <n v="769"/>
    <x v="659"/>
    <x v="2"/>
    <n v="2"/>
  </r>
  <r>
    <s v="ORD2858"/>
    <s v="18-03-2021"/>
    <s v="CUST1151"/>
    <x v="2"/>
    <x v="6"/>
    <x v="2"/>
    <s v="Imran"/>
    <n v="592"/>
    <n v="30"/>
    <n v="0"/>
    <x v="0"/>
    <n v="29"/>
    <x v="0"/>
    <n v="1"/>
    <n v="592"/>
    <x v="239"/>
    <x v="0"/>
    <n v="3"/>
  </r>
  <r>
    <s v="ORD2859"/>
    <s v="24-02-2021"/>
    <s v="CUST1152"/>
    <x v="4"/>
    <x v="5"/>
    <x v="3"/>
    <s v="Karan"/>
    <n v="567"/>
    <n v="40"/>
    <n v="100"/>
    <x v="2"/>
    <n v="46"/>
    <x v="0"/>
    <n v="1"/>
    <n v="467"/>
    <x v="146"/>
    <x v="2"/>
    <n v="2"/>
  </r>
  <r>
    <s v="ORD2860"/>
    <s v="05-02-2021"/>
    <s v="CUST734"/>
    <x v="4"/>
    <x v="5"/>
    <x v="3"/>
    <s v="Manoj"/>
    <n v="368"/>
    <n v="20"/>
    <n v="0"/>
    <x v="2"/>
    <n v="45"/>
    <x v="0"/>
    <n v="1"/>
    <n v="368"/>
    <x v="180"/>
    <x v="2"/>
    <n v="2"/>
  </r>
  <r>
    <s v="ORD2861"/>
    <s v="07-03-2021"/>
    <s v="CUST846"/>
    <x v="1"/>
    <x v="2"/>
    <x v="1"/>
    <s v="Rahul"/>
    <n v="486"/>
    <n v="30"/>
    <n v="0"/>
    <x v="2"/>
    <n v="58"/>
    <x v="0"/>
    <n v="1"/>
    <n v="486"/>
    <x v="549"/>
    <x v="0"/>
    <n v="3"/>
  </r>
  <r>
    <s v="ORD2862"/>
    <s v="06-02-2021"/>
    <s v="CUST929"/>
    <x v="0"/>
    <x v="12"/>
    <x v="3"/>
    <s v="Deepak"/>
    <n v="782"/>
    <n v="50"/>
    <n v="20"/>
    <x v="0"/>
    <n v="58"/>
    <x v="0"/>
    <n v="1"/>
    <n v="762"/>
    <x v="646"/>
    <x v="2"/>
    <n v="2"/>
  </r>
  <r>
    <s v="ORD2863"/>
    <s v="29-03-2021"/>
    <s v="CUST509"/>
    <x v="1"/>
    <x v="2"/>
    <x v="1"/>
    <s v="Manoj"/>
    <n v="175"/>
    <n v="40"/>
    <n v="100"/>
    <x v="0"/>
    <n v="46"/>
    <x v="0"/>
    <n v="1"/>
    <n v="75"/>
    <x v="572"/>
    <x v="0"/>
    <n v="3"/>
  </r>
  <r>
    <s v="ORD2864"/>
    <s v="08-01-2021"/>
    <s v="CUST560"/>
    <x v="1"/>
    <x v="1"/>
    <x v="1"/>
    <s v="Karan"/>
    <n v="364"/>
    <n v="30"/>
    <n v="20"/>
    <x v="0"/>
    <n v="43"/>
    <x v="1"/>
    <n v="1"/>
    <n v="344"/>
    <x v="383"/>
    <x v="1"/>
    <n v="1"/>
  </r>
  <r>
    <s v="ORD2865"/>
    <s v="15-03-2021"/>
    <s v="CUST779"/>
    <x v="2"/>
    <x v="11"/>
    <x v="0"/>
    <s v="Manoj"/>
    <n v="195"/>
    <n v="30"/>
    <n v="0"/>
    <x v="0"/>
    <n v="44"/>
    <x v="0"/>
    <n v="1"/>
    <n v="195"/>
    <x v="237"/>
    <x v="0"/>
    <n v="3"/>
  </r>
  <r>
    <s v="ORD2866"/>
    <s v="30-03-2021"/>
    <s v="CUST664"/>
    <x v="2"/>
    <x v="3"/>
    <x v="1"/>
    <s v="Amit"/>
    <n v="297"/>
    <n v="20"/>
    <n v="30"/>
    <x v="2"/>
    <n v="29"/>
    <x v="0"/>
    <n v="1"/>
    <n v="267"/>
    <x v="58"/>
    <x v="0"/>
    <n v="3"/>
  </r>
  <r>
    <s v="ORD2867"/>
    <s v="02-03-2021"/>
    <s v="CUST631"/>
    <x v="4"/>
    <x v="5"/>
    <x v="3"/>
    <s v="Arjun"/>
    <n v="644"/>
    <n v="20"/>
    <n v="0"/>
    <x v="2"/>
    <n v="30"/>
    <x v="0"/>
    <n v="1"/>
    <n v="644"/>
    <x v="60"/>
    <x v="0"/>
    <n v="3"/>
  </r>
  <r>
    <s v="ORD2868"/>
    <s v="18-01-2021"/>
    <s v="CUST656"/>
    <x v="2"/>
    <x v="11"/>
    <x v="0"/>
    <s v="Imran"/>
    <n v="764"/>
    <n v="20"/>
    <n v="30"/>
    <x v="1"/>
    <n v="41"/>
    <x v="0"/>
    <n v="1"/>
    <n v="734"/>
    <x v="168"/>
    <x v="1"/>
    <n v="1"/>
  </r>
  <r>
    <s v="ORD2869"/>
    <s v="12-03-2021"/>
    <s v="CUST888"/>
    <x v="2"/>
    <x v="3"/>
    <x v="1"/>
    <s v="Imran"/>
    <n v="378"/>
    <n v="20"/>
    <n v="20"/>
    <x v="0"/>
    <n v="44"/>
    <x v="0"/>
    <n v="1"/>
    <n v="358"/>
    <x v="136"/>
    <x v="0"/>
    <n v="3"/>
  </r>
  <r>
    <s v="ORD2870"/>
    <s v="09-02-2021"/>
    <s v="CUST526"/>
    <x v="3"/>
    <x v="7"/>
    <x v="0"/>
    <s v="Karan"/>
    <n v="282"/>
    <n v="40"/>
    <n v="100"/>
    <x v="0"/>
    <n v="38"/>
    <x v="0"/>
    <n v="1"/>
    <n v="182"/>
    <x v="340"/>
    <x v="2"/>
    <n v="2"/>
  </r>
  <r>
    <s v="ORD2871"/>
    <s v="25-01-2021"/>
    <s v="CUST824"/>
    <x v="1"/>
    <x v="8"/>
    <x v="2"/>
    <s v="Suresh"/>
    <n v="420"/>
    <n v="20"/>
    <n v="100"/>
    <x v="1"/>
    <n v="23"/>
    <x v="0"/>
    <n v="1"/>
    <n v="320"/>
    <x v="420"/>
    <x v="1"/>
    <n v="1"/>
  </r>
  <r>
    <s v="ORD2872"/>
    <s v="26-01-2021"/>
    <s v="CUST666"/>
    <x v="0"/>
    <x v="12"/>
    <x v="3"/>
    <s v="Rohit"/>
    <n v="522"/>
    <n v="20"/>
    <n v="50"/>
    <x v="0"/>
    <n v="24"/>
    <x v="0"/>
    <n v="1"/>
    <n v="472"/>
    <x v="158"/>
    <x v="1"/>
    <n v="1"/>
  </r>
  <r>
    <s v="ORD2873"/>
    <s v="13-02-2021"/>
    <s v="CUST891"/>
    <x v="3"/>
    <x v="4"/>
    <x v="2"/>
    <s v="Arjun"/>
    <n v="207"/>
    <n v="20"/>
    <n v="100"/>
    <x v="2"/>
    <n v="33"/>
    <x v="0"/>
    <n v="1"/>
    <n v="107"/>
    <x v="660"/>
    <x v="2"/>
    <n v="2"/>
  </r>
  <r>
    <s v="ORD2874"/>
    <s v="13-03-2021"/>
    <s v="CUST677"/>
    <x v="0"/>
    <x v="12"/>
    <x v="3"/>
    <s v="Amit"/>
    <n v="583"/>
    <n v="40"/>
    <n v="100"/>
    <x v="1"/>
    <n v="39"/>
    <x v="0"/>
    <n v="1"/>
    <n v="483"/>
    <x v="208"/>
    <x v="0"/>
    <n v="3"/>
  </r>
  <r>
    <s v="ORD2875"/>
    <s v="29-03-2021"/>
    <s v="CUST1006"/>
    <x v="4"/>
    <x v="5"/>
    <x v="3"/>
    <s v="Rohit"/>
    <n v="163"/>
    <n v="30"/>
    <n v="100"/>
    <x v="1"/>
    <n v="24"/>
    <x v="0"/>
    <n v="1"/>
    <n v="63"/>
    <x v="649"/>
    <x v="0"/>
    <n v="3"/>
  </r>
  <r>
    <s v="ORD2876"/>
    <s v="23-01-2021"/>
    <s v="CUST605"/>
    <x v="4"/>
    <x v="9"/>
    <x v="4"/>
    <s v="Karan"/>
    <n v="553"/>
    <n v="20"/>
    <n v="20"/>
    <x v="1"/>
    <n v="22"/>
    <x v="0"/>
    <n v="1"/>
    <n v="533"/>
    <x v="661"/>
    <x v="1"/>
    <n v="1"/>
  </r>
  <r>
    <s v="ORD2877"/>
    <s v="28-02-2021"/>
    <s v="CUST759"/>
    <x v="4"/>
    <x v="14"/>
    <x v="0"/>
    <s v="Vikas"/>
    <n v="199"/>
    <n v="30"/>
    <n v="30"/>
    <x v="2"/>
    <n v="43"/>
    <x v="0"/>
    <n v="1"/>
    <n v="169"/>
    <x v="495"/>
    <x v="2"/>
    <n v="2"/>
  </r>
  <r>
    <s v="ORD2878"/>
    <s v="15-01-2021"/>
    <s v="CUST870"/>
    <x v="4"/>
    <x v="14"/>
    <x v="0"/>
    <s v="Imran"/>
    <n v="293"/>
    <n v="40"/>
    <n v="30"/>
    <x v="0"/>
    <n v="51"/>
    <x v="0"/>
    <n v="1"/>
    <n v="263"/>
    <x v="648"/>
    <x v="1"/>
    <n v="1"/>
  </r>
  <r>
    <s v="ORD2879"/>
    <s v="20-01-2021"/>
    <s v="CUST1109"/>
    <x v="1"/>
    <x v="1"/>
    <x v="1"/>
    <s v="Karan"/>
    <n v="226"/>
    <n v="20"/>
    <n v="50"/>
    <x v="2"/>
    <n v="33"/>
    <x v="0"/>
    <n v="1"/>
    <n v="176"/>
    <x v="290"/>
    <x v="1"/>
    <n v="1"/>
  </r>
  <r>
    <s v="ORD2880"/>
    <s v="12-03-2021"/>
    <s v="CUST1173"/>
    <x v="0"/>
    <x v="12"/>
    <x v="3"/>
    <s v="Suresh"/>
    <n v="747"/>
    <n v="20"/>
    <n v="100"/>
    <x v="1"/>
    <n v="39"/>
    <x v="0"/>
    <n v="1"/>
    <n v="647"/>
    <x v="624"/>
    <x v="0"/>
    <n v="3"/>
  </r>
  <r>
    <s v="ORD2881"/>
    <s v="06-03-2021"/>
    <s v="CUST633"/>
    <x v="0"/>
    <x v="10"/>
    <x v="0"/>
    <s v="Deepak"/>
    <n v="340"/>
    <n v="50"/>
    <n v="100"/>
    <x v="0"/>
    <n v="38"/>
    <x v="0"/>
    <n v="1"/>
    <n v="240"/>
    <x v="598"/>
    <x v="0"/>
    <n v="3"/>
  </r>
  <r>
    <s v="ORD2882"/>
    <s v="24-01-2021"/>
    <s v="CUST1177"/>
    <x v="2"/>
    <x v="6"/>
    <x v="2"/>
    <s v="Karan"/>
    <n v="209"/>
    <n v="50"/>
    <n v="50"/>
    <x v="1"/>
    <n v="47"/>
    <x v="1"/>
    <n v="1"/>
    <n v="159"/>
    <x v="546"/>
    <x v="1"/>
    <n v="1"/>
  </r>
  <r>
    <s v="ORD2883"/>
    <s v="04-01-2021"/>
    <s v="CUST940"/>
    <x v="0"/>
    <x v="12"/>
    <x v="3"/>
    <s v="Vikas"/>
    <n v="507"/>
    <n v="40"/>
    <n v="50"/>
    <x v="2"/>
    <n v="26"/>
    <x v="0"/>
    <n v="1"/>
    <n v="457"/>
    <x v="201"/>
    <x v="1"/>
    <n v="1"/>
  </r>
  <r>
    <s v="ORD2884"/>
    <s v="26-01-2021"/>
    <s v="CUST949"/>
    <x v="4"/>
    <x v="14"/>
    <x v="0"/>
    <s v="Manoj"/>
    <n v="337"/>
    <n v="50"/>
    <n v="30"/>
    <x v="0"/>
    <n v="26"/>
    <x v="0"/>
    <n v="1"/>
    <n v="307"/>
    <x v="149"/>
    <x v="1"/>
    <n v="1"/>
  </r>
  <r>
    <s v="ORD2885"/>
    <s v="15-03-2021"/>
    <s v="CUST1068"/>
    <x v="4"/>
    <x v="14"/>
    <x v="0"/>
    <s v="Karan"/>
    <n v="491"/>
    <n v="50"/>
    <n v="100"/>
    <x v="1"/>
    <n v="41"/>
    <x v="0"/>
    <n v="1"/>
    <n v="391"/>
    <x v="424"/>
    <x v="0"/>
    <n v="3"/>
  </r>
  <r>
    <s v="ORD2886"/>
    <s v="20-01-2021"/>
    <s v="CUST960"/>
    <x v="3"/>
    <x v="13"/>
    <x v="1"/>
    <s v="Rahul"/>
    <n v="609"/>
    <n v="30"/>
    <n v="20"/>
    <x v="2"/>
    <n v="59"/>
    <x v="0"/>
    <n v="1"/>
    <n v="589"/>
    <x v="414"/>
    <x v="1"/>
    <n v="1"/>
  </r>
  <r>
    <s v="ORD2887"/>
    <s v="16-02-2021"/>
    <s v="CUST602"/>
    <x v="1"/>
    <x v="8"/>
    <x v="2"/>
    <s v="Rahul"/>
    <n v="322"/>
    <n v="20"/>
    <n v="0"/>
    <x v="1"/>
    <n v="28"/>
    <x v="0"/>
    <n v="1"/>
    <n v="322"/>
    <x v="448"/>
    <x v="2"/>
    <n v="2"/>
  </r>
  <r>
    <s v="ORD2888"/>
    <s v="11-01-2021"/>
    <s v="CUST1148"/>
    <x v="2"/>
    <x v="11"/>
    <x v="0"/>
    <s v="Deepak"/>
    <n v="749"/>
    <n v="40"/>
    <n v="30"/>
    <x v="1"/>
    <n v="56"/>
    <x v="0"/>
    <n v="1"/>
    <n v="719"/>
    <x v="422"/>
    <x v="1"/>
    <n v="1"/>
  </r>
  <r>
    <s v="ORD2889"/>
    <s v="21-01-2021"/>
    <s v="CUST760"/>
    <x v="3"/>
    <x v="13"/>
    <x v="1"/>
    <s v="Karan"/>
    <n v="726"/>
    <n v="20"/>
    <n v="0"/>
    <x v="0"/>
    <n v="39"/>
    <x v="0"/>
    <n v="1"/>
    <n v="726"/>
    <x v="35"/>
    <x v="1"/>
    <n v="1"/>
  </r>
  <r>
    <s v="ORD2890"/>
    <s v="05-02-2021"/>
    <s v="CUST594"/>
    <x v="0"/>
    <x v="0"/>
    <x v="0"/>
    <s v="Arjun"/>
    <n v="785"/>
    <n v="40"/>
    <n v="100"/>
    <x v="1"/>
    <n v="21"/>
    <x v="0"/>
    <n v="1"/>
    <n v="685"/>
    <x v="248"/>
    <x v="2"/>
    <n v="2"/>
  </r>
  <r>
    <s v="ORD2891"/>
    <s v="14-03-2021"/>
    <s v="CUST560"/>
    <x v="0"/>
    <x v="10"/>
    <x v="0"/>
    <s v="Deepak"/>
    <n v="417"/>
    <n v="40"/>
    <n v="100"/>
    <x v="1"/>
    <n v="24"/>
    <x v="0"/>
    <n v="1"/>
    <n v="317"/>
    <x v="149"/>
    <x v="0"/>
    <n v="3"/>
  </r>
  <r>
    <s v="ORD2892"/>
    <s v="01-01-2021"/>
    <s v="CUST681"/>
    <x v="2"/>
    <x v="3"/>
    <x v="1"/>
    <s v="Deepak"/>
    <n v="470"/>
    <n v="50"/>
    <n v="100"/>
    <x v="2"/>
    <n v="47"/>
    <x v="0"/>
    <n v="1"/>
    <n v="370"/>
    <x v="428"/>
    <x v="1"/>
    <n v="1"/>
  </r>
  <r>
    <s v="ORD2893"/>
    <s v="20-01-2021"/>
    <s v="CUST926"/>
    <x v="0"/>
    <x v="12"/>
    <x v="3"/>
    <s v="Imran"/>
    <n v="600"/>
    <n v="30"/>
    <n v="30"/>
    <x v="0"/>
    <n v="38"/>
    <x v="0"/>
    <n v="1"/>
    <n v="570"/>
    <x v="585"/>
    <x v="1"/>
    <n v="1"/>
  </r>
  <r>
    <s v="ORD2894"/>
    <s v="21-03-2021"/>
    <s v="CUST937"/>
    <x v="3"/>
    <x v="7"/>
    <x v="0"/>
    <s v="Vikas"/>
    <n v="569"/>
    <n v="30"/>
    <n v="0"/>
    <x v="1"/>
    <n v="56"/>
    <x v="0"/>
    <n v="1"/>
    <n v="569"/>
    <x v="77"/>
    <x v="0"/>
    <n v="3"/>
  </r>
  <r>
    <s v="ORD2895"/>
    <s v="21-01-2021"/>
    <s v="CUST947"/>
    <x v="2"/>
    <x v="3"/>
    <x v="1"/>
    <s v="Karan"/>
    <n v="681"/>
    <n v="30"/>
    <n v="20"/>
    <x v="2"/>
    <n v="56"/>
    <x v="0"/>
    <n v="1"/>
    <n v="661"/>
    <x v="418"/>
    <x v="1"/>
    <n v="1"/>
  </r>
  <r>
    <s v="ORD2896"/>
    <s v="16-02-2021"/>
    <s v="CUST682"/>
    <x v="4"/>
    <x v="9"/>
    <x v="4"/>
    <s v="Deepak"/>
    <n v="586"/>
    <n v="30"/>
    <n v="0"/>
    <x v="0"/>
    <n v="46"/>
    <x v="0"/>
    <n v="1"/>
    <n v="586"/>
    <x v="175"/>
    <x v="2"/>
    <n v="2"/>
  </r>
  <r>
    <s v="ORD2897"/>
    <s v="18-01-2021"/>
    <s v="CUST693"/>
    <x v="0"/>
    <x v="12"/>
    <x v="3"/>
    <s v="Amit"/>
    <n v="280"/>
    <n v="40"/>
    <n v="100"/>
    <x v="2"/>
    <n v="41"/>
    <x v="1"/>
    <n v="1"/>
    <n v="180"/>
    <x v="430"/>
    <x v="1"/>
    <n v="1"/>
  </r>
  <r>
    <s v="ORD2898"/>
    <s v="09-03-2021"/>
    <s v="CUST972"/>
    <x v="2"/>
    <x v="11"/>
    <x v="0"/>
    <s v="Suresh"/>
    <n v="338"/>
    <n v="20"/>
    <n v="20"/>
    <x v="1"/>
    <n v="48"/>
    <x v="0"/>
    <n v="1"/>
    <n v="318"/>
    <x v="361"/>
    <x v="0"/>
    <n v="3"/>
  </r>
  <r>
    <s v="ORD2899"/>
    <s v="23-03-2021"/>
    <s v="CUST948"/>
    <x v="3"/>
    <x v="13"/>
    <x v="1"/>
    <s v="Rohit"/>
    <n v="553"/>
    <n v="30"/>
    <n v="100"/>
    <x v="2"/>
    <n v="36"/>
    <x v="0"/>
    <n v="1"/>
    <n v="453"/>
    <x v="247"/>
    <x v="0"/>
    <n v="3"/>
  </r>
  <r>
    <s v="ORD2900"/>
    <s v="10-03-2021"/>
    <s v="CUST1041"/>
    <x v="3"/>
    <x v="4"/>
    <x v="2"/>
    <s v="Rahul"/>
    <n v="501"/>
    <n v="50"/>
    <n v="0"/>
    <x v="1"/>
    <n v="45"/>
    <x v="0"/>
    <n v="1"/>
    <n v="501"/>
    <x v="373"/>
    <x v="0"/>
    <n v="3"/>
  </r>
  <r>
    <s v="ORD2901"/>
    <s v="10-01-2021"/>
    <s v="CUST718"/>
    <x v="0"/>
    <x v="0"/>
    <x v="0"/>
    <s v="Vikas"/>
    <n v="577"/>
    <n v="40"/>
    <n v="30"/>
    <x v="0"/>
    <n v="34"/>
    <x v="0"/>
    <n v="1"/>
    <n v="547"/>
    <x v="645"/>
    <x v="1"/>
    <n v="1"/>
  </r>
  <r>
    <s v="ORD2902"/>
    <s v="10-01-2021"/>
    <s v="CUST667"/>
    <x v="2"/>
    <x v="3"/>
    <x v="1"/>
    <s v="Deepak"/>
    <n v="617"/>
    <n v="40"/>
    <n v="20"/>
    <x v="1"/>
    <n v="22"/>
    <x v="0"/>
    <n v="1"/>
    <n v="597"/>
    <x v="15"/>
    <x v="1"/>
    <n v="1"/>
  </r>
  <r>
    <s v="ORD2903"/>
    <s v="30-01-2021"/>
    <s v="CUST881"/>
    <x v="0"/>
    <x v="12"/>
    <x v="3"/>
    <s v="Vikas"/>
    <n v="750"/>
    <n v="20"/>
    <n v="30"/>
    <x v="0"/>
    <n v="60"/>
    <x v="0"/>
    <n v="1"/>
    <n v="720"/>
    <x v="34"/>
    <x v="1"/>
    <n v="1"/>
  </r>
  <r>
    <s v="ORD2904"/>
    <s v="02-01-2021"/>
    <s v="CUST1134"/>
    <x v="4"/>
    <x v="9"/>
    <x v="4"/>
    <s v="Deepak"/>
    <n v="606"/>
    <n v="20"/>
    <n v="50"/>
    <x v="0"/>
    <n v="42"/>
    <x v="0"/>
    <n v="1"/>
    <n v="556"/>
    <x v="530"/>
    <x v="1"/>
    <n v="1"/>
  </r>
  <r>
    <s v="ORD2905"/>
    <s v="31-01-2021"/>
    <s v="CUST985"/>
    <x v="4"/>
    <x v="9"/>
    <x v="4"/>
    <s v="Amit"/>
    <n v="613"/>
    <n v="50"/>
    <n v="20"/>
    <x v="1"/>
    <n v="34"/>
    <x v="0"/>
    <n v="1"/>
    <n v="593"/>
    <x v="271"/>
    <x v="1"/>
    <n v="1"/>
  </r>
  <r>
    <s v="ORD2906"/>
    <s v="23-01-2021"/>
    <s v="CUST1111"/>
    <x v="0"/>
    <x v="0"/>
    <x v="0"/>
    <s v="Arjun"/>
    <n v="486"/>
    <n v="40"/>
    <n v="50"/>
    <x v="1"/>
    <n v="47"/>
    <x v="0"/>
    <n v="1"/>
    <n v="436"/>
    <x v="472"/>
    <x v="1"/>
    <n v="1"/>
  </r>
  <r>
    <s v="ORD2907"/>
    <s v="30-03-2021"/>
    <s v="CUST700"/>
    <x v="2"/>
    <x v="6"/>
    <x v="2"/>
    <s v="Amit"/>
    <n v="652"/>
    <n v="40"/>
    <n v="20"/>
    <x v="2"/>
    <n v="23"/>
    <x v="0"/>
    <n v="1"/>
    <n v="632"/>
    <x v="662"/>
    <x v="0"/>
    <n v="3"/>
  </r>
  <r>
    <s v="ORD2908"/>
    <s v="19-03-2021"/>
    <s v="CUST988"/>
    <x v="0"/>
    <x v="12"/>
    <x v="3"/>
    <s v="Karan"/>
    <n v="668"/>
    <n v="30"/>
    <n v="30"/>
    <x v="2"/>
    <n v="35"/>
    <x v="0"/>
    <n v="1"/>
    <n v="638"/>
    <x v="470"/>
    <x v="0"/>
    <n v="3"/>
  </r>
  <r>
    <s v="ORD2909"/>
    <s v="03-02-2021"/>
    <s v="CUST623"/>
    <x v="0"/>
    <x v="10"/>
    <x v="0"/>
    <s v="Suresh"/>
    <n v="375"/>
    <n v="40"/>
    <n v="0"/>
    <x v="0"/>
    <n v="39"/>
    <x v="0"/>
    <n v="1"/>
    <n v="375"/>
    <x v="169"/>
    <x v="2"/>
    <n v="2"/>
  </r>
  <r>
    <s v="ORD2910"/>
    <s v="22-02-2021"/>
    <s v="CUST599"/>
    <x v="4"/>
    <x v="5"/>
    <x v="3"/>
    <s v="Rahul"/>
    <n v="389"/>
    <n v="20"/>
    <n v="0"/>
    <x v="2"/>
    <n v="44"/>
    <x v="0"/>
    <n v="1"/>
    <n v="389"/>
    <x v="525"/>
    <x v="2"/>
    <n v="2"/>
  </r>
  <r>
    <s v="ORD2911"/>
    <s v="01-01-2021"/>
    <s v="CUST977"/>
    <x v="3"/>
    <x v="13"/>
    <x v="1"/>
    <s v="Rahul"/>
    <n v="562"/>
    <n v="50"/>
    <n v="20"/>
    <x v="2"/>
    <n v="25"/>
    <x v="0"/>
    <n v="1"/>
    <n v="542"/>
    <x v="300"/>
    <x v="1"/>
    <n v="1"/>
  </r>
  <r>
    <s v="ORD2912"/>
    <s v="18-03-2021"/>
    <s v="CUST523"/>
    <x v="3"/>
    <x v="7"/>
    <x v="0"/>
    <s v="Rahul"/>
    <n v="406"/>
    <n v="30"/>
    <n v="20"/>
    <x v="2"/>
    <n v="60"/>
    <x v="0"/>
    <n v="1"/>
    <n v="386"/>
    <x v="132"/>
    <x v="0"/>
    <n v="3"/>
  </r>
  <r>
    <s v="ORD2913"/>
    <s v="04-02-2021"/>
    <s v="CUST990"/>
    <x v="4"/>
    <x v="14"/>
    <x v="0"/>
    <s v="Rohit"/>
    <n v="329"/>
    <n v="30"/>
    <n v="0"/>
    <x v="0"/>
    <n v="59"/>
    <x v="0"/>
    <n v="1"/>
    <n v="329"/>
    <x v="162"/>
    <x v="2"/>
    <n v="2"/>
  </r>
  <r>
    <s v="ORD2914"/>
    <s v="21-03-2021"/>
    <s v="CUST1183"/>
    <x v="0"/>
    <x v="10"/>
    <x v="0"/>
    <s v="Vikas"/>
    <n v="748"/>
    <n v="30"/>
    <n v="50"/>
    <x v="0"/>
    <n v="29"/>
    <x v="0"/>
    <n v="1"/>
    <n v="698"/>
    <x v="614"/>
    <x v="0"/>
    <n v="3"/>
  </r>
  <r>
    <s v="ORD2915"/>
    <s v="06-03-2021"/>
    <s v="CUST576"/>
    <x v="0"/>
    <x v="10"/>
    <x v="0"/>
    <s v="Arjun"/>
    <n v="279"/>
    <n v="40"/>
    <n v="50"/>
    <x v="1"/>
    <n v="31"/>
    <x v="0"/>
    <n v="1"/>
    <n v="229"/>
    <x v="584"/>
    <x v="0"/>
    <n v="3"/>
  </r>
  <r>
    <s v="ORD2916"/>
    <s v="17-03-2021"/>
    <s v="CUST543"/>
    <x v="0"/>
    <x v="10"/>
    <x v="0"/>
    <s v="Imran"/>
    <n v="716"/>
    <n v="50"/>
    <n v="0"/>
    <x v="2"/>
    <n v="56"/>
    <x v="0"/>
    <n v="1"/>
    <n v="716"/>
    <x v="486"/>
    <x v="0"/>
    <n v="3"/>
  </r>
  <r>
    <s v="ORD2917"/>
    <s v="13-03-2021"/>
    <s v="CUST940"/>
    <x v="0"/>
    <x v="0"/>
    <x v="0"/>
    <s v="Amit"/>
    <n v="573"/>
    <n v="30"/>
    <n v="30"/>
    <x v="0"/>
    <n v="39"/>
    <x v="0"/>
    <n v="1"/>
    <n v="543"/>
    <x v="111"/>
    <x v="0"/>
    <n v="3"/>
  </r>
  <r>
    <s v="ORD2918"/>
    <s v="01-02-2021"/>
    <s v="CUST1021"/>
    <x v="3"/>
    <x v="7"/>
    <x v="0"/>
    <s v="Imran"/>
    <n v="800"/>
    <n v="20"/>
    <n v="100"/>
    <x v="0"/>
    <n v="30"/>
    <x v="0"/>
    <n v="1"/>
    <n v="700"/>
    <x v="379"/>
    <x v="2"/>
    <n v="2"/>
  </r>
  <r>
    <s v="ORD2919"/>
    <s v="09-01-2021"/>
    <s v="CUST748"/>
    <x v="4"/>
    <x v="9"/>
    <x v="4"/>
    <s v="Rahul"/>
    <n v="448"/>
    <n v="20"/>
    <n v="100"/>
    <x v="0"/>
    <n v="40"/>
    <x v="0"/>
    <n v="1"/>
    <n v="348"/>
    <x v="163"/>
    <x v="1"/>
    <n v="1"/>
  </r>
  <r>
    <s v="ORD2920"/>
    <s v="15-03-2021"/>
    <s v="CUST1091"/>
    <x v="2"/>
    <x v="11"/>
    <x v="0"/>
    <s v="Rohit"/>
    <n v="778"/>
    <n v="40"/>
    <n v="20"/>
    <x v="1"/>
    <n v="42"/>
    <x v="0"/>
    <n v="1"/>
    <n v="758"/>
    <x v="521"/>
    <x v="0"/>
    <n v="3"/>
  </r>
  <r>
    <s v="ORD2921"/>
    <s v="15-02-2021"/>
    <s v="CUST1122"/>
    <x v="0"/>
    <x v="10"/>
    <x v="0"/>
    <s v="Rahul"/>
    <n v="413"/>
    <n v="40"/>
    <n v="50"/>
    <x v="1"/>
    <n v="53"/>
    <x v="0"/>
    <n v="1"/>
    <n v="363"/>
    <x v="213"/>
    <x v="2"/>
    <n v="2"/>
  </r>
  <r>
    <s v="ORD2922"/>
    <s v="16-01-2021"/>
    <s v="CUST505"/>
    <x v="1"/>
    <x v="1"/>
    <x v="1"/>
    <s v="Rahul"/>
    <n v="676"/>
    <n v="20"/>
    <n v="0"/>
    <x v="1"/>
    <n v="54"/>
    <x v="0"/>
    <n v="1"/>
    <n v="676"/>
    <x v="550"/>
    <x v="1"/>
    <n v="1"/>
  </r>
  <r>
    <s v="ORD2923"/>
    <s v="21-01-2021"/>
    <s v="CUST1142"/>
    <x v="2"/>
    <x v="11"/>
    <x v="0"/>
    <s v="Imran"/>
    <n v="554"/>
    <n v="20"/>
    <n v="100"/>
    <x v="2"/>
    <n v="28"/>
    <x v="0"/>
    <n v="1"/>
    <n v="454"/>
    <x v="663"/>
    <x v="1"/>
    <n v="1"/>
  </r>
  <r>
    <s v="ORD2924"/>
    <s v="30-01-2021"/>
    <s v="CUST618"/>
    <x v="1"/>
    <x v="2"/>
    <x v="1"/>
    <s v="Rohit"/>
    <n v="506"/>
    <n v="20"/>
    <n v="30"/>
    <x v="2"/>
    <n v="46"/>
    <x v="0"/>
    <n v="1"/>
    <n v="476"/>
    <x v="30"/>
    <x v="1"/>
    <n v="1"/>
  </r>
  <r>
    <s v="ORD2925"/>
    <s v="02-01-2021"/>
    <s v="CUST776"/>
    <x v="3"/>
    <x v="4"/>
    <x v="2"/>
    <s v="Manoj"/>
    <n v="294"/>
    <n v="40"/>
    <n v="0"/>
    <x v="2"/>
    <n v="30"/>
    <x v="0"/>
    <n v="1"/>
    <n v="294"/>
    <x v="560"/>
    <x v="1"/>
    <n v="1"/>
  </r>
  <r>
    <s v="ORD2926"/>
    <s v="03-01-2021"/>
    <s v="CUST765"/>
    <x v="4"/>
    <x v="14"/>
    <x v="0"/>
    <s v="Arjun"/>
    <n v="520"/>
    <n v="40"/>
    <n v="20"/>
    <x v="0"/>
    <n v="58"/>
    <x v="0"/>
    <n v="1"/>
    <n v="500"/>
    <x v="80"/>
    <x v="1"/>
    <n v="1"/>
  </r>
  <r>
    <s v="ORD2927"/>
    <s v="29-01-2021"/>
    <s v="CUST883"/>
    <x v="1"/>
    <x v="2"/>
    <x v="1"/>
    <s v="Manoj"/>
    <n v="213"/>
    <n v="40"/>
    <n v="30"/>
    <x v="1"/>
    <n v="28"/>
    <x v="0"/>
    <n v="1"/>
    <n v="183"/>
    <x v="403"/>
    <x v="1"/>
    <n v="1"/>
  </r>
  <r>
    <s v="ORD2928"/>
    <s v="12-02-2021"/>
    <s v="CUST1187"/>
    <x v="3"/>
    <x v="13"/>
    <x v="1"/>
    <s v="Amit"/>
    <n v="368"/>
    <n v="30"/>
    <n v="50"/>
    <x v="0"/>
    <n v="42"/>
    <x v="0"/>
    <n v="1"/>
    <n v="318"/>
    <x v="236"/>
    <x v="2"/>
    <n v="2"/>
  </r>
  <r>
    <s v="ORD2929"/>
    <s v="15-01-2021"/>
    <s v="CUST611"/>
    <x v="0"/>
    <x v="10"/>
    <x v="0"/>
    <s v="Amit"/>
    <n v="168"/>
    <n v="20"/>
    <n v="0"/>
    <x v="0"/>
    <n v="47"/>
    <x v="0"/>
    <n v="1"/>
    <n v="168"/>
    <x v="112"/>
    <x v="1"/>
    <n v="1"/>
  </r>
  <r>
    <s v="ORD2930"/>
    <s v="28-02-2021"/>
    <s v="CUST1018"/>
    <x v="1"/>
    <x v="2"/>
    <x v="1"/>
    <s v="Rohit"/>
    <n v="341"/>
    <n v="50"/>
    <n v="50"/>
    <x v="2"/>
    <n v="22"/>
    <x v="0"/>
    <n v="1"/>
    <n v="291"/>
    <x v="467"/>
    <x v="2"/>
    <n v="2"/>
  </r>
  <r>
    <s v="ORD2931"/>
    <s v="25-01-2021"/>
    <s v="CUST840"/>
    <x v="4"/>
    <x v="9"/>
    <x v="4"/>
    <s v="Arjun"/>
    <n v="426"/>
    <n v="40"/>
    <n v="30"/>
    <x v="0"/>
    <n v="56"/>
    <x v="0"/>
    <n v="1"/>
    <n v="396"/>
    <x v="593"/>
    <x v="1"/>
    <n v="1"/>
  </r>
  <r>
    <s v="ORD2932"/>
    <s v="22-03-2021"/>
    <s v="CUST716"/>
    <x v="4"/>
    <x v="9"/>
    <x v="4"/>
    <s v="Suresh"/>
    <n v="598"/>
    <n v="30"/>
    <n v="20"/>
    <x v="0"/>
    <n v="58"/>
    <x v="0"/>
    <n v="1"/>
    <n v="578"/>
    <x v="445"/>
    <x v="0"/>
    <n v="3"/>
  </r>
  <r>
    <s v="ORD2933"/>
    <s v="30-01-2021"/>
    <s v="CUST783"/>
    <x v="1"/>
    <x v="2"/>
    <x v="1"/>
    <s v="Rohit"/>
    <n v="212"/>
    <n v="40"/>
    <n v="0"/>
    <x v="2"/>
    <n v="30"/>
    <x v="1"/>
    <n v="1"/>
    <n v="212"/>
    <x v="440"/>
    <x v="1"/>
    <n v="1"/>
  </r>
  <r>
    <s v="ORD2934"/>
    <s v="02-01-2021"/>
    <s v="CUST596"/>
    <x v="3"/>
    <x v="13"/>
    <x v="1"/>
    <s v="Karan"/>
    <n v="165"/>
    <n v="40"/>
    <n v="20"/>
    <x v="2"/>
    <n v="39"/>
    <x v="0"/>
    <n v="1"/>
    <n v="145"/>
    <x v="24"/>
    <x v="1"/>
    <n v="1"/>
  </r>
  <r>
    <s v="ORD2935"/>
    <s v="16-02-2021"/>
    <s v="CUST829"/>
    <x v="1"/>
    <x v="8"/>
    <x v="2"/>
    <s v="Suresh"/>
    <n v="769"/>
    <n v="50"/>
    <n v="50"/>
    <x v="2"/>
    <n v="58"/>
    <x v="1"/>
    <n v="1"/>
    <n v="719"/>
    <x v="126"/>
    <x v="2"/>
    <n v="2"/>
  </r>
  <r>
    <s v="ORD2936"/>
    <s v="21-03-2021"/>
    <s v="CUST912"/>
    <x v="2"/>
    <x v="11"/>
    <x v="0"/>
    <s v="Amit"/>
    <n v="601"/>
    <n v="50"/>
    <n v="100"/>
    <x v="2"/>
    <n v="43"/>
    <x v="0"/>
    <n v="1"/>
    <n v="501"/>
    <x v="373"/>
    <x v="0"/>
    <n v="3"/>
  </r>
  <r>
    <s v="ORD2937"/>
    <s v="04-02-2021"/>
    <s v="CUST1052"/>
    <x v="2"/>
    <x v="11"/>
    <x v="0"/>
    <s v="Arjun"/>
    <n v="651"/>
    <n v="30"/>
    <n v="100"/>
    <x v="1"/>
    <n v="21"/>
    <x v="0"/>
    <n v="1"/>
    <n v="551"/>
    <x v="39"/>
    <x v="2"/>
    <n v="2"/>
  </r>
  <r>
    <s v="ORD2938"/>
    <s v="19-02-2021"/>
    <s v="CUST994"/>
    <x v="0"/>
    <x v="12"/>
    <x v="3"/>
    <s v="Karan"/>
    <n v="329"/>
    <n v="20"/>
    <n v="50"/>
    <x v="2"/>
    <n v="50"/>
    <x v="0"/>
    <n v="1"/>
    <n v="279"/>
    <x v="485"/>
    <x v="2"/>
    <n v="2"/>
  </r>
  <r>
    <s v="ORD2939"/>
    <s v="26-01-2021"/>
    <s v="CUST714"/>
    <x v="3"/>
    <x v="7"/>
    <x v="0"/>
    <s v="Karan"/>
    <n v="542"/>
    <n v="50"/>
    <n v="100"/>
    <x v="1"/>
    <n v="30"/>
    <x v="0"/>
    <n v="1"/>
    <n v="442"/>
    <x v="158"/>
    <x v="1"/>
    <n v="1"/>
  </r>
  <r>
    <s v="ORD2940"/>
    <s v="15-01-2021"/>
    <s v="CUST1151"/>
    <x v="0"/>
    <x v="10"/>
    <x v="0"/>
    <s v="Arjun"/>
    <n v="304"/>
    <n v="50"/>
    <n v="0"/>
    <x v="0"/>
    <n v="37"/>
    <x v="0"/>
    <n v="1"/>
    <n v="304"/>
    <x v="59"/>
    <x v="1"/>
    <n v="1"/>
  </r>
  <r>
    <s v="ORD2941"/>
    <s v="15-03-2021"/>
    <s v="CUST1178"/>
    <x v="0"/>
    <x v="12"/>
    <x v="3"/>
    <s v="Rohit"/>
    <n v="780"/>
    <n v="20"/>
    <n v="30"/>
    <x v="1"/>
    <n v="57"/>
    <x v="0"/>
    <n v="1"/>
    <n v="750"/>
    <x v="604"/>
    <x v="0"/>
    <n v="3"/>
  </r>
  <r>
    <s v="ORD2942"/>
    <s v="15-03-2021"/>
    <s v="CUST571"/>
    <x v="1"/>
    <x v="1"/>
    <x v="1"/>
    <s v="Arjun"/>
    <n v="707"/>
    <n v="50"/>
    <n v="20"/>
    <x v="0"/>
    <n v="33"/>
    <x v="0"/>
    <n v="1"/>
    <n v="687"/>
    <x v="405"/>
    <x v="0"/>
    <n v="3"/>
  </r>
  <r>
    <s v="ORD2943"/>
    <s v="30-01-2021"/>
    <s v="CUST1057"/>
    <x v="1"/>
    <x v="8"/>
    <x v="2"/>
    <s v="Arjun"/>
    <n v="483"/>
    <n v="40"/>
    <n v="0"/>
    <x v="1"/>
    <n v="58"/>
    <x v="0"/>
    <n v="1"/>
    <n v="483"/>
    <x v="208"/>
    <x v="1"/>
    <n v="1"/>
  </r>
  <r>
    <s v="ORD2944"/>
    <s v="02-02-2021"/>
    <s v="CUST994"/>
    <x v="3"/>
    <x v="4"/>
    <x v="2"/>
    <s v="Deepak"/>
    <n v="774"/>
    <n v="30"/>
    <n v="20"/>
    <x v="2"/>
    <n v="26"/>
    <x v="0"/>
    <n v="1"/>
    <n v="754"/>
    <x v="664"/>
    <x v="2"/>
    <n v="2"/>
  </r>
  <r>
    <s v="ORD2945"/>
    <s v="04-03-2021"/>
    <s v="CUST838"/>
    <x v="2"/>
    <x v="3"/>
    <x v="1"/>
    <s v="Deepak"/>
    <n v="688"/>
    <n v="20"/>
    <n v="0"/>
    <x v="0"/>
    <n v="47"/>
    <x v="0"/>
    <n v="1"/>
    <n v="688"/>
    <x v="29"/>
    <x v="0"/>
    <n v="3"/>
  </r>
  <r>
    <s v="ORD2946"/>
    <s v="21-03-2021"/>
    <s v="CUST544"/>
    <x v="2"/>
    <x v="6"/>
    <x v="2"/>
    <s v="Arjun"/>
    <n v="282"/>
    <n v="50"/>
    <n v="50"/>
    <x v="2"/>
    <n v="58"/>
    <x v="0"/>
    <n v="1"/>
    <n v="232"/>
    <x v="121"/>
    <x v="0"/>
    <n v="3"/>
  </r>
  <r>
    <s v="ORD2947"/>
    <s v="16-03-2021"/>
    <s v="CUST1036"/>
    <x v="1"/>
    <x v="8"/>
    <x v="2"/>
    <s v="Deepak"/>
    <n v="649"/>
    <n v="50"/>
    <n v="30"/>
    <x v="1"/>
    <n v="51"/>
    <x v="0"/>
    <n v="1"/>
    <n v="619"/>
    <x v="257"/>
    <x v="0"/>
    <n v="3"/>
  </r>
  <r>
    <s v="ORD2948"/>
    <s v="18-02-2021"/>
    <s v="CUST1166"/>
    <x v="3"/>
    <x v="13"/>
    <x v="1"/>
    <s v="Imran"/>
    <n v="385"/>
    <n v="20"/>
    <n v="20"/>
    <x v="2"/>
    <n v="32"/>
    <x v="0"/>
    <n v="1"/>
    <n v="365"/>
    <x v="597"/>
    <x v="2"/>
    <n v="2"/>
  </r>
  <r>
    <s v="ORD2949"/>
    <s v="20-02-2021"/>
    <s v="CUST850"/>
    <x v="1"/>
    <x v="8"/>
    <x v="2"/>
    <s v="Vikas"/>
    <n v="696"/>
    <n v="20"/>
    <n v="100"/>
    <x v="0"/>
    <n v="47"/>
    <x v="0"/>
    <n v="1"/>
    <n v="596"/>
    <x v="175"/>
    <x v="2"/>
    <n v="2"/>
  </r>
  <r>
    <s v="ORD2950"/>
    <s v="31-03-2021"/>
    <s v="CUST990"/>
    <x v="2"/>
    <x v="6"/>
    <x v="2"/>
    <s v="Imran"/>
    <n v="452"/>
    <n v="20"/>
    <n v="30"/>
    <x v="0"/>
    <n v="33"/>
    <x v="0"/>
    <n v="1"/>
    <n v="422"/>
    <x v="481"/>
    <x v="0"/>
    <n v="3"/>
  </r>
  <r>
    <s v="ORD2951"/>
    <s v="01-02-2021"/>
    <s v="CUST1083"/>
    <x v="3"/>
    <x v="13"/>
    <x v="1"/>
    <s v="Suresh"/>
    <n v="729"/>
    <n v="50"/>
    <n v="0"/>
    <x v="2"/>
    <n v="23"/>
    <x v="0"/>
    <n v="1"/>
    <n v="729"/>
    <x v="504"/>
    <x v="2"/>
    <n v="2"/>
  </r>
  <r>
    <s v="ORD2952"/>
    <s v="08-02-2021"/>
    <s v="CUST1080"/>
    <x v="0"/>
    <x v="12"/>
    <x v="3"/>
    <s v="Rohit"/>
    <n v="220"/>
    <n v="40"/>
    <n v="0"/>
    <x v="2"/>
    <n v="24"/>
    <x v="0"/>
    <n v="1"/>
    <n v="220"/>
    <x v="425"/>
    <x v="2"/>
    <n v="2"/>
  </r>
  <r>
    <s v="ORD2953"/>
    <s v="12-01-2021"/>
    <s v="CUST1135"/>
    <x v="3"/>
    <x v="4"/>
    <x v="2"/>
    <s v="Vikas"/>
    <n v="790"/>
    <n v="30"/>
    <n v="20"/>
    <x v="0"/>
    <n v="30"/>
    <x v="0"/>
    <n v="1"/>
    <n v="770"/>
    <x v="609"/>
    <x v="1"/>
    <n v="1"/>
  </r>
  <r>
    <s v="ORD2954"/>
    <s v="23-03-2021"/>
    <s v="CUST612"/>
    <x v="3"/>
    <x v="7"/>
    <x v="0"/>
    <s v="Rahul"/>
    <n v="666"/>
    <n v="40"/>
    <n v="20"/>
    <x v="0"/>
    <n v="54"/>
    <x v="0"/>
    <n v="1"/>
    <n v="646"/>
    <x v="570"/>
    <x v="0"/>
    <n v="3"/>
  </r>
  <r>
    <s v="ORD2955"/>
    <s v="23-01-2021"/>
    <s v="CUST1080"/>
    <x v="3"/>
    <x v="13"/>
    <x v="1"/>
    <s v="Karan"/>
    <n v="782"/>
    <n v="30"/>
    <n v="50"/>
    <x v="2"/>
    <n v="59"/>
    <x v="1"/>
    <n v="1"/>
    <n v="732"/>
    <x v="254"/>
    <x v="1"/>
    <n v="1"/>
  </r>
  <r>
    <s v="ORD2956"/>
    <s v="06-03-2021"/>
    <s v="CUST908"/>
    <x v="1"/>
    <x v="8"/>
    <x v="2"/>
    <s v="Amit"/>
    <n v="440"/>
    <n v="40"/>
    <n v="50"/>
    <x v="2"/>
    <n v="40"/>
    <x v="0"/>
    <n v="1"/>
    <n v="390"/>
    <x v="100"/>
    <x v="0"/>
    <n v="3"/>
  </r>
  <r>
    <s v="ORD2957"/>
    <s v="07-03-2021"/>
    <s v="CUST664"/>
    <x v="2"/>
    <x v="3"/>
    <x v="1"/>
    <s v="Suresh"/>
    <n v="722"/>
    <n v="50"/>
    <n v="30"/>
    <x v="2"/>
    <n v="26"/>
    <x v="0"/>
    <n v="1"/>
    <n v="692"/>
    <x v="380"/>
    <x v="0"/>
    <n v="3"/>
  </r>
  <r>
    <s v="ORD2958"/>
    <s v="31-01-2021"/>
    <s v="CUST1009"/>
    <x v="1"/>
    <x v="2"/>
    <x v="1"/>
    <s v="Karan"/>
    <n v="584"/>
    <n v="40"/>
    <n v="30"/>
    <x v="0"/>
    <n v="23"/>
    <x v="0"/>
    <n v="1"/>
    <n v="554"/>
    <x v="174"/>
    <x v="1"/>
    <n v="1"/>
  </r>
  <r>
    <s v="ORD2959"/>
    <s v="10-02-2021"/>
    <s v="CUST718"/>
    <x v="4"/>
    <x v="9"/>
    <x v="4"/>
    <s v="Karan"/>
    <n v="442"/>
    <n v="40"/>
    <n v="100"/>
    <x v="0"/>
    <n v="38"/>
    <x v="0"/>
    <n v="1"/>
    <n v="342"/>
    <x v="302"/>
    <x v="2"/>
    <n v="2"/>
  </r>
  <r>
    <s v="ORD2960"/>
    <s v="29-01-2021"/>
    <s v="CUST1097"/>
    <x v="4"/>
    <x v="14"/>
    <x v="0"/>
    <s v="Suresh"/>
    <n v="201"/>
    <n v="30"/>
    <n v="30"/>
    <x v="2"/>
    <n v="49"/>
    <x v="0"/>
    <n v="1"/>
    <n v="171"/>
    <x v="330"/>
    <x v="1"/>
    <n v="1"/>
  </r>
  <r>
    <s v="ORD2961"/>
    <s v="11-02-2021"/>
    <s v="CUST1193"/>
    <x v="3"/>
    <x v="4"/>
    <x v="2"/>
    <s v="Amit"/>
    <n v="699"/>
    <n v="30"/>
    <n v="100"/>
    <x v="0"/>
    <n v="37"/>
    <x v="0"/>
    <n v="1"/>
    <n v="599"/>
    <x v="343"/>
    <x v="2"/>
    <n v="2"/>
  </r>
  <r>
    <s v="ORD2962"/>
    <s v="27-03-2021"/>
    <s v="CUST1010"/>
    <x v="0"/>
    <x v="10"/>
    <x v="0"/>
    <s v="Deepak"/>
    <n v="540"/>
    <n v="20"/>
    <n v="20"/>
    <x v="1"/>
    <n v="20"/>
    <x v="0"/>
    <n v="1"/>
    <n v="520"/>
    <x v="80"/>
    <x v="0"/>
    <n v="3"/>
  </r>
  <r>
    <s v="ORD2963"/>
    <s v="09-01-2021"/>
    <s v="CUST958"/>
    <x v="4"/>
    <x v="14"/>
    <x v="0"/>
    <s v="Deepak"/>
    <n v="433"/>
    <n v="50"/>
    <n v="20"/>
    <x v="1"/>
    <n v="30"/>
    <x v="0"/>
    <n v="1"/>
    <n v="413"/>
    <x v="374"/>
    <x v="1"/>
    <n v="1"/>
  </r>
  <r>
    <s v="ORD2964"/>
    <s v="23-01-2021"/>
    <s v="CUST875"/>
    <x v="0"/>
    <x v="12"/>
    <x v="3"/>
    <s v="Arjun"/>
    <n v="779"/>
    <n v="40"/>
    <n v="30"/>
    <x v="1"/>
    <n v="32"/>
    <x v="0"/>
    <n v="1"/>
    <n v="749"/>
    <x v="16"/>
    <x v="1"/>
    <n v="1"/>
  </r>
  <r>
    <s v="ORD2965"/>
    <s v="09-02-2021"/>
    <s v="CUST881"/>
    <x v="0"/>
    <x v="10"/>
    <x v="0"/>
    <s v="Imran"/>
    <n v="455"/>
    <n v="50"/>
    <n v="20"/>
    <x v="0"/>
    <n v="43"/>
    <x v="0"/>
    <n v="1"/>
    <n v="435"/>
    <x v="107"/>
    <x v="2"/>
    <n v="2"/>
  </r>
  <r>
    <s v="ORD2966"/>
    <s v="13-03-2021"/>
    <s v="CUST987"/>
    <x v="1"/>
    <x v="1"/>
    <x v="1"/>
    <s v="Amit"/>
    <n v="664"/>
    <n v="40"/>
    <n v="30"/>
    <x v="2"/>
    <n v="46"/>
    <x v="0"/>
    <n v="1"/>
    <n v="634"/>
    <x v="309"/>
    <x v="0"/>
    <n v="3"/>
  </r>
  <r>
    <s v="ORD2967"/>
    <s v="07-03-2021"/>
    <s v="CUST1175"/>
    <x v="2"/>
    <x v="6"/>
    <x v="2"/>
    <s v="Karan"/>
    <n v="512"/>
    <n v="50"/>
    <n v="50"/>
    <x v="1"/>
    <n v="34"/>
    <x v="0"/>
    <n v="1"/>
    <n v="462"/>
    <x v="2"/>
    <x v="0"/>
    <n v="3"/>
  </r>
  <r>
    <s v="ORD2968"/>
    <s v="28-03-2021"/>
    <s v="CUST872"/>
    <x v="1"/>
    <x v="1"/>
    <x v="1"/>
    <s v="Rohit"/>
    <n v="450"/>
    <n v="50"/>
    <n v="0"/>
    <x v="1"/>
    <n v="38"/>
    <x v="0"/>
    <n v="1"/>
    <n v="450"/>
    <x v="308"/>
    <x v="0"/>
    <n v="3"/>
  </r>
  <r>
    <s v="ORD2969"/>
    <s v="27-01-2021"/>
    <s v="CUST516"/>
    <x v="3"/>
    <x v="13"/>
    <x v="1"/>
    <s v="Suresh"/>
    <n v="358"/>
    <n v="40"/>
    <n v="20"/>
    <x v="2"/>
    <n v="49"/>
    <x v="0"/>
    <n v="1"/>
    <n v="338"/>
    <x v="136"/>
    <x v="1"/>
    <n v="1"/>
  </r>
  <r>
    <s v="ORD2970"/>
    <s v="31-01-2021"/>
    <s v="CUST1054"/>
    <x v="1"/>
    <x v="2"/>
    <x v="1"/>
    <s v="Rahul"/>
    <n v="257"/>
    <n v="20"/>
    <n v="0"/>
    <x v="0"/>
    <n v="48"/>
    <x v="0"/>
    <n v="1"/>
    <n v="257"/>
    <x v="67"/>
    <x v="1"/>
    <n v="1"/>
  </r>
  <r>
    <s v="ORD2971"/>
    <s v="07-02-2021"/>
    <s v="CUST1078"/>
    <x v="2"/>
    <x v="11"/>
    <x v="0"/>
    <s v="Arjun"/>
    <n v="745"/>
    <n v="30"/>
    <n v="30"/>
    <x v="2"/>
    <n v="28"/>
    <x v="0"/>
    <n v="1"/>
    <n v="715"/>
    <x v="658"/>
    <x v="2"/>
    <n v="2"/>
  </r>
  <r>
    <s v="ORD2972"/>
    <s v="23-01-2021"/>
    <s v="CUST1069"/>
    <x v="1"/>
    <x v="1"/>
    <x v="1"/>
    <s v="Suresh"/>
    <n v="437"/>
    <n v="40"/>
    <n v="50"/>
    <x v="2"/>
    <n v="50"/>
    <x v="0"/>
    <n v="1"/>
    <n v="387"/>
    <x v="503"/>
    <x v="1"/>
    <n v="1"/>
  </r>
  <r>
    <s v="ORD2973"/>
    <s v="01-01-2021"/>
    <s v="CUST660"/>
    <x v="3"/>
    <x v="4"/>
    <x v="2"/>
    <s v="Rahul"/>
    <n v="666"/>
    <n v="50"/>
    <n v="100"/>
    <x v="1"/>
    <n v="34"/>
    <x v="0"/>
    <n v="1"/>
    <n v="566"/>
    <x v="175"/>
    <x v="1"/>
    <n v="1"/>
  </r>
  <r>
    <s v="ORD2974"/>
    <s v="02-02-2021"/>
    <s v="CUST581"/>
    <x v="2"/>
    <x v="6"/>
    <x v="2"/>
    <s v="Suresh"/>
    <n v="518"/>
    <n v="20"/>
    <n v="50"/>
    <x v="0"/>
    <n v="47"/>
    <x v="0"/>
    <n v="1"/>
    <n v="468"/>
    <x v="651"/>
    <x v="2"/>
    <n v="2"/>
  </r>
  <r>
    <s v="ORD2975"/>
    <s v="24-01-2021"/>
    <s v="CUST978"/>
    <x v="0"/>
    <x v="0"/>
    <x v="0"/>
    <s v="Rahul"/>
    <n v="738"/>
    <n v="50"/>
    <n v="50"/>
    <x v="1"/>
    <n v="51"/>
    <x v="0"/>
    <n v="1"/>
    <n v="688"/>
    <x v="61"/>
    <x v="1"/>
    <n v="1"/>
  </r>
  <r>
    <s v="ORD2976"/>
    <s v="17-03-2021"/>
    <s v="CUST535"/>
    <x v="0"/>
    <x v="10"/>
    <x v="0"/>
    <s v="Vikas"/>
    <n v="755"/>
    <n v="50"/>
    <n v="20"/>
    <x v="0"/>
    <n v="25"/>
    <x v="1"/>
    <n v="1"/>
    <n v="735"/>
    <x v="350"/>
    <x v="0"/>
    <n v="3"/>
  </r>
  <r>
    <s v="ORD2977"/>
    <s v="13-03-2021"/>
    <s v="CUST905"/>
    <x v="4"/>
    <x v="9"/>
    <x v="4"/>
    <s v="Imran"/>
    <n v="316"/>
    <n v="50"/>
    <n v="30"/>
    <x v="0"/>
    <n v="35"/>
    <x v="0"/>
    <n v="1"/>
    <n v="286"/>
    <x v="85"/>
    <x v="0"/>
    <n v="3"/>
  </r>
  <r>
    <s v="ORD2978"/>
    <s v="05-01-2021"/>
    <s v="CUST691"/>
    <x v="4"/>
    <x v="9"/>
    <x v="4"/>
    <s v="Suresh"/>
    <n v="313"/>
    <n v="40"/>
    <n v="30"/>
    <x v="0"/>
    <n v="54"/>
    <x v="0"/>
    <n v="1"/>
    <n v="283"/>
    <x v="314"/>
    <x v="1"/>
    <n v="1"/>
  </r>
  <r>
    <s v="ORD2979"/>
    <s v="10-02-2021"/>
    <s v="CUST1198"/>
    <x v="1"/>
    <x v="2"/>
    <x v="1"/>
    <s v="Suresh"/>
    <n v="497"/>
    <n v="20"/>
    <n v="20"/>
    <x v="2"/>
    <n v="55"/>
    <x v="0"/>
    <n v="1"/>
    <n v="477"/>
    <x v="201"/>
    <x v="2"/>
    <n v="2"/>
  </r>
  <r>
    <s v="ORD2980"/>
    <s v="04-02-2021"/>
    <s v="CUST762"/>
    <x v="3"/>
    <x v="7"/>
    <x v="0"/>
    <s v="Manoj"/>
    <n v="449"/>
    <n v="50"/>
    <n v="100"/>
    <x v="0"/>
    <n v="21"/>
    <x v="0"/>
    <n v="1"/>
    <n v="349"/>
    <x v="443"/>
    <x v="2"/>
    <n v="2"/>
  </r>
  <r>
    <s v="ORD2981"/>
    <s v="08-03-2021"/>
    <s v="CUST726"/>
    <x v="3"/>
    <x v="7"/>
    <x v="0"/>
    <s v="Imran"/>
    <n v="681"/>
    <n v="40"/>
    <n v="0"/>
    <x v="2"/>
    <n v="30"/>
    <x v="0"/>
    <n v="1"/>
    <n v="681"/>
    <x v="372"/>
    <x v="0"/>
    <n v="3"/>
  </r>
  <r>
    <s v="ORD2982"/>
    <s v="23-03-2021"/>
    <s v="CUST918"/>
    <x v="3"/>
    <x v="4"/>
    <x v="2"/>
    <s v="Imran"/>
    <n v="203"/>
    <n v="40"/>
    <n v="0"/>
    <x v="1"/>
    <n v="43"/>
    <x v="1"/>
    <n v="1"/>
    <n v="203"/>
    <x v="19"/>
    <x v="0"/>
    <n v="3"/>
  </r>
  <r>
    <s v="ORD2983"/>
    <s v="26-03-2021"/>
    <s v="CUST964"/>
    <x v="3"/>
    <x v="13"/>
    <x v="1"/>
    <s v="Amit"/>
    <n v="467"/>
    <n v="50"/>
    <n v="100"/>
    <x v="1"/>
    <n v="41"/>
    <x v="0"/>
    <n v="1"/>
    <n v="367"/>
    <x v="108"/>
    <x v="0"/>
    <n v="3"/>
  </r>
  <r>
    <s v="ORD2984"/>
    <s v="28-01-2021"/>
    <s v="CUST632"/>
    <x v="0"/>
    <x v="12"/>
    <x v="3"/>
    <s v="Manoj"/>
    <n v="678"/>
    <n v="30"/>
    <n v="100"/>
    <x v="0"/>
    <n v="22"/>
    <x v="0"/>
    <n v="1"/>
    <n v="578"/>
    <x v="445"/>
    <x v="1"/>
    <n v="1"/>
  </r>
  <r>
    <s v="ORD2985"/>
    <s v="24-01-2021"/>
    <s v="CUST556"/>
    <x v="2"/>
    <x v="6"/>
    <x v="2"/>
    <s v="Manoj"/>
    <n v="524"/>
    <n v="20"/>
    <n v="50"/>
    <x v="0"/>
    <n v="48"/>
    <x v="0"/>
    <n v="1"/>
    <n v="474"/>
    <x v="523"/>
    <x v="1"/>
    <n v="1"/>
  </r>
  <r>
    <s v="ORD2986"/>
    <s v="18-02-2021"/>
    <s v="CUST799"/>
    <x v="2"/>
    <x v="3"/>
    <x v="1"/>
    <s v="Deepak"/>
    <n v="743"/>
    <n v="50"/>
    <n v="20"/>
    <x v="1"/>
    <n v="40"/>
    <x v="0"/>
    <n v="1"/>
    <n v="723"/>
    <x v="10"/>
    <x v="2"/>
    <n v="2"/>
  </r>
  <r>
    <s v="ORD2987"/>
    <s v="22-02-2021"/>
    <s v="CUST512"/>
    <x v="4"/>
    <x v="14"/>
    <x v="0"/>
    <s v="Suresh"/>
    <n v="229"/>
    <n v="50"/>
    <n v="50"/>
    <x v="0"/>
    <n v="60"/>
    <x v="0"/>
    <n v="1"/>
    <n v="179"/>
    <x v="590"/>
    <x v="2"/>
    <n v="2"/>
  </r>
  <r>
    <s v="ORD2988"/>
    <s v="15-03-2021"/>
    <s v="CUST862"/>
    <x v="1"/>
    <x v="8"/>
    <x v="2"/>
    <s v="Karan"/>
    <n v="266"/>
    <n v="40"/>
    <n v="20"/>
    <x v="2"/>
    <n v="24"/>
    <x v="0"/>
    <n v="1"/>
    <n v="246"/>
    <x v="665"/>
    <x v="0"/>
    <n v="3"/>
  </r>
  <r>
    <s v="ORD2989"/>
    <s v="31-01-2021"/>
    <s v="CUST718"/>
    <x v="3"/>
    <x v="4"/>
    <x v="2"/>
    <s v="Karan"/>
    <n v="347"/>
    <n v="50"/>
    <n v="0"/>
    <x v="0"/>
    <n v="55"/>
    <x v="0"/>
    <n v="1"/>
    <n v="347"/>
    <x v="233"/>
    <x v="1"/>
    <n v="1"/>
  </r>
  <r>
    <s v="ORD2990"/>
    <s v="24-02-2021"/>
    <s v="CUST683"/>
    <x v="2"/>
    <x v="3"/>
    <x v="1"/>
    <s v="Manoj"/>
    <n v="219"/>
    <n v="30"/>
    <n v="100"/>
    <x v="1"/>
    <n v="60"/>
    <x v="0"/>
    <n v="1"/>
    <n v="119"/>
    <x v="70"/>
    <x v="2"/>
    <n v="2"/>
  </r>
  <r>
    <s v="ORD2991"/>
    <s v="16-02-2021"/>
    <s v="CUST1081"/>
    <x v="1"/>
    <x v="2"/>
    <x v="1"/>
    <s v="Arjun"/>
    <n v="353"/>
    <n v="40"/>
    <n v="30"/>
    <x v="2"/>
    <n v="38"/>
    <x v="0"/>
    <n v="1"/>
    <n v="323"/>
    <x v="393"/>
    <x v="2"/>
    <n v="2"/>
  </r>
  <r>
    <s v="ORD2992"/>
    <s v="11-03-2021"/>
    <s v="CUST960"/>
    <x v="0"/>
    <x v="0"/>
    <x v="0"/>
    <s v="Karan"/>
    <n v="800"/>
    <n v="50"/>
    <n v="20"/>
    <x v="2"/>
    <n v="44"/>
    <x v="0"/>
    <n v="1"/>
    <n v="780"/>
    <x v="666"/>
    <x v="0"/>
    <n v="3"/>
  </r>
  <r>
    <s v="ORD2993"/>
    <s v="02-03-2021"/>
    <s v="CUST793"/>
    <x v="1"/>
    <x v="1"/>
    <x v="1"/>
    <s v="Vikas"/>
    <n v="585"/>
    <n v="30"/>
    <n v="30"/>
    <x v="0"/>
    <n v="29"/>
    <x v="1"/>
    <n v="1"/>
    <n v="555"/>
    <x v="499"/>
    <x v="0"/>
    <n v="3"/>
  </r>
  <r>
    <s v="ORD2994"/>
    <s v="22-03-2021"/>
    <s v="CUST1107"/>
    <x v="0"/>
    <x v="12"/>
    <x v="3"/>
    <s v="Amit"/>
    <n v="796"/>
    <n v="20"/>
    <n v="20"/>
    <x v="1"/>
    <n v="60"/>
    <x v="1"/>
    <n v="1"/>
    <n v="776"/>
    <x v="388"/>
    <x v="0"/>
    <n v="3"/>
  </r>
  <r>
    <s v="ORD2995"/>
    <s v="06-03-2021"/>
    <s v="CUST1029"/>
    <x v="1"/>
    <x v="8"/>
    <x v="2"/>
    <s v="Rahul"/>
    <n v="567"/>
    <n v="40"/>
    <n v="30"/>
    <x v="1"/>
    <n v="44"/>
    <x v="0"/>
    <n v="1"/>
    <n v="537"/>
    <x v="131"/>
    <x v="0"/>
    <n v="3"/>
  </r>
  <r>
    <s v="ORD2996"/>
    <s v="05-03-2021"/>
    <s v="CUST557"/>
    <x v="0"/>
    <x v="10"/>
    <x v="0"/>
    <s v="Deepak"/>
    <n v="780"/>
    <n v="30"/>
    <n v="0"/>
    <x v="2"/>
    <n v="20"/>
    <x v="0"/>
    <n v="1"/>
    <n v="780"/>
    <x v="297"/>
    <x v="0"/>
    <n v="3"/>
  </r>
  <r>
    <s v="ORD2997"/>
    <s v="07-03-2021"/>
    <s v="CUST725"/>
    <x v="3"/>
    <x v="4"/>
    <x v="2"/>
    <s v="Manoj"/>
    <n v="773"/>
    <n v="20"/>
    <n v="100"/>
    <x v="1"/>
    <n v="27"/>
    <x v="0"/>
    <n v="1"/>
    <n v="673"/>
    <x v="219"/>
    <x v="0"/>
    <n v="3"/>
  </r>
  <r>
    <s v="ORD2998"/>
    <s v="08-01-2021"/>
    <s v="CUST776"/>
    <x v="2"/>
    <x v="6"/>
    <x v="2"/>
    <s v="Imran"/>
    <n v="672"/>
    <n v="20"/>
    <n v="0"/>
    <x v="1"/>
    <n v="23"/>
    <x v="0"/>
    <n v="1"/>
    <n v="672"/>
    <x v="667"/>
    <x v="1"/>
    <n v="1"/>
  </r>
  <r>
    <s v="ORD2999"/>
    <s v="20-03-2021"/>
    <s v="CUST1197"/>
    <x v="3"/>
    <x v="13"/>
    <x v="1"/>
    <s v="Karan"/>
    <n v="751"/>
    <n v="20"/>
    <n v="100"/>
    <x v="0"/>
    <n v="53"/>
    <x v="0"/>
    <n v="1"/>
    <n v="651"/>
    <x v="349"/>
    <x v="0"/>
    <n v="3"/>
  </r>
  <r>
    <s v="ORD3000"/>
    <s v="03-01-2021"/>
    <s v="CUST787"/>
    <x v="2"/>
    <x v="11"/>
    <x v="0"/>
    <s v="Imran"/>
    <n v="291"/>
    <n v="30"/>
    <n v="100"/>
    <x v="2"/>
    <n v="58"/>
    <x v="0"/>
    <n v="1"/>
    <n v="191"/>
    <x v="668"/>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643FB-E20E-46F5-A112-7C5370E82A93}" name="restaur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3:D29" firstHeaderRow="1" firstDataRow="1" firstDataCol="1" rowPageCount="1" colPageCount="1"/>
  <pivotFields count="18">
    <pivotField showAll="0"/>
    <pivotField showAll="0"/>
    <pivotField showAll="0"/>
    <pivotField showAll="0">
      <items count="6">
        <item x="2"/>
        <item x="3"/>
        <item x="1"/>
        <item x="4"/>
        <item x="0"/>
        <item t="default"/>
      </items>
    </pivotField>
    <pivotField axis="axisRow" showAll="0" measureFilter="1" sortType="ascending">
      <items count="16">
        <item x="13"/>
        <item x="0"/>
        <item x="7"/>
        <item x="8"/>
        <item x="5"/>
        <item x="6"/>
        <item x="10"/>
        <item x="4"/>
        <item x="14"/>
        <item x="3"/>
        <item x="1"/>
        <item x="9"/>
        <item x="2"/>
        <item x="11"/>
        <item x="12"/>
        <item t="default"/>
      </items>
      <autoSortScope>
        <pivotArea dataOnly="0" outline="0" fieldPosition="0">
          <references count="1">
            <reference field="4294967294" count="1" selected="0">
              <x v="0"/>
            </reference>
          </references>
        </pivotArea>
      </autoSortScope>
    </pivotField>
    <pivotField showAll="0">
      <items count="6">
        <item x="1"/>
        <item x="0"/>
        <item x="2"/>
        <item x="4"/>
        <item x="3"/>
        <item t="default"/>
      </items>
    </pivotField>
    <pivotField showAll="0"/>
    <pivotField showAll="0"/>
    <pivotField showAll="0"/>
    <pivotField showAll="0"/>
    <pivotField showAll="0">
      <items count="4">
        <item x="0"/>
        <item x="1"/>
        <item x="2"/>
        <item t="default"/>
      </items>
    </pivotField>
    <pivotField showAll="0"/>
    <pivotField axis="axisPage" showAll="0">
      <items count="3">
        <item x="1"/>
        <item x="0"/>
        <item t="default"/>
      </items>
    </pivotField>
    <pivotField showAll="0"/>
    <pivotField showAll="0"/>
    <pivotField dataField="1" showAll="0"/>
    <pivotField showAll="0"/>
    <pivotField showAll="0"/>
  </pivotFields>
  <rowFields count="1">
    <field x="4"/>
  </rowFields>
  <rowItems count="6">
    <i>
      <x v="12"/>
    </i>
    <i>
      <x v="1"/>
    </i>
    <i>
      <x v="7"/>
    </i>
    <i>
      <x v="3"/>
    </i>
    <i>
      <x v="6"/>
    </i>
    <i t="grand">
      <x/>
    </i>
  </rowItems>
  <colItems count="1">
    <i/>
  </colItems>
  <pageFields count="1">
    <pageField fld="12" hier="-1"/>
  </pageFields>
  <dataFields count="1">
    <dataField name="Sum of total/platformreven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C489C-467B-437D-848F-47A4770E6484}"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5:D19" firstHeaderRow="1" firstDataRow="1" firstDataCol="1" rowPageCount="1" colPageCount="1"/>
  <pivotFields count="18">
    <pivotField showAll="0"/>
    <pivotField showAll="0"/>
    <pivotField showAll="0"/>
    <pivotField showAll="0">
      <items count="6">
        <item x="2"/>
        <item x="3"/>
        <item x="1"/>
        <item x="4"/>
        <item x="0"/>
        <item t="default"/>
      </items>
    </pivotField>
    <pivotField showAll="0"/>
    <pivotField showAll="0">
      <items count="6">
        <item x="1"/>
        <item x="0"/>
        <item x="2"/>
        <item x="4"/>
        <item x="3"/>
        <item t="default"/>
      </items>
    </pivotField>
    <pivotField showAll="0"/>
    <pivotField showAll="0"/>
    <pivotField showAll="0"/>
    <pivotField showAll="0"/>
    <pivotField showAll="0">
      <items count="4">
        <item x="0"/>
        <item x="1"/>
        <item x="2"/>
        <item t="default"/>
      </items>
    </pivotField>
    <pivotField showAll="0"/>
    <pivotField axis="axisPage" showAll="0">
      <items count="3">
        <item x="1"/>
        <item x="0"/>
        <item t="default"/>
      </items>
    </pivotField>
    <pivotField showAll="0"/>
    <pivotField showAll="0"/>
    <pivotField dataField="1" showAll="0"/>
    <pivotField axis="axisRow" showAll="0">
      <items count="4">
        <item x="1"/>
        <item x="2"/>
        <item x="0"/>
        <item t="default"/>
      </items>
    </pivotField>
    <pivotField showAll="0"/>
  </pivotFields>
  <rowFields count="1">
    <field x="16"/>
  </rowFields>
  <rowItems count="4">
    <i>
      <x/>
    </i>
    <i>
      <x v="1"/>
    </i>
    <i>
      <x v="2"/>
    </i>
    <i t="grand">
      <x/>
    </i>
  </rowItems>
  <colItems count="1">
    <i/>
  </colItems>
  <pageFields count="1">
    <pageField fld="12" hier="-1"/>
  </pageFields>
  <dataFields count="1">
    <dataField name="Sum of total/platformrevenu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0BA8F1-BA8F-461F-86AD-5BE516433E3E}"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D10" firstHeaderRow="1" firstDataRow="1" firstDataCol="1" rowPageCount="1" colPageCount="1"/>
  <pivotFields count="18">
    <pivotField showAll="0"/>
    <pivotField showAll="0"/>
    <pivotField showAll="0"/>
    <pivotField axis="axisRow" showAll="0">
      <items count="6">
        <item x="2"/>
        <item x="3"/>
        <item x="1"/>
        <item x="4"/>
        <item x="0"/>
        <item t="default"/>
      </items>
    </pivotField>
    <pivotField showAll="0"/>
    <pivotField showAll="0">
      <items count="6">
        <item x="1"/>
        <item x="0"/>
        <item x="2"/>
        <item x="4"/>
        <item x="3"/>
        <item t="default"/>
      </items>
    </pivotField>
    <pivotField showAll="0"/>
    <pivotField showAll="0"/>
    <pivotField showAll="0"/>
    <pivotField showAll="0"/>
    <pivotField showAll="0">
      <items count="4">
        <item x="0"/>
        <item x="1"/>
        <item x="2"/>
        <item t="default"/>
      </items>
    </pivotField>
    <pivotField showAll="0"/>
    <pivotField axis="axisPage" showAll="0">
      <items count="3">
        <item x="1"/>
        <item x="0"/>
        <item t="default"/>
      </items>
    </pivotField>
    <pivotField showAll="0"/>
    <pivotField showAll="0"/>
    <pivotField dataField="1" showAll="0">
      <items count="670">
        <item x="533"/>
        <item x="371"/>
        <item x="287"/>
        <item x="615"/>
        <item x="655"/>
        <item x="647"/>
        <item x="649"/>
        <item x="462"/>
        <item x="415"/>
        <item x="563"/>
        <item x="637"/>
        <item x="465"/>
        <item x="572"/>
        <item x="623"/>
        <item x="172"/>
        <item x="594"/>
        <item x="581"/>
        <item x="660"/>
        <item x="635"/>
        <item x="164"/>
        <item x="478"/>
        <item x="358"/>
        <item x="439"/>
        <item x="109"/>
        <item x="135"/>
        <item x="628"/>
        <item x="129"/>
        <item x="397"/>
        <item x="575"/>
        <item x="197"/>
        <item x="70"/>
        <item x="27"/>
        <item x="512"/>
        <item x="482"/>
        <item x="610"/>
        <item x="143"/>
        <item x="557"/>
        <item x="632"/>
        <item x="536"/>
        <item x="324"/>
        <item x="339"/>
        <item x="531"/>
        <item x="488"/>
        <item x="589"/>
        <item x="643"/>
        <item x="215"/>
        <item x="179"/>
        <item x="310"/>
        <item x="176"/>
        <item x="595"/>
        <item x="4"/>
        <item x="291"/>
        <item x="416"/>
        <item x="235"/>
        <item x="487"/>
        <item x="463"/>
        <item x="545"/>
        <item x="553"/>
        <item x="633"/>
        <item x="259"/>
        <item x="170"/>
        <item x="276"/>
        <item x="24"/>
        <item x="187"/>
        <item x="97"/>
        <item x="112"/>
        <item x="173"/>
        <item x="484"/>
        <item x="447"/>
        <item x="270"/>
        <item x="21"/>
        <item x="452"/>
        <item x="346"/>
        <item x="290"/>
        <item x="476"/>
        <item x="518"/>
        <item x="495"/>
        <item x="444"/>
        <item x="330"/>
        <item x="103"/>
        <item x="331"/>
        <item x="264"/>
        <item x="506"/>
        <item x="161"/>
        <item x="113"/>
        <item x="546"/>
        <item x="513"/>
        <item x="573"/>
        <item x="409"/>
        <item x="580"/>
        <item x="66"/>
        <item x="205"/>
        <item x="404"/>
        <item x="75"/>
        <item x="567"/>
        <item x="430"/>
        <item x="668"/>
        <item x="340"/>
        <item x="403"/>
        <item x="601"/>
        <item x="237"/>
        <item x="516"/>
        <item x="141"/>
        <item x="184"/>
        <item x="590"/>
        <item x="253"/>
        <item x="320"/>
        <item x="489"/>
        <item x="63"/>
        <item x="600"/>
        <item x="519"/>
        <item x="214"/>
        <item x="222"/>
        <item x="13"/>
        <item x="522"/>
        <item x="378"/>
        <item x="220"/>
        <item x="105"/>
        <item x="19"/>
        <item x="543"/>
        <item x="360"/>
        <item x="198"/>
        <item x="216"/>
        <item x="147"/>
        <item x="117"/>
        <item x="256"/>
        <item x="440"/>
        <item x="83"/>
        <item x="123"/>
        <item x="319"/>
        <item x="548"/>
        <item x="38"/>
        <item x="508"/>
        <item x="74"/>
        <item x="425"/>
        <item x="148"/>
        <item x="620"/>
        <item x="524"/>
        <item x="57"/>
        <item x="275"/>
        <item x="110"/>
        <item x="318"/>
        <item x="592"/>
        <item x="584"/>
        <item x="249"/>
        <item x="33"/>
        <item x="82"/>
        <item x="555"/>
        <item x="364"/>
        <item x="22"/>
        <item x="155"/>
        <item x="67"/>
        <item x="347"/>
        <item x="396"/>
        <item x="203"/>
        <item x="14"/>
        <item x="121"/>
        <item x="182"/>
        <item x="490"/>
        <item x="571"/>
        <item x="665"/>
        <item x="58"/>
        <item x="369"/>
        <item x="505"/>
        <item x="598"/>
        <item x="591"/>
        <item x="140"/>
        <item x="207"/>
        <item x="456"/>
        <item x="515"/>
        <item x="423"/>
        <item x="315"/>
        <item x="485"/>
        <item x="106"/>
        <item x="133"/>
        <item x="529"/>
        <item x="648"/>
        <item x="630"/>
        <item x="446"/>
        <item x="345"/>
        <item x="509"/>
        <item x="323"/>
        <item x="382"/>
        <item x="641"/>
        <item x="28"/>
        <item x="195"/>
        <item x="552"/>
        <item x="528"/>
        <item x="342"/>
        <item x="98"/>
        <item x="258"/>
        <item x="329"/>
        <item x="217"/>
        <item x="353"/>
        <item x="240"/>
        <item x="314"/>
        <item x="26"/>
        <item x="226"/>
        <item x="634"/>
        <item x="209"/>
        <item x="365"/>
        <item x="640"/>
        <item x="273"/>
        <item x="298"/>
        <item x="603"/>
        <item x="560"/>
        <item x="262"/>
        <item x="85"/>
        <item x="199"/>
        <item x="361"/>
        <item x="420"/>
        <item x="467"/>
        <item x="448"/>
        <item x="246"/>
        <item x="210"/>
        <item x="642"/>
        <item x="48"/>
        <item x="327"/>
        <item x="236"/>
        <item x="338"/>
        <item x="564"/>
        <item x="156"/>
        <item x="498"/>
        <item x="241"/>
        <item x="59"/>
        <item x="432"/>
        <item x="224"/>
        <item x="149"/>
        <item x="551"/>
        <item x="162"/>
        <item x="520"/>
        <item x="483"/>
        <item x="20"/>
        <item x="393"/>
        <item x="95"/>
        <item x="469"/>
        <item x="639"/>
        <item x="395"/>
        <item x="163"/>
        <item x="65"/>
        <item x="539"/>
        <item x="72"/>
        <item x="181"/>
        <item x="471"/>
        <item x="383"/>
        <item x="134"/>
        <item x="351"/>
        <item x="1"/>
        <item x="136"/>
        <item x="281"/>
        <item x="411"/>
        <item x="204"/>
        <item x="302"/>
        <item x="451"/>
        <item x="441"/>
        <item x="597"/>
        <item x="221"/>
        <item x="180"/>
        <item x="407"/>
        <item x="493"/>
        <item x="242"/>
        <item x="296"/>
        <item x="312"/>
        <item x="352"/>
        <item x="56"/>
        <item x="233"/>
        <item x="232"/>
        <item x="443"/>
        <item x="114"/>
        <item x="629"/>
        <item x="514"/>
        <item x="213"/>
        <item x="612"/>
        <item x="261"/>
        <item x="502"/>
        <item x="618"/>
        <item x="36"/>
        <item x="525"/>
        <item x="87"/>
        <item x="390"/>
        <item x="377"/>
        <item x="286"/>
        <item x="125"/>
        <item x="169"/>
        <item x="132"/>
        <item x="108"/>
        <item x="507"/>
        <item x="91"/>
        <item x="428"/>
        <item x="392"/>
        <item x="294"/>
        <item x="586"/>
        <item x="94"/>
        <item x="442"/>
        <item x="55"/>
        <item x="503"/>
        <item x="547"/>
        <item x="457"/>
        <item x="100"/>
        <item x="127"/>
        <item x="50"/>
        <item x="475"/>
        <item x="410"/>
        <item x="593"/>
        <item x="101"/>
        <item x="449"/>
        <item x="190"/>
        <item x="424"/>
        <item x="481"/>
        <item x="473"/>
        <item x="150"/>
        <item x="461"/>
        <item x="587"/>
        <item x="622"/>
        <item x="429"/>
        <item x="6"/>
        <item x="96"/>
        <item x="455"/>
        <item x="285"/>
        <item x="251"/>
        <item x="304"/>
        <item x="68"/>
        <item x="189"/>
        <item x="102"/>
        <item x="619"/>
        <item x="12"/>
        <item x="45"/>
        <item x="159"/>
        <item x="596"/>
        <item x="374"/>
        <item x="130"/>
        <item x="206"/>
        <item x="657"/>
        <item x="25"/>
        <item x="116"/>
        <item x="517"/>
        <item x="62"/>
        <item x="326"/>
        <item x="325"/>
        <item x="122"/>
        <item x="663"/>
        <item x="230"/>
        <item x="472"/>
        <item x="413"/>
        <item x="99"/>
        <item x="292"/>
        <item x="153"/>
        <item x="5"/>
        <item x="335"/>
        <item x="247"/>
        <item x="599"/>
        <item x="107"/>
        <item x="218"/>
        <item x="31"/>
        <item x="651"/>
        <item x="334"/>
        <item x="243"/>
        <item x="466"/>
        <item x="158"/>
        <item x="18"/>
        <item x="523"/>
        <item x="433"/>
        <item x="30"/>
        <item x="201"/>
        <item x="283"/>
        <item x="328"/>
        <item x="308"/>
        <item x="616"/>
        <item x="561"/>
        <item x="474"/>
        <item x="17"/>
        <item x="656"/>
        <item x="64"/>
        <item x="146"/>
        <item x="494"/>
        <item x="120"/>
        <item x="0"/>
        <item x="2"/>
        <item x="268"/>
        <item x="436"/>
        <item x="144"/>
        <item x="549"/>
        <item x="322"/>
        <item x="225"/>
        <item x="93"/>
        <item x="202"/>
        <item x="166"/>
        <item x="313"/>
        <item x="208"/>
        <item x="301"/>
        <item x="307"/>
        <item x="37"/>
        <item x="480"/>
        <item x="375"/>
        <item x="526"/>
        <item x="212"/>
        <item x="3"/>
        <item x="363"/>
        <item x="644"/>
        <item x="385"/>
        <item x="617"/>
        <item x="84"/>
        <item x="80"/>
        <item x="453"/>
        <item x="562"/>
        <item x="177"/>
        <item x="272"/>
        <item x="284"/>
        <item x="625"/>
        <item x="69"/>
        <item x="185"/>
        <item x="606"/>
        <item x="373"/>
        <item x="613"/>
        <item x="661"/>
        <item x="193"/>
        <item x="417"/>
        <item x="344"/>
        <item x="7"/>
        <item x="311"/>
        <item x="227"/>
        <item x="492"/>
        <item x="538"/>
        <item x="501"/>
        <item x="255"/>
        <item x="79"/>
        <item x="419"/>
        <item x="333"/>
        <item x="479"/>
        <item x="408"/>
        <item x="244"/>
        <item x="128"/>
        <item x="111"/>
        <item x="279"/>
        <item x="368"/>
        <item x="530"/>
        <item x="131"/>
        <item x="438"/>
        <item x="355"/>
        <item x="194"/>
        <item x="39"/>
        <item x="626"/>
        <item x="654"/>
        <item x="299"/>
        <item x="499"/>
        <item x="54"/>
        <item x="645"/>
        <item x="9"/>
        <item x="582"/>
        <item x="354"/>
        <item x="151"/>
        <item x="300"/>
        <item x="348"/>
        <item x="174"/>
        <item x="260"/>
        <item x="460"/>
        <item x="468"/>
        <item x="496"/>
        <item x="77"/>
        <item x="585"/>
        <item x="88"/>
        <item x="200"/>
        <item x="398"/>
        <item x="90"/>
        <item x="608"/>
        <item x="389"/>
        <item x="445"/>
        <item x="81"/>
        <item x="394"/>
        <item x="627"/>
        <item x="464"/>
        <item x="265"/>
        <item x="23"/>
        <item x="362"/>
        <item x="175"/>
        <item x="387"/>
        <item x="289"/>
        <item x="414"/>
        <item x="577"/>
        <item x="137"/>
        <item x="239"/>
        <item x="576"/>
        <item x="76"/>
        <item x="336"/>
        <item x="359"/>
        <item x="500"/>
        <item x="154"/>
        <item x="343"/>
        <item x="138"/>
        <item x="152"/>
        <item x="332"/>
        <item x="574"/>
        <item x="278"/>
        <item x="400"/>
        <item x="124"/>
        <item x="15"/>
        <item x="171"/>
        <item x="263"/>
        <item x="399"/>
        <item x="196"/>
        <item x="412"/>
        <item x="271"/>
        <item x="532"/>
        <item x="568"/>
        <item x="53"/>
        <item x="11"/>
        <item x="167"/>
        <item x="569"/>
        <item x="280"/>
        <item x="234"/>
        <item x="497"/>
        <item x="636"/>
        <item x="652"/>
        <item x="367"/>
        <item x="650"/>
        <item x="231"/>
        <item x="356"/>
        <item x="252"/>
        <item x="40"/>
        <item x="458"/>
        <item x="434"/>
        <item x="60"/>
        <item x="46"/>
        <item x="119"/>
        <item x="624"/>
        <item x="470"/>
        <item x="257"/>
        <item x="535"/>
        <item x="349"/>
        <item x="662"/>
        <item x="305"/>
        <item x="309"/>
        <item x="366"/>
        <item x="157"/>
        <item x="89"/>
        <item x="602"/>
        <item x="376"/>
        <item x="421"/>
        <item x="269"/>
        <item x="537"/>
        <item x="47"/>
        <item x="384"/>
        <item x="570"/>
        <item x="341"/>
        <item x="277"/>
        <item x="191"/>
        <item x="578"/>
        <item x="418"/>
        <item x="667"/>
        <item x="219"/>
        <item x="321"/>
        <item x="386"/>
        <item x="550"/>
        <item x="78"/>
        <item x="653"/>
        <item x="245"/>
        <item x="42"/>
        <item x="32"/>
        <item x="317"/>
        <item x="431"/>
        <item x="142"/>
        <item x="534"/>
        <item x="357"/>
        <item x="29"/>
        <item x="229"/>
        <item x="316"/>
        <item x="435"/>
        <item x="211"/>
        <item x="49"/>
        <item x="267"/>
        <item x="145"/>
        <item x="186"/>
        <item x="118"/>
        <item x="337"/>
        <item x="379"/>
        <item x="372"/>
        <item x="115"/>
        <item x="183"/>
        <item x="228"/>
        <item x="248"/>
        <item x="223"/>
        <item x="73"/>
        <item x="614"/>
        <item x="607"/>
        <item x="542"/>
        <item x="565"/>
        <item x="178"/>
        <item x="426"/>
        <item x="583"/>
        <item x="405"/>
        <item x="61"/>
        <item x="92"/>
        <item x="34"/>
        <item x="611"/>
        <item x="380"/>
        <item x="293"/>
        <item x="188"/>
        <item x="658"/>
        <item x="35"/>
        <item x="511"/>
        <item x="274"/>
        <item x="192"/>
        <item x="621"/>
        <item x="295"/>
        <item x="605"/>
        <item x="168"/>
        <item x="450"/>
        <item x="491"/>
        <item x="160"/>
        <item x="43"/>
        <item x="422"/>
        <item x="41"/>
        <item x="86"/>
        <item x="254"/>
        <item x="165"/>
        <item x="401"/>
        <item x="266"/>
        <item x="486"/>
        <item x="638"/>
        <item x="579"/>
        <item x="126"/>
        <item x="604"/>
        <item x="541"/>
        <item x="391"/>
        <item x="10"/>
        <item x="139"/>
        <item x="459"/>
        <item x="559"/>
        <item x="406"/>
        <item x="288"/>
        <item x="504"/>
        <item x="540"/>
        <item x="664"/>
        <item x="350"/>
        <item x="250"/>
        <item x="8"/>
        <item x="370"/>
        <item x="16"/>
        <item x="104"/>
        <item x="238"/>
        <item x="402"/>
        <item x="477"/>
        <item x="44"/>
        <item x="306"/>
        <item x="388"/>
        <item x="558"/>
        <item x="521"/>
        <item x="609"/>
        <item x="437"/>
        <item x="556"/>
        <item x="52"/>
        <item x="71"/>
        <item x="659"/>
        <item x="297"/>
        <item x="646"/>
        <item x="544"/>
        <item x="566"/>
        <item x="51"/>
        <item x="588"/>
        <item x="427"/>
        <item x="631"/>
        <item x="381"/>
        <item x="454"/>
        <item x="303"/>
        <item x="666"/>
        <item x="554"/>
        <item x="527"/>
        <item x="282"/>
        <item x="510"/>
        <item t="default"/>
      </items>
    </pivotField>
    <pivotField showAll="0"/>
    <pivotField showAll="0"/>
  </pivotFields>
  <rowFields count="1">
    <field x="3"/>
  </rowFields>
  <rowItems count="6">
    <i>
      <x/>
    </i>
    <i>
      <x v="1"/>
    </i>
    <i>
      <x v="2"/>
    </i>
    <i>
      <x v="3"/>
    </i>
    <i>
      <x v="4"/>
    </i>
    <i t="grand">
      <x/>
    </i>
  </rowItems>
  <colItems count="1">
    <i/>
  </colItems>
  <pageFields count="1">
    <pageField fld="12" item="1" hier="-1"/>
  </pageFields>
  <dataFields count="1">
    <dataField name="Sum of total/platformrevenue" fld="15"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CEF6766-7D24-422B-B81A-46B6BBF9B404}" sourceName="City">
  <pivotTables>
    <pivotTable tabId="3" name="city"/>
    <pivotTable tabId="3" name="month"/>
    <pivotTable tabId="3" name="restaurant"/>
  </pivotTables>
  <data>
    <tabular pivotCacheId="2044903446">
      <items count="5">
        <i x="2" s="1"/>
        <i x="3"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E19F3A39-0D1D-4EAC-B93B-2BD98B63BEBD}" sourceName="Cuisine_Type">
  <pivotTables>
    <pivotTable tabId="3" name="city"/>
    <pivotTable tabId="3" name="month"/>
    <pivotTable tabId="3" name="restaurant"/>
  </pivotTables>
  <data>
    <tabular pivotCacheId="2044903446">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6BF3DAF-E202-42D3-B972-62AA03A85ABD}" sourceName="Payment_Method">
  <pivotTables>
    <pivotTable tabId="3" name="city"/>
    <pivotTable tabId="3" name="restaurant"/>
    <pivotTable tabId="3" name="month"/>
  </pivotTables>
  <data>
    <tabular pivotCacheId="20449034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30C0635-9155-48D0-80EA-F3B59EBA7D38}" cache="Slicer_City" caption="City" rowHeight="241300"/>
  <slicer name="Cuisine_Type" xr10:uid="{C73F8FC0-0C31-4585-8A9F-CBF5D90E9570}" cache="Slicer_Cuisine_Type" caption="Cuisine_Type" rowHeight="241300"/>
  <slicer name="Payment_Method" xr10:uid="{898CCA38-7466-4624-93E9-01FABD3C1742}"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8AC7803-8112-4C4D-A59E-D6CC4C540D8C}" cache="Slicer_City" caption="City" columnCount="5" rowHeight="241300"/>
  <slicer name="Cuisine_Type 1" xr10:uid="{EA87B334-8D4C-4B9B-90FC-D67B342CA45B}" cache="Slicer_Cuisine_Type" caption="Cuisine_Type" columnCount="5" rowHeight="241300"/>
  <slicer name="Payment_Method 1" xr10:uid="{73DF8AFE-ECAB-4040-89FB-1698BDD95157}" cache="Slicer_Payment_Method" caption="Payment_Metho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112E73-A2AB-4FB1-B82B-D7ED39958BEB}" name="Table1" displayName="Table1" ref="A3:M2003" totalsRowShown="0" headerRowDxfId="9">
  <autoFilter ref="A3:M2003" xr:uid="{3E112E73-A2AB-4FB1-B82B-D7ED39958BEB}"/>
  <tableColumns count="13">
    <tableColumn id="1" xr3:uid="{4CFC4E49-BD4A-4CA9-8F2D-AC35B3E0A2DB}" name="Order_ID"/>
    <tableColumn id="2" xr3:uid="{D0165591-2C3F-4693-B568-6DBBDBC19295}" name="Order_Date"/>
    <tableColumn id="3" xr3:uid="{C679A1E1-88FB-43C6-8BA1-A9005EF1160C}" name="Customer_ID"/>
    <tableColumn id="4" xr3:uid="{137B1960-6C29-40C7-8765-C4B9FB163C6F}" name="City"/>
    <tableColumn id="5" xr3:uid="{482C96E1-EE8C-4C09-B1A9-86B8A7F90CF6}" name="Restaurant"/>
    <tableColumn id="6" xr3:uid="{8E915DC7-F58E-457E-BAE6-381B1FA82220}" name="Cuisine_Type"/>
    <tableColumn id="7" xr3:uid="{656111F9-D75D-4026-8216-82C2E81AA9B6}" name="Delivery_Partner"/>
    <tableColumn id="8" xr3:uid="{C12BA357-C077-4CD3-8BD4-15173FF1DA60}" name="Order_Value"/>
    <tableColumn id="9" xr3:uid="{F963166D-0E3E-4205-AC1A-BF70C5CBA90E}" name="Delivery_Fee"/>
    <tableColumn id="10" xr3:uid="{31F8ACD1-9ECF-423F-8F35-D9B85217EF51}" name="Discount"/>
    <tableColumn id="11" xr3:uid="{7B1C5C7A-53D9-4DBB-ABE3-F114B690274C}" name="Payment_Method"/>
    <tableColumn id="12" xr3:uid="{01F679F9-C8A0-433D-AD8D-D708AAE24F08}" name="Delivery_Time_Min"/>
    <tableColumn id="13" xr3:uid="{F9ABCC31-29AA-4B41-B4D5-67BAF5FDC64E}" name="Order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8105A-6128-4686-82F1-617371686EB2}" name="order_data" displayName="order_data" ref="A3:R2003" totalsRowShown="0" headerRowDxfId="5">
  <autoFilter ref="A3:R2003" xr:uid="{27D8105A-6128-4686-82F1-617371686E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826A1BB-B200-48A2-B52A-DFFCEBF2CA29}" name="Order_ID"/>
    <tableColumn id="2" xr3:uid="{CB2F5EEE-5974-4ADB-A0EC-3DB5819E376A}" name="Order_Date"/>
    <tableColumn id="3" xr3:uid="{7B7A5631-B94C-43CC-B213-D81480F9AE9D}" name="Customer_ID"/>
    <tableColumn id="4" xr3:uid="{8A35D075-4E23-44E8-946E-5E709330A3FF}" name="City"/>
    <tableColumn id="5" xr3:uid="{CE5CBF2A-8C11-4D46-95FC-F792EDE936C4}" name="Restaurant"/>
    <tableColumn id="6" xr3:uid="{1141107D-844B-420B-ABFF-5CB6E0B7631C}" name="Cuisine_Type"/>
    <tableColumn id="7" xr3:uid="{447E7D06-2724-4DD8-AEBC-733CB86B7A5A}" name="Delivery_Partner"/>
    <tableColumn id="8" xr3:uid="{3E99C51B-7034-478B-B8FE-E99AEEF9B20C}" name="Order_Value"/>
    <tableColumn id="9" xr3:uid="{9C01C911-5BCE-4CBD-9BDA-760A35DBA7D0}" name="Delivery_Fee"/>
    <tableColumn id="10" xr3:uid="{FA01B5E2-547B-4722-B840-44372555FEB8}" name="Discount"/>
    <tableColumn id="11" xr3:uid="{E0E68387-379E-4809-82E3-CC86FC50BB47}" name="Payment_Method"/>
    <tableColumn id="12" xr3:uid="{F934FF77-BD28-4038-A0A6-931900BE8ABF}" name="Delivery_Time_Min"/>
    <tableColumn id="13" xr3:uid="{8DA2F03F-92C7-4986-9B1A-9C301137EECC}" name="Order_Status"/>
    <tableColumn id="14" xr3:uid="{6D5F76B1-7990-4125-8034-A387289B5852}" name="countif_for_duplicate" dataDxfId="4">
      <calculatedColumnFormula>COUNTIF(order_data[Order_ID],order_data[[#This Row],[Order_ID]])</calculatedColumnFormula>
    </tableColumn>
    <tableColumn id="15" xr3:uid="{BCD20382-3EFC-424A-8D8C-365EBEBCBF2B}" name="food_revenue" dataDxfId="3">
      <calculatedColumnFormula>order_data[[#This Row],[Order_Value]]-order_data[[#This Row],[Discount]]</calculatedColumnFormula>
    </tableColumn>
    <tableColumn id="18" xr3:uid="{CD4BCACA-E7ED-485C-8269-269BB02CD024}" name="total/platformrevenue" dataDxfId="2">
      <calculatedColumnFormula>order_data[[#This Row],[Order_Value]]+order_data[[#This Row],[Delivery_Fee]]-order_data[[#This Row],[Discount]]</calculatedColumnFormula>
    </tableColumn>
    <tableColumn id="16" xr3:uid="{1D3186D6-4365-49B6-BB03-09FC0069EBF2}" name="order_month" dataDxfId="1">
      <calculatedColumnFormula>TEXT(order_data[[#This Row],[Order_Date]],"mmm")</calculatedColumnFormula>
    </tableColumn>
    <tableColumn id="17" xr3:uid="{E16A8455-F20D-4444-9D36-F9CAF06076C1}" name="ordermonth" dataDxfId="0">
      <calculatedColumnFormula>MONTH(order_data[[#This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3"/>
  <sheetViews>
    <sheetView topLeftCell="C4" workbookViewId="0">
      <selection activeCell="F14" sqref="F14"/>
    </sheetView>
  </sheetViews>
  <sheetFormatPr defaultRowHeight="14.5" x14ac:dyDescent="0.35"/>
  <cols>
    <col min="1" max="1" width="10.54296875" customWidth="1"/>
    <col min="2" max="2" width="12.7265625" customWidth="1"/>
    <col min="3" max="3" width="13.81640625" customWidth="1"/>
    <col min="4" max="4" width="10" bestFit="1" customWidth="1"/>
    <col min="5" max="5" width="16.36328125" bestFit="1" customWidth="1"/>
    <col min="6" max="6" width="13.81640625" customWidth="1"/>
    <col min="7" max="7" width="16.90625" customWidth="1"/>
    <col min="8" max="9" width="13.453125" customWidth="1"/>
    <col min="10" max="10" width="10.1796875" customWidth="1"/>
    <col min="11" max="11" width="18" customWidth="1"/>
    <col min="12" max="12" width="18.90625" customWidth="1"/>
    <col min="13" max="13" width="14" customWidth="1"/>
  </cols>
  <sheetData>
    <row r="1" spans="1:13" ht="24.5" x14ac:dyDescent="0.7">
      <c r="A1" s="9" t="s">
        <v>2799</v>
      </c>
      <c r="B1" s="9"/>
      <c r="C1" s="9"/>
      <c r="D1" s="9"/>
      <c r="E1" s="9"/>
      <c r="F1" s="9"/>
      <c r="G1" s="9"/>
    </row>
    <row r="3" spans="1:13" x14ac:dyDescent="0.35">
      <c r="A3" s="1" t="s">
        <v>0</v>
      </c>
      <c r="B3" s="1" t="s">
        <v>1</v>
      </c>
      <c r="C3" s="1" t="s">
        <v>2</v>
      </c>
      <c r="D3" s="1" t="s">
        <v>3</v>
      </c>
      <c r="E3" s="1" t="s">
        <v>4</v>
      </c>
      <c r="F3" s="1" t="s">
        <v>5</v>
      </c>
      <c r="G3" s="1" t="s">
        <v>6</v>
      </c>
      <c r="H3" s="1" t="s">
        <v>7</v>
      </c>
      <c r="I3" s="1" t="s">
        <v>8</v>
      </c>
      <c r="J3" s="1" t="s">
        <v>9</v>
      </c>
      <c r="K3" s="1" t="s">
        <v>10</v>
      </c>
      <c r="L3" s="1" t="s">
        <v>11</v>
      </c>
      <c r="M3" s="1" t="s">
        <v>12</v>
      </c>
    </row>
    <row r="4" spans="1:13" x14ac:dyDescent="0.35">
      <c r="A4" t="s">
        <v>13</v>
      </c>
      <c r="B4" t="s">
        <v>14</v>
      </c>
      <c r="C4" t="s">
        <v>15</v>
      </c>
      <c r="D4" t="s">
        <v>16</v>
      </c>
      <c r="E4" t="s">
        <v>17</v>
      </c>
      <c r="F4" t="s">
        <v>18</v>
      </c>
      <c r="G4" t="s">
        <v>19</v>
      </c>
      <c r="H4">
        <v>491</v>
      </c>
      <c r="I4">
        <v>20</v>
      </c>
      <c r="J4">
        <v>0</v>
      </c>
      <c r="K4" t="s">
        <v>20</v>
      </c>
      <c r="L4">
        <v>57</v>
      </c>
      <c r="M4" t="s">
        <v>21</v>
      </c>
    </row>
    <row r="5" spans="1:13" x14ac:dyDescent="0.35">
      <c r="A5" t="s">
        <v>22</v>
      </c>
      <c r="B5" t="s">
        <v>23</v>
      </c>
      <c r="C5" t="s">
        <v>24</v>
      </c>
      <c r="D5" t="s">
        <v>25</v>
      </c>
      <c r="E5" t="s">
        <v>26</v>
      </c>
      <c r="F5" t="s">
        <v>27</v>
      </c>
      <c r="G5" t="s">
        <v>28</v>
      </c>
      <c r="H5">
        <v>427</v>
      </c>
      <c r="I5">
        <v>50</v>
      </c>
      <c r="J5">
        <v>100</v>
      </c>
      <c r="K5" t="s">
        <v>29</v>
      </c>
      <c r="L5">
        <v>51</v>
      </c>
      <c r="M5" t="s">
        <v>30</v>
      </c>
    </row>
    <row r="6" spans="1:13" x14ac:dyDescent="0.35">
      <c r="A6" t="s">
        <v>31</v>
      </c>
      <c r="B6" t="s">
        <v>32</v>
      </c>
      <c r="C6" t="s">
        <v>33</v>
      </c>
      <c r="D6" t="s">
        <v>25</v>
      </c>
      <c r="E6" t="s">
        <v>34</v>
      </c>
      <c r="F6" t="s">
        <v>27</v>
      </c>
      <c r="G6" t="s">
        <v>35</v>
      </c>
      <c r="H6">
        <v>482</v>
      </c>
      <c r="I6">
        <v>30</v>
      </c>
      <c r="J6">
        <v>0</v>
      </c>
      <c r="K6" t="s">
        <v>36</v>
      </c>
      <c r="L6">
        <v>56</v>
      </c>
      <c r="M6" t="s">
        <v>21</v>
      </c>
    </row>
    <row r="7" spans="1:13" x14ac:dyDescent="0.35">
      <c r="A7" t="s">
        <v>37</v>
      </c>
      <c r="B7" t="s">
        <v>38</v>
      </c>
      <c r="C7" t="s">
        <v>39</v>
      </c>
      <c r="D7" t="s">
        <v>40</v>
      </c>
      <c r="E7" t="s">
        <v>41</v>
      </c>
      <c r="F7" t="s">
        <v>27</v>
      </c>
      <c r="G7" t="s">
        <v>42</v>
      </c>
      <c r="H7">
        <v>612</v>
      </c>
      <c r="I7">
        <v>20</v>
      </c>
      <c r="J7">
        <v>100</v>
      </c>
      <c r="K7" t="s">
        <v>29</v>
      </c>
      <c r="L7">
        <v>44</v>
      </c>
      <c r="M7" t="s">
        <v>30</v>
      </c>
    </row>
    <row r="8" spans="1:13" x14ac:dyDescent="0.35">
      <c r="A8" t="s">
        <v>43</v>
      </c>
      <c r="B8" t="s">
        <v>44</v>
      </c>
      <c r="C8" t="s">
        <v>45</v>
      </c>
      <c r="D8" t="s">
        <v>46</v>
      </c>
      <c r="E8" t="s">
        <v>47</v>
      </c>
      <c r="F8" t="s">
        <v>48</v>
      </c>
      <c r="G8" t="s">
        <v>49</v>
      </c>
      <c r="H8">
        <v>233</v>
      </c>
      <c r="I8">
        <v>40</v>
      </c>
      <c r="J8">
        <v>100</v>
      </c>
      <c r="K8" t="s">
        <v>20</v>
      </c>
      <c r="L8">
        <v>27</v>
      </c>
      <c r="M8" t="s">
        <v>21</v>
      </c>
    </row>
    <row r="9" spans="1:13" x14ac:dyDescent="0.35">
      <c r="A9" t="s">
        <v>50</v>
      </c>
      <c r="B9" t="s">
        <v>51</v>
      </c>
      <c r="C9" t="s">
        <v>52</v>
      </c>
      <c r="D9" t="s">
        <v>53</v>
      </c>
      <c r="E9" t="s">
        <v>54</v>
      </c>
      <c r="F9" t="s">
        <v>55</v>
      </c>
      <c r="G9" t="s">
        <v>19</v>
      </c>
      <c r="H9">
        <v>531</v>
      </c>
      <c r="I9">
        <v>50</v>
      </c>
      <c r="J9">
        <v>100</v>
      </c>
      <c r="K9" t="s">
        <v>29</v>
      </c>
      <c r="L9">
        <v>28</v>
      </c>
      <c r="M9" t="s">
        <v>21</v>
      </c>
    </row>
    <row r="10" spans="1:13" x14ac:dyDescent="0.35">
      <c r="A10" t="s">
        <v>56</v>
      </c>
      <c r="B10" t="s">
        <v>57</v>
      </c>
      <c r="C10" t="s">
        <v>58</v>
      </c>
      <c r="D10" t="s">
        <v>25</v>
      </c>
      <c r="E10" t="s">
        <v>34</v>
      </c>
      <c r="F10" t="s">
        <v>27</v>
      </c>
      <c r="G10" t="s">
        <v>59</v>
      </c>
      <c r="H10">
        <v>461</v>
      </c>
      <c r="I10">
        <v>50</v>
      </c>
      <c r="J10">
        <v>0</v>
      </c>
      <c r="K10" t="s">
        <v>36</v>
      </c>
      <c r="L10">
        <v>26</v>
      </c>
      <c r="M10" t="s">
        <v>21</v>
      </c>
    </row>
    <row r="11" spans="1:13" x14ac:dyDescent="0.35">
      <c r="A11" t="s">
        <v>60</v>
      </c>
      <c r="B11" t="s">
        <v>61</v>
      </c>
      <c r="C11" t="s">
        <v>62</v>
      </c>
      <c r="D11" t="s">
        <v>40</v>
      </c>
      <c r="E11" t="s">
        <v>41</v>
      </c>
      <c r="F11" t="s">
        <v>27</v>
      </c>
      <c r="G11" t="s">
        <v>63</v>
      </c>
      <c r="H11">
        <v>469</v>
      </c>
      <c r="I11">
        <v>30</v>
      </c>
      <c r="J11">
        <v>50</v>
      </c>
      <c r="K11" t="s">
        <v>20</v>
      </c>
      <c r="L11">
        <v>48</v>
      </c>
      <c r="M11" t="s">
        <v>21</v>
      </c>
    </row>
    <row r="12" spans="1:13" x14ac:dyDescent="0.35">
      <c r="A12" t="s">
        <v>64</v>
      </c>
      <c r="B12" t="s">
        <v>65</v>
      </c>
      <c r="C12" t="s">
        <v>66</v>
      </c>
      <c r="D12" t="s">
        <v>40</v>
      </c>
      <c r="E12" t="s">
        <v>67</v>
      </c>
      <c r="F12" t="s">
        <v>48</v>
      </c>
      <c r="G12" t="s">
        <v>49</v>
      </c>
      <c r="H12">
        <v>569</v>
      </c>
      <c r="I12">
        <v>40</v>
      </c>
      <c r="J12">
        <v>50</v>
      </c>
      <c r="K12" t="s">
        <v>29</v>
      </c>
      <c r="L12">
        <v>39</v>
      </c>
      <c r="M12" t="s">
        <v>21</v>
      </c>
    </row>
    <row r="13" spans="1:13" x14ac:dyDescent="0.35">
      <c r="A13" t="s">
        <v>68</v>
      </c>
      <c r="B13" t="s">
        <v>69</v>
      </c>
      <c r="C13" t="s">
        <v>33</v>
      </c>
      <c r="D13" t="s">
        <v>46</v>
      </c>
      <c r="E13" t="s">
        <v>70</v>
      </c>
      <c r="F13" t="s">
        <v>18</v>
      </c>
      <c r="G13" t="s">
        <v>35</v>
      </c>
      <c r="H13">
        <v>787</v>
      </c>
      <c r="I13">
        <v>20</v>
      </c>
      <c r="J13">
        <v>20</v>
      </c>
      <c r="K13" t="s">
        <v>29</v>
      </c>
      <c r="L13">
        <v>30</v>
      </c>
      <c r="M13" t="s">
        <v>21</v>
      </c>
    </row>
    <row r="14" spans="1:13" x14ac:dyDescent="0.35">
      <c r="A14" t="s">
        <v>71</v>
      </c>
      <c r="B14" t="s">
        <v>72</v>
      </c>
      <c r="C14" t="s">
        <v>73</v>
      </c>
      <c r="D14" t="s">
        <v>25</v>
      </c>
      <c r="E14" t="s">
        <v>34</v>
      </c>
      <c r="F14" t="s">
        <v>27</v>
      </c>
      <c r="G14" t="s">
        <v>74</v>
      </c>
      <c r="H14">
        <v>558</v>
      </c>
      <c r="I14">
        <v>30</v>
      </c>
      <c r="J14">
        <v>0</v>
      </c>
      <c r="K14" t="s">
        <v>20</v>
      </c>
      <c r="L14">
        <v>48</v>
      </c>
      <c r="M14" t="s">
        <v>21</v>
      </c>
    </row>
    <row r="15" spans="1:13" x14ac:dyDescent="0.35">
      <c r="A15" t="s">
        <v>75</v>
      </c>
      <c r="B15" t="s">
        <v>76</v>
      </c>
      <c r="C15" t="s">
        <v>77</v>
      </c>
      <c r="D15" t="s">
        <v>25</v>
      </c>
      <c r="E15" t="s">
        <v>78</v>
      </c>
      <c r="F15" t="s">
        <v>48</v>
      </c>
      <c r="G15" t="s">
        <v>49</v>
      </c>
      <c r="H15">
        <v>733</v>
      </c>
      <c r="I15">
        <v>40</v>
      </c>
      <c r="J15">
        <v>0</v>
      </c>
      <c r="K15" t="s">
        <v>29</v>
      </c>
      <c r="L15">
        <v>46</v>
      </c>
      <c r="M15" t="s">
        <v>21</v>
      </c>
    </row>
    <row r="16" spans="1:13" x14ac:dyDescent="0.35">
      <c r="A16" t="s">
        <v>79</v>
      </c>
      <c r="B16" t="s">
        <v>80</v>
      </c>
      <c r="C16" t="s">
        <v>81</v>
      </c>
      <c r="D16" t="s">
        <v>40</v>
      </c>
      <c r="E16" t="s">
        <v>67</v>
      </c>
      <c r="F16" t="s">
        <v>48</v>
      </c>
      <c r="G16" t="s">
        <v>35</v>
      </c>
      <c r="H16">
        <v>627</v>
      </c>
      <c r="I16">
        <v>20</v>
      </c>
      <c r="J16">
        <v>0</v>
      </c>
      <c r="K16" t="s">
        <v>29</v>
      </c>
      <c r="L16">
        <v>30</v>
      </c>
      <c r="M16" t="s">
        <v>21</v>
      </c>
    </row>
    <row r="17" spans="1:13" x14ac:dyDescent="0.35">
      <c r="A17" t="s">
        <v>82</v>
      </c>
      <c r="B17" t="s">
        <v>23</v>
      </c>
      <c r="C17" t="s">
        <v>83</v>
      </c>
      <c r="D17" t="s">
        <v>53</v>
      </c>
      <c r="E17" t="s">
        <v>84</v>
      </c>
      <c r="F17" t="s">
        <v>85</v>
      </c>
      <c r="G17" t="s">
        <v>49</v>
      </c>
      <c r="H17">
        <v>509</v>
      </c>
      <c r="I17">
        <v>50</v>
      </c>
      <c r="J17">
        <v>100</v>
      </c>
      <c r="K17" t="s">
        <v>29</v>
      </c>
      <c r="L17">
        <v>34</v>
      </c>
      <c r="M17" t="s">
        <v>21</v>
      </c>
    </row>
    <row r="18" spans="1:13" x14ac:dyDescent="0.35">
      <c r="A18" t="s">
        <v>86</v>
      </c>
      <c r="B18" t="s">
        <v>87</v>
      </c>
      <c r="C18" t="s">
        <v>88</v>
      </c>
      <c r="D18" t="s">
        <v>16</v>
      </c>
      <c r="E18" t="s">
        <v>89</v>
      </c>
      <c r="F18" t="s">
        <v>18</v>
      </c>
      <c r="G18" t="s">
        <v>42</v>
      </c>
      <c r="H18">
        <v>228</v>
      </c>
      <c r="I18">
        <v>40</v>
      </c>
      <c r="J18">
        <v>30</v>
      </c>
      <c r="K18" t="s">
        <v>20</v>
      </c>
      <c r="L18">
        <v>21</v>
      </c>
      <c r="M18" t="s">
        <v>21</v>
      </c>
    </row>
    <row r="19" spans="1:13" x14ac:dyDescent="0.35">
      <c r="A19" t="s">
        <v>90</v>
      </c>
      <c r="B19" t="s">
        <v>91</v>
      </c>
      <c r="C19" t="s">
        <v>92</v>
      </c>
      <c r="D19" t="s">
        <v>25</v>
      </c>
      <c r="E19" t="s">
        <v>78</v>
      </c>
      <c r="F19" t="s">
        <v>48</v>
      </c>
      <c r="G19" t="s">
        <v>35</v>
      </c>
      <c r="H19">
        <v>241</v>
      </c>
      <c r="I19">
        <v>40</v>
      </c>
      <c r="J19">
        <v>0</v>
      </c>
      <c r="K19" t="s">
        <v>20</v>
      </c>
      <c r="L19">
        <v>37</v>
      </c>
      <c r="M19" t="s">
        <v>21</v>
      </c>
    </row>
    <row r="20" spans="1:13" x14ac:dyDescent="0.35">
      <c r="A20" t="s">
        <v>93</v>
      </c>
      <c r="B20" t="s">
        <v>76</v>
      </c>
      <c r="C20" t="s">
        <v>94</v>
      </c>
      <c r="D20" t="s">
        <v>25</v>
      </c>
      <c r="E20" t="s">
        <v>78</v>
      </c>
      <c r="F20" t="s">
        <v>48</v>
      </c>
      <c r="G20" t="s">
        <v>19</v>
      </c>
      <c r="H20">
        <v>617</v>
      </c>
      <c r="I20">
        <v>50</v>
      </c>
      <c r="J20">
        <v>30</v>
      </c>
      <c r="K20" t="s">
        <v>36</v>
      </c>
      <c r="L20">
        <v>40</v>
      </c>
      <c r="M20" t="s">
        <v>21</v>
      </c>
    </row>
    <row r="21" spans="1:13" x14ac:dyDescent="0.35">
      <c r="A21" t="s">
        <v>95</v>
      </c>
      <c r="B21" t="s">
        <v>96</v>
      </c>
      <c r="C21" t="s">
        <v>97</v>
      </c>
      <c r="D21" t="s">
        <v>16</v>
      </c>
      <c r="E21" t="s">
        <v>89</v>
      </c>
      <c r="F21" t="s">
        <v>18</v>
      </c>
      <c r="G21" t="s">
        <v>28</v>
      </c>
      <c r="H21">
        <v>739</v>
      </c>
      <c r="I21">
        <v>50</v>
      </c>
      <c r="J21">
        <v>0</v>
      </c>
      <c r="K21" t="s">
        <v>20</v>
      </c>
      <c r="L21">
        <v>46</v>
      </c>
      <c r="M21" t="s">
        <v>21</v>
      </c>
    </row>
    <row r="22" spans="1:13" x14ac:dyDescent="0.35">
      <c r="A22" t="s">
        <v>98</v>
      </c>
      <c r="B22" t="s">
        <v>99</v>
      </c>
      <c r="C22" t="s">
        <v>100</v>
      </c>
      <c r="D22" t="s">
        <v>16</v>
      </c>
      <c r="E22" t="s">
        <v>89</v>
      </c>
      <c r="F22" t="s">
        <v>18</v>
      </c>
      <c r="G22" t="s">
        <v>42</v>
      </c>
      <c r="H22">
        <v>504</v>
      </c>
      <c r="I22">
        <v>50</v>
      </c>
      <c r="J22">
        <v>50</v>
      </c>
      <c r="K22" t="s">
        <v>36</v>
      </c>
      <c r="L22">
        <v>36</v>
      </c>
      <c r="M22" t="s">
        <v>21</v>
      </c>
    </row>
    <row r="23" spans="1:13" x14ac:dyDescent="0.35">
      <c r="A23" t="s">
        <v>101</v>
      </c>
      <c r="B23" t="s">
        <v>102</v>
      </c>
      <c r="C23" t="s">
        <v>103</v>
      </c>
      <c r="D23" t="s">
        <v>46</v>
      </c>
      <c r="E23" t="s">
        <v>47</v>
      </c>
      <c r="F23" t="s">
        <v>48</v>
      </c>
      <c r="G23" t="s">
        <v>74</v>
      </c>
      <c r="H23">
        <v>483</v>
      </c>
      <c r="I23">
        <v>30</v>
      </c>
      <c r="J23">
        <v>20</v>
      </c>
      <c r="K23" t="s">
        <v>36</v>
      </c>
      <c r="L23">
        <v>50</v>
      </c>
      <c r="M23" t="s">
        <v>21</v>
      </c>
    </row>
    <row r="24" spans="1:13" x14ac:dyDescent="0.35">
      <c r="A24" t="s">
        <v>104</v>
      </c>
      <c r="B24" t="s">
        <v>105</v>
      </c>
      <c r="C24" t="s">
        <v>106</v>
      </c>
      <c r="D24" t="s">
        <v>53</v>
      </c>
      <c r="E24" t="s">
        <v>84</v>
      </c>
      <c r="F24" t="s">
        <v>85</v>
      </c>
      <c r="G24" t="s">
        <v>107</v>
      </c>
      <c r="H24">
        <v>253</v>
      </c>
      <c r="I24">
        <v>40</v>
      </c>
      <c r="J24">
        <v>50</v>
      </c>
      <c r="K24" t="s">
        <v>36</v>
      </c>
      <c r="L24">
        <v>29</v>
      </c>
      <c r="M24" t="s">
        <v>21</v>
      </c>
    </row>
    <row r="25" spans="1:13" x14ac:dyDescent="0.35">
      <c r="A25" t="s">
        <v>108</v>
      </c>
      <c r="B25" t="s">
        <v>109</v>
      </c>
      <c r="C25" t="s">
        <v>110</v>
      </c>
      <c r="D25" t="s">
        <v>40</v>
      </c>
      <c r="E25" t="s">
        <v>111</v>
      </c>
      <c r="F25" t="s">
        <v>18</v>
      </c>
      <c r="G25" t="s">
        <v>28</v>
      </c>
      <c r="H25">
        <v>332</v>
      </c>
      <c r="I25">
        <v>30</v>
      </c>
      <c r="J25">
        <v>0</v>
      </c>
      <c r="K25" t="s">
        <v>20</v>
      </c>
      <c r="L25">
        <v>60</v>
      </c>
      <c r="M25" t="s">
        <v>21</v>
      </c>
    </row>
    <row r="26" spans="1:13" x14ac:dyDescent="0.35">
      <c r="A26" t="s">
        <v>112</v>
      </c>
      <c r="B26" t="s">
        <v>113</v>
      </c>
      <c r="C26" t="s">
        <v>114</v>
      </c>
      <c r="D26" t="s">
        <v>53</v>
      </c>
      <c r="E26" t="s">
        <v>54</v>
      </c>
      <c r="F26" t="s">
        <v>55</v>
      </c>
      <c r="G26" t="s">
        <v>107</v>
      </c>
      <c r="H26">
        <v>173</v>
      </c>
      <c r="I26">
        <v>40</v>
      </c>
      <c r="J26">
        <v>20</v>
      </c>
      <c r="K26" t="s">
        <v>36</v>
      </c>
      <c r="L26">
        <v>23</v>
      </c>
      <c r="M26" t="s">
        <v>21</v>
      </c>
    </row>
    <row r="27" spans="1:13" x14ac:dyDescent="0.35">
      <c r="A27" t="s">
        <v>115</v>
      </c>
      <c r="B27" t="s">
        <v>80</v>
      </c>
      <c r="C27" t="s">
        <v>116</v>
      </c>
      <c r="D27" t="s">
        <v>53</v>
      </c>
      <c r="E27" t="s">
        <v>54</v>
      </c>
      <c r="F27" t="s">
        <v>55</v>
      </c>
      <c r="G27" t="s">
        <v>107</v>
      </c>
      <c r="H27">
        <v>245</v>
      </c>
      <c r="I27">
        <v>50</v>
      </c>
      <c r="J27">
        <v>20</v>
      </c>
      <c r="K27" t="s">
        <v>20</v>
      </c>
      <c r="L27">
        <v>21</v>
      </c>
      <c r="M27" t="s">
        <v>21</v>
      </c>
    </row>
    <row r="28" spans="1:13" x14ac:dyDescent="0.35">
      <c r="A28" t="s">
        <v>117</v>
      </c>
      <c r="B28" t="s">
        <v>118</v>
      </c>
      <c r="C28" t="s">
        <v>119</v>
      </c>
      <c r="D28" t="s">
        <v>40</v>
      </c>
      <c r="E28" t="s">
        <v>111</v>
      </c>
      <c r="F28" t="s">
        <v>18</v>
      </c>
      <c r="G28" t="s">
        <v>107</v>
      </c>
      <c r="H28">
        <v>614</v>
      </c>
      <c r="I28">
        <v>50</v>
      </c>
      <c r="J28">
        <v>50</v>
      </c>
      <c r="K28" t="s">
        <v>36</v>
      </c>
      <c r="L28">
        <v>20</v>
      </c>
      <c r="M28" t="s">
        <v>21</v>
      </c>
    </row>
    <row r="29" spans="1:13" x14ac:dyDescent="0.35">
      <c r="A29" t="s">
        <v>120</v>
      </c>
      <c r="B29" t="s">
        <v>121</v>
      </c>
      <c r="C29" t="s">
        <v>122</v>
      </c>
      <c r="D29" t="s">
        <v>46</v>
      </c>
      <c r="E29" t="s">
        <v>70</v>
      </c>
      <c r="F29" t="s">
        <v>18</v>
      </c>
      <c r="G29" t="s">
        <v>19</v>
      </c>
      <c r="H29">
        <v>255</v>
      </c>
      <c r="I29">
        <v>30</v>
      </c>
      <c r="J29">
        <v>100</v>
      </c>
      <c r="K29" t="s">
        <v>20</v>
      </c>
      <c r="L29">
        <v>35</v>
      </c>
      <c r="M29" t="s">
        <v>21</v>
      </c>
    </row>
    <row r="30" spans="1:13" x14ac:dyDescent="0.35">
      <c r="A30" t="s">
        <v>123</v>
      </c>
      <c r="B30" t="s">
        <v>72</v>
      </c>
      <c r="C30" t="s">
        <v>124</v>
      </c>
      <c r="D30" t="s">
        <v>53</v>
      </c>
      <c r="E30" t="s">
        <v>84</v>
      </c>
      <c r="F30" t="s">
        <v>85</v>
      </c>
      <c r="G30" t="s">
        <v>74</v>
      </c>
      <c r="H30">
        <v>477</v>
      </c>
      <c r="I30">
        <v>20</v>
      </c>
      <c r="J30">
        <v>30</v>
      </c>
      <c r="K30" t="s">
        <v>20</v>
      </c>
      <c r="L30">
        <v>60</v>
      </c>
      <c r="M30" t="s">
        <v>21</v>
      </c>
    </row>
    <row r="31" spans="1:13" x14ac:dyDescent="0.35">
      <c r="A31" t="s">
        <v>125</v>
      </c>
      <c r="B31" t="s">
        <v>126</v>
      </c>
      <c r="C31" t="s">
        <v>127</v>
      </c>
      <c r="D31" t="s">
        <v>40</v>
      </c>
      <c r="E31" t="s">
        <v>111</v>
      </c>
      <c r="F31" t="s">
        <v>18</v>
      </c>
      <c r="G31" t="s">
        <v>19</v>
      </c>
      <c r="H31">
        <v>404</v>
      </c>
      <c r="I31">
        <v>20</v>
      </c>
      <c r="J31">
        <v>100</v>
      </c>
      <c r="K31" t="s">
        <v>36</v>
      </c>
      <c r="L31">
        <v>22</v>
      </c>
      <c r="M31" t="s">
        <v>21</v>
      </c>
    </row>
    <row r="32" spans="1:13" x14ac:dyDescent="0.35">
      <c r="A32" t="s">
        <v>128</v>
      </c>
      <c r="B32" t="s">
        <v>129</v>
      </c>
      <c r="C32" t="s">
        <v>130</v>
      </c>
      <c r="D32" t="s">
        <v>16</v>
      </c>
      <c r="E32" t="s">
        <v>131</v>
      </c>
      <c r="F32" t="s">
        <v>55</v>
      </c>
      <c r="G32" t="s">
        <v>19</v>
      </c>
      <c r="H32">
        <v>181</v>
      </c>
      <c r="I32">
        <v>20</v>
      </c>
      <c r="J32">
        <v>50</v>
      </c>
      <c r="K32" t="s">
        <v>20</v>
      </c>
      <c r="L32">
        <v>40</v>
      </c>
      <c r="M32" t="s">
        <v>21</v>
      </c>
    </row>
    <row r="33" spans="1:13" x14ac:dyDescent="0.35">
      <c r="A33" t="s">
        <v>132</v>
      </c>
      <c r="B33" t="s">
        <v>133</v>
      </c>
      <c r="C33" t="s">
        <v>134</v>
      </c>
      <c r="D33" t="s">
        <v>53</v>
      </c>
      <c r="E33" t="s">
        <v>54</v>
      </c>
      <c r="F33" t="s">
        <v>55</v>
      </c>
      <c r="G33" t="s">
        <v>35</v>
      </c>
      <c r="H33">
        <v>381</v>
      </c>
      <c r="I33">
        <v>30</v>
      </c>
      <c r="J33">
        <v>100</v>
      </c>
      <c r="K33" t="s">
        <v>20</v>
      </c>
      <c r="L33">
        <v>52</v>
      </c>
      <c r="M33" t="s">
        <v>21</v>
      </c>
    </row>
    <row r="34" spans="1:13" x14ac:dyDescent="0.35">
      <c r="A34" t="s">
        <v>135</v>
      </c>
      <c r="B34" t="s">
        <v>136</v>
      </c>
      <c r="C34" t="s">
        <v>137</v>
      </c>
      <c r="D34" t="s">
        <v>53</v>
      </c>
      <c r="E34" t="s">
        <v>84</v>
      </c>
      <c r="F34" t="s">
        <v>85</v>
      </c>
      <c r="G34" t="s">
        <v>107</v>
      </c>
      <c r="H34">
        <v>698</v>
      </c>
      <c r="I34">
        <v>30</v>
      </c>
      <c r="J34">
        <v>20</v>
      </c>
      <c r="K34" t="s">
        <v>29</v>
      </c>
      <c r="L34">
        <v>54</v>
      </c>
      <c r="M34" t="s">
        <v>30</v>
      </c>
    </row>
    <row r="35" spans="1:13" x14ac:dyDescent="0.35">
      <c r="A35" t="s">
        <v>138</v>
      </c>
      <c r="B35" t="s">
        <v>136</v>
      </c>
      <c r="C35" t="s">
        <v>139</v>
      </c>
      <c r="D35" t="s">
        <v>16</v>
      </c>
      <c r="E35" t="s">
        <v>17</v>
      </c>
      <c r="F35" t="s">
        <v>18</v>
      </c>
      <c r="G35" t="s">
        <v>35</v>
      </c>
      <c r="H35">
        <v>496</v>
      </c>
      <c r="I35">
        <v>50</v>
      </c>
      <c r="J35">
        <v>50</v>
      </c>
      <c r="K35" t="s">
        <v>36</v>
      </c>
      <c r="L35">
        <v>37</v>
      </c>
      <c r="M35" t="s">
        <v>21</v>
      </c>
    </row>
    <row r="36" spans="1:13" x14ac:dyDescent="0.35">
      <c r="A36" t="s">
        <v>140</v>
      </c>
      <c r="B36" t="s">
        <v>113</v>
      </c>
      <c r="C36" t="s">
        <v>141</v>
      </c>
      <c r="D36" t="s">
        <v>25</v>
      </c>
      <c r="E36" t="s">
        <v>78</v>
      </c>
      <c r="F36" t="s">
        <v>48</v>
      </c>
      <c r="G36" t="s">
        <v>42</v>
      </c>
      <c r="H36">
        <v>457</v>
      </c>
      <c r="I36">
        <v>30</v>
      </c>
      <c r="J36">
        <v>0</v>
      </c>
      <c r="K36" t="s">
        <v>20</v>
      </c>
      <c r="L36">
        <v>47</v>
      </c>
      <c r="M36" t="s">
        <v>30</v>
      </c>
    </row>
    <row r="37" spans="1:13" x14ac:dyDescent="0.35">
      <c r="A37" t="s">
        <v>142</v>
      </c>
      <c r="B37" t="s">
        <v>143</v>
      </c>
      <c r="C37" t="s">
        <v>144</v>
      </c>
      <c r="D37" t="s">
        <v>53</v>
      </c>
      <c r="E37" t="s">
        <v>54</v>
      </c>
      <c r="F37" t="s">
        <v>55</v>
      </c>
      <c r="G37" t="s">
        <v>74</v>
      </c>
      <c r="H37">
        <v>672</v>
      </c>
      <c r="I37">
        <v>50</v>
      </c>
      <c r="J37">
        <v>20</v>
      </c>
      <c r="K37" t="s">
        <v>29</v>
      </c>
      <c r="L37">
        <v>31</v>
      </c>
      <c r="M37" t="s">
        <v>21</v>
      </c>
    </row>
    <row r="38" spans="1:13" x14ac:dyDescent="0.35">
      <c r="A38" t="s">
        <v>145</v>
      </c>
      <c r="B38" t="s">
        <v>146</v>
      </c>
      <c r="C38" t="s">
        <v>147</v>
      </c>
      <c r="D38" t="s">
        <v>46</v>
      </c>
      <c r="E38" t="s">
        <v>148</v>
      </c>
      <c r="F38" t="s">
        <v>27</v>
      </c>
      <c r="G38" t="s">
        <v>35</v>
      </c>
      <c r="H38">
        <v>251</v>
      </c>
      <c r="I38">
        <v>50</v>
      </c>
      <c r="J38">
        <v>30</v>
      </c>
      <c r="K38" t="s">
        <v>36</v>
      </c>
      <c r="L38">
        <v>21</v>
      </c>
      <c r="M38" t="s">
        <v>21</v>
      </c>
    </row>
    <row r="39" spans="1:13" x14ac:dyDescent="0.35">
      <c r="A39" t="s">
        <v>149</v>
      </c>
      <c r="B39" t="s">
        <v>150</v>
      </c>
      <c r="C39" t="s">
        <v>151</v>
      </c>
      <c r="D39" t="s">
        <v>53</v>
      </c>
      <c r="E39" t="s">
        <v>152</v>
      </c>
      <c r="F39" t="s">
        <v>18</v>
      </c>
      <c r="G39" t="s">
        <v>35</v>
      </c>
      <c r="H39">
        <v>730</v>
      </c>
      <c r="I39">
        <v>40</v>
      </c>
      <c r="J39">
        <v>30</v>
      </c>
      <c r="K39" t="s">
        <v>36</v>
      </c>
      <c r="L39">
        <v>55</v>
      </c>
      <c r="M39" t="s">
        <v>21</v>
      </c>
    </row>
    <row r="40" spans="1:13" x14ac:dyDescent="0.35">
      <c r="A40" t="s">
        <v>153</v>
      </c>
      <c r="B40" t="s">
        <v>154</v>
      </c>
      <c r="C40" t="s">
        <v>155</v>
      </c>
      <c r="D40" t="s">
        <v>46</v>
      </c>
      <c r="E40" t="s">
        <v>70</v>
      </c>
      <c r="F40" t="s">
        <v>18</v>
      </c>
      <c r="G40" t="s">
        <v>49</v>
      </c>
      <c r="H40">
        <v>726</v>
      </c>
      <c r="I40">
        <v>50</v>
      </c>
      <c r="J40">
        <v>30</v>
      </c>
      <c r="K40" t="s">
        <v>29</v>
      </c>
      <c r="L40">
        <v>28</v>
      </c>
      <c r="M40" t="s">
        <v>21</v>
      </c>
    </row>
    <row r="41" spans="1:13" x14ac:dyDescent="0.35">
      <c r="A41" t="s">
        <v>156</v>
      </c>
      <c r="B41" t="s">
        <v>109</v>
      </c>
      <c r="C41" t="s">
        <v>157</v>
      </c>
      <c r="D41" t="s">
        <v>46</v>
      </c>
      <c r="E41" t="s">
        <v>70</v>
      </c>
      <c r="F41" t="s">
        <v>18</v>
      </c>
      <c r="G41" t="s">
        <v>59</v>
      </c>
      <c r="H41">
        <v>418</v>
      </c>
      <c r="I41">
        <v>40</v>
      </c>
      <c r="J41">
        <v>50</v>
      </c>
      <c r="K41" t="s">
        <v>36</v>
      </c>
      <c r="L41">
        <v>47</v>
      </c>
      <c r="M41" t="s">
        <v>21</v>
      </c>
    </row>
    <row r="42" spans="1:13" x14ac:dyDescent="0.35">
      <c r="A42" t="s">
        <v>158</v>
      </c>
      <c r="B42" t="s">
        <v>38</v>
      </c>
      <c r="C42" t="s">
        <v>159</v>
      </c>
      <c r="D42" t="s">
        <v>16</v>
      </c>
      <c r="E42" t="s">
        <v>17</v>
      </c>
      <c r="F42" t="s">
        <v>18</v>
      </c>
      <c r="G42" t="s">
        <v>49</v>
      </c>
      <c r="H42">
        <v>496</v>
      </c>
      <c r="I42">
        <v>50</v>
      </c>
      <c r="J42">
        <v>20</v>
      </c>
      <c r="K42" t="s">
        <v>36</v>
      </c>
      <c r="L42">
        <v>57</v>
      </c>
      <c r="M42" t="s">
        <v>21</v>
      </c>
    </row>
    <row r="43" spans="1:13" x14ac:dyDescent="0.35">
      <c r="A43" t="s">
        <v>160</v>
      </c>
      <c r="B43" t="s">
        <v>154</v>
      </c>
      <c r="C43" t="s">
        <v>161</v>
      </c>
      <c r="D43" t="s">
        <v>40</v>
      </c>
      <c r="E43" t="s">
        <v>67</v>
      </c>
      <c r="F43" t="s">
        <v>48</v>
      </c>
      <c r="G43" t="s">
        <v>49</v>
      </c>
      <c r="H43">
        <v>237</v>
      </c>
      <c r="I43">
        <v>50</v>
      </c>
      <c r="J43">
        <v>30</v>
      </c>
      <c r="K43" t="s">
        <v>29</v>
      </c>
      <c r="L43">
        <v>46</v>
      </c>
      <c r="M43" t="s">
        <v>21</v>
      </c>
    </row>
    <row r="44" spans="1:13" x14ac:dyDescent="0.35">
      <c r="A44" t="s">
        <v>162</v>
      </c>
      <c r="B44" t="s">
        <v>154</v>
      </c>
      <c r="C44" t="s">
        <v>163</v>
      </c>
      <c r="D44" t="s">
        <v>46</v>
      </c>
      <c r="E44" t="s">
        <v>47</v>
      </c>
      <c r="F44" t="s">
        <v>48</v>
      </c>
      <c r="G44" t="s">
        <v>63</v>
      </c>
      <c r="H44">
        <v>551</v>
      </c>
      <c r="I44">
        <v>30</v>
      </c>
      <c r="J44">
        <v>0</v>
      </c>
      <c r="K44" t="s">
        <v>20</v>
      </c>
      <c r="L44">
        <v>51</v>
      </c>
      <c r="M44" t="s">
        <v>21</v>
      </c>
    </row>
    <row r="45" spans="1:13" x14ac:dyDescent="0.35">
      <c r="A45" t="s">
        <v>164</v>
      </c>
      <c r="B45" t="s">
        <v>126</v>
      </c>
      <c r="C45" t="s">
        <v>165</v>
      </c>
      <c r="D45" t="s">
        <v>16</v>
      </c>
      <c r="E45" t="s">
        <v>17</v>
      </c>
      <c r="F45" t="s">
        <v>18</v>
      </c>
      <c r="G45" t="s">
        <v>35</v>
      </c>
      <c r="H45">
        <v>671</v>
      </c>
      <c r="I45">
        <v>40</v>
      </c>
      <c r="J45">
        <v>50</v>
      </c>
      <c r="K45" t="s">
        <v>20</v>
      </c>
      <c r="L45">
        <v>43</v>
      </c>
      <c r="M45" t="s">
        <v>21</v>
      </c>
    </row>
    <row r="46" spans="1:13" x14ac:dyDescent="0.35">
      <c r="A46" t="s">
        <v>166</v>
      </c>
      <c r="B46" t="s">
        <v>167</v>
      </c>
      <c r="C46" t="s">
        <v>168</v>
      </c>
      <c r="D46" t="s">
        <v>25</v>
      </c>
      <c r="E46" t="s">
        <v>34</v>
      </c>
      <c r="F46" t="s">
        <v>27</v>
      </c>
      <c r="G46" t="s">
        <v>74</v>
      </c>
      <c r="H46">
        <v>710</v>
      </c>
      <c r="I46">
        <v>50</v>
      </c>
      <c r="J46">
        <v>0</v>
      </c>
      <c r="K46" t="s">
        <v>29</v>
      </c>
      <c r="L46">
        <v>47</v>
      </c>
      <c r="M46" t="s">
        <v>21</v>
      </c>
    </row>
    <row r="47" spans="1:13" x14ac:dyDescent="0.35">
      <c r="A47" t="s">
        <v>169</v>
      </c>
      <c r="B47" t="s">
        <v>133</v>
      </c>
      <c r="C47" t="s">
        <v>170</v>
      </c>
      <c r="D47" t="s">
        <v>46</v>
      </c>
      <c r="E47" t="s">
        <v>70</v>
      </c>
      <c r="F47" t="s">
        <v>18</v>
      </c>
      <c r="G47" t="s">
        <v>49</v>
      </c>
      <c r="H47">
        <v>691</v>
      </c>
      <c r="I47">
        <v>40</v>
      </c>
      <c r="J47">
        <v>30</v>
      </c>
      <c r="K47" t="s">
        <v>29</v>
      </c>
      <c r="L47">
        <v>31</v>
      </c>
      <c r="M47" t="s">
        <v>21</v>
      </c>
    </row>
    <row r="48" spans="1:13" x14ac:dyDescent="0.35">
      <c r="A48" t="s">
        <v>171</v>
      </c>
      <c r="B48" t="s">
        <v>44</v>
      </c>
      <c r="C48" t="s">
        <v>172</v>
      </c>
      <c r="D48" t="s">
        <v>53</v>
      </c>
      <c r="E48" t="s">
        <v>54</v>
      </c>
      <c r="F48" t="s">
        <v>55</v>
      </c>
      <c r="G48" t="s">
        <v>49</v>
      </c>
      <c r="H48">
        <v>768</v>
      </c>
      <c r="I48">
        <v>20</v>
      </c>
      <c r="J48">
        <v>30</v>
      </c>
      <c r="K48" t="s">
        <v>36</v>
      </c>
      <c r="L48">
        <v>47</v>
      </c>
      <c r="M48" t="s">
        <v>21</v>
      </c>
    </row>
    <row r="49" spans="1:13" x14ac:dyDescent="0.35">
      <c r="A49" t="s">
        <v>173</v>
      </c>
      <c r="B49" t="s">
        <v>174</v>
      </c>
      <c r="C49" t="s">
        <v>175</v>
      </c>
      <c r="D49" t="s">
        <v>25</v>
      </c>
      <c r="E49" t="s">
        <v>26</v>
      </c>
      <c r="F49" t="s">
        <v>27</v>
      </c>
      <c r="G49" t="s">
        <v>176</v>
      </c>
      <c r="H49">
        <v>794</v>
      </c>
      <c r="I49">
        <v>50</v>
      </c>
      <c r="J49">
        <v>50</v>
      </c>
      <c r="K49" t="s">
        <v>29</v>
      </c>
      <c r="L49">
        <v>27</v>
      </c>
      <c r="M49" t="s">
        <v>21</v>
      </c>
    </row>
    <row r="50" spans="1:13" x14ac:dyDescent="0.35">
      <c r="A50" t="s">
        <v>177</v>
      </c>
      <c r="B50" t="s">
        <v>178</v>
      </c>
      <c r="C50" t="s">
        <v>179</v>
      </c>
      <c r="D50" t="s">
        <v>16</v>
      </c>
      <c r="E50" t="s">
        <v>17</v>
      </c>
      <c r="F50" t="s">
        <v>18</v>
      </c>
      <c r="G50" t="s">
        <v>63</v>
      </c>
      <c r="H50">
        <v>510</v>
      </c>
      <c r="I50">
        <v>50</v>
      </c>
      <c r="J50">
        <v>100</v>
      </c>
      <c r="K50" t="s">
        <v>20</v>
      </c>
      <c r="L50">
        <v>22</v>
      </c>
      <c r="M50" t="s">
        <v>21</v>
      </c>
    </row>
    <row r="51" spans="1:13" x14ac:dyDescent="0.35">
      <c r="A51" t="s">
        <v>180</v>
      </c>
      <c r="B51" t="s">
        <v>181</v>
      </c>
      <c r="C51" t="s">
        <v>182</v>
      </c>
      <c r="D51" t="s">
        <v>16</v>
      </c>
      <c r="E51" t="s">
        <v>131</v>
      </c>
      <c r="F51" t="s">
        <v>55</v>
      </c>
      <c r="G51" t="s">
        <v>19</v>
      </c>
      <c r="H51">
        <v>745</v>
      </c>
      <c r="I51">
        <v>20</v>
      </c>
      <c r="J51">
        <v>100</v>
      </c>
      <c r="K51" t="s">
        <v>20</v>
      </c>
      <c r="L51">
        <v>51</v>
      </c>
      <c r="M51" t="s">
        <v>21</v>
      </c>
    </row>
    <row r="52" spans="1:13" x14ac:dyDescent="0.35">
      <c r="A52" t="s">
        <v>183</v>
      </c>
      <c r="B52" t="s">
        <v>136</v>
      </c>
      <c r="C52" t="s">
        <v>184</v>
      </c>
      <c r="D52" t="s">
        <v>53</v>
      </c>
      <c r="E52" t="s">
        <v>54</v>
      </c>
      <c r="F52" t="s">
        <v>55</v>
      </c>
      <c r="G52" t="s">
        <v>74</v>
      </c>
      <c r="H52">
        <v>664</v>
      </c>
      <c r="I52">
        <v>50</v>
      </c>
      <c r="J52">
        <v>30</v>
      </c>
      <c r="K52" t="s">
        <v>36</v>
      </c>
      <c r="L52">
        <v>20</v>
      </c>
      <c r="M52" t="s">
        <v>21</v>
      </c>
    </row>
    <row r="53" spans="1:13" x14ac:dyDescent="0.35">
      <c r="A53" t="s">
        <v>185</v>
      </c>
      <c r="B53" t="s">
        <v>186</v>
      </c>
      <c r="C53" t="s">
        <v>187</v>
      </c>
      <c r="D53" t="s">
        <v>46</v>
      </c>
      <c r="E53" t="s">
        <v>70</v>
      </c>
      <c r="F53" t="s">
        <v>18</v>
      </c>
      <c r="G53" t="s">
        <v>74</v>
      </c>
      <c r="H53">
        <v>406</v>
      </c>
      <c r="I53">
        <v>40</v>
      </c>
      <c r="J53">
        <v>100</v>
      </c>
      <c r="K53" t="s">
        <v>29</v>
      </c>
      <c r="L53">
        <v>37</v>
      </c>
      <c r="M53" t="s">
        <v>21</v>
      </c>
    </row>
    <row r="54" spans="1:13" x14ac:dyDescent="0.35">
      <c r="A54" t="s">
        <v>188</v>
      </c>
      <c r="B54" t="s">
        <v>189</v>
      </c>
      <c r="C54" t="s">
        <v>190</v>
      </c>
      <c r="D54" t="s">
        <v>25</v>
      </c>
      <c r="E54" t="s">
        <v>78</v>
      </c>
      <c r="F54" t="s">
        <v>48</v>
      </c>
      <c r="G54" t="s">
        <v>63</v>
      </c>
      <c r="H54">
        <v>694</v>
      </c>
      <c r="I54">
        <v>40</v>
      </c>
      <c r="J54">
        <v>20</v>
      </c>
      <c r="K54" t="s">
        <v>20</v>
      </c>
      <c r="L54">
        <v>32</v>
      </c>
      <c r="M54" t="s">
        <v>21</v>
      </c>
    </row>
    <row r="55" spans="1:13" x14ac:dyDescent="0.35">
      <c r="A55" t="s">
        <v>191</v>
      </c>
      <c r="B55" t="s">
        <v>192</v>
      </c>
      <c r="C55" t="s">
        <v>193</v>
      </c>
      <c r="D55" t="s">
        <v>40</v>
      </c>
      <c r="E55" t="s">
        <v>67</v>
      </c>
      <c r="F55" t="s">
        <v>48</v>
      </c>
      <c r="G55" t="s">
        <v>49</v>
      </c>
      <c r="H55">
        <v>412</v>
      </c>
      <c r="I55">
        <v>40</v>
      </c>
      <c r="J55">
        <v>20</v>
      </c>
      <c r="K55" t="s">
        <v>20</v>
      </c>
      <c r="L55">
        <v>24</v>
      </c>
      <c r="M55" t="s">
        <v>21</v>
      </c>
    </row>
    <row r="56" spans="1:13" x14ac:dyDescent="0.35">
      <c r="A56" t="s">
        <v>194</v>
      </c>
      <c r="B56" t="s">
        <v>76</v>
      </c>
      <c r="C56" t="s">
        <v>195</v>
      </c>
      <c r="D56" t="s">
        <v>46</v>
      </c>
      <c r="E56" t="s">
        <v>148</v>
      </c>
      <c r="F56" t="s">
        <v>27</v>
      </c>
      <c r="G56" t="s">
        <v>176</v>
      </c>
      <c r="H56">
        <v>796</v>
      </c>
      <c r="I56">
        <v>40</v>
      </c>
      <c r="J56">
        <v>20</v>
      </c>
      <c r="K56" t="s">
        <v>29</v>
      </c>
      <c r="L56">
        <v>51</v>
      </c>
      <c r="M56" t="s">
        <v>21</v>
      </c>
    </row>
    <row r="57" spans="1:13" x14ac:dyDescent="0.35">
      <c r="A57" t="s">
        <v>196</v>
      </c>
      <c r="B57" t="s">
        <v>136</v>
      </c>
      <c r="C57" t="s">
        <v>197</v>
      </c>
      <c r="D57" t="s">
        <v>16</v>
      </c>
      <c r="E57" t="s">
        <v>17</v>
      </c>
      <c r="F57" t="s">
        <v>18</v>
      </c>
      <c r="G57" t="s">
        <v>107</v>
      </c>
      <c r="H57">
        <v>787</v>
      </c>
      <c r="I57">
        <v>40</v>
      </c>
      <c r="J57">
        <v>20</v>
      </c>
      <c r="K57" t="s">
        <v>20</v>
      </c>
      <c r="L57">
        <v>60</v>
      </c>
      <c r="M57" t="s">
        <v>21</v>
      </c>
    </row>
    <row r="58" spans="1:13" x14ac:dyDescent="0.35">
      <c r="A58" t="s">
        <v>198</v>
      </c>
      <c r="B58" t="s">
        <v>199</v>
      </c>
      <c r="C58" t="s">
        <v>200</v>
      </c>
      <c r="D58" t="s">
        <v>46</v>
      </c>
      <c r="E58" t="s">
        <v>47</v>
      </c>
      <c r="F58" t="s">
        <v>48</v>
      </c>
      <c r="G58" t="s">
        <v>59</v>
      </c>
      <c r="H58">
        <v>726</v>
      </c>
      <c r="I58">
        <v>20</v>
      </c>
      <c r="J58">
        <v>100</v>
      </c>
      <c r="K58" t="s">
        <v>20</v>
      </c>
      <c r="L58">
        <v>43</v>
      </c>
      <c r="M58" t="s">
        <v>21</v>
      </c>
    </row>
    <row r="59" spans="1:13" x14ac:dyDescent="0.35">
      <c r="A59" t="s">
        <v>201</v>
      </c>
      <c r="B59" t="s">
        <v>146</v>
      </c>
      <c r="C59" t="s">
        <v>119</v>
      </c>
      <c r="D59" t="s">
        <v>25</v>
      </c>
      <c r="E59" t="s">
        <v>78</v>
      </c>
      <c r="F59" t="s">
        <v>48</v>
      </c>
      <c r="G59" t="s">
        <v>63</v>
      </c>
      <c r="H59">
        <v>586</v>
      </c>
      <c r="I59">
        <v>30</v>
      </c>
      <c r="J59">
        <v>30</v>
      </c>
      <c r="K59" t="s">
        <v>36</v>
      </c>
      <c r="L59">
        <v>46</v>
      </c>
      <c r="M59" t="s">
        <v>21</v>
      </c>
    </row>
    <row r="60" spans="1:13" x14ac:dyDescent="0.35">
      <c r="A60" t="s">
        <v>202</v>
      </c>
      <c r="B60" t="s">
        <v>186</v>
      </c>
      <c r="C60" t="s">
        <v>203</v>
      </c>
      <c r="D60" t="s">
        <v>16</v>
      </c>
      <c r="E60" t="s">
        <v>89</v>
      </c>
      <c r="F60" t="s">
        <v>18</v>
      </c>
      <c r="G60" t="s">
        <v>107</v>
      </c>
      <c r="H60">
        <v>456</v>
      </c>
      <c r="I60">
        <v>20</v>
      </c>
      <c r="J60">
        <v>50</v>
      </c>
      <c r="K60" t="s">
        <v>29</v>
      </c>
      <c r="L60">
        <v>38</v>
      </c>
      <c r="M60" t="s">
        <v>21</v>
      </c>
    </row>
    <row r="61" spans="1:13" x14ac:dyDescent="0.35">
      <c r="A61" t="s">
        <v>204</v>
      </c>
      <c r="B61" t="s">
        <v>205</v>
      </c>
      <c r="C61" t="s">
        <v>24</v>
      </c>
      <c r="D61" t="s">
        <v>16</v>
      </c>
      <c r="E61" t="s">
        <v>17</v>
      </c>
      <c r="F61" t="s">
        <v>18</v>
      </c>
      <c r="G61" t="s">
        <v>107</v>
      </c>
      <c r="H61">
        <v>386</v>
      </c>
      <c r="I61">
        <v>40</v>
      </c>
      <c r="J61">
        <v>30</v>
      </c>
      <c r="K61" t="s">
        <v>29</v>
      </c>
      <c r="L61">
        <v>22</v>
      </c>
      <c r="M61" t="s">
        <v>21</v>
      </c>
    </row>
    <row r="62" spans="1:13" x14ac:dyDescent="0.35">
      <c r="A62" t="s">
        <v>206</v>
      </c>
      <c r="B62" t="s">
        <v>207</v>
      </c>
      <c r="C62" t="s">
        <v>208</v>
      </c>
      <c r="D62" t="s">
        <v>46</v>
      </c>
      <c r="E62" t="s">
        <v>70</v>
      </c>
      <c r="F62" t="s">
        <v>18</v>
      </c>
      <c r="G62" t="s">
        <v>28</v>
      </c>
      <c r="H62">
        <v>254</v>
      </c>
      <c r="I62">
        <v>40</v>
      </c>
      <c r="J62">
        <v>30</v>
      </c>
      <c r="K62" t="s">
        <v>29</v>
      </c>
      <c r="L62">
        <v>43</v>
      </c>
      <c r="M62" t="s">
        <v>21</v>
      </c>
    </row>
    <row r="63" spans="1:13" x14ac:dyDescent="0.35">
      <c r="A63" t="s">
        <v>209</v>
      </c>
      <c r="B63" t="s">
        <v>57</v>
      </c>
      <c r="C63" t="s">
        <v>114</v>
      </c>
      <c r="D63" t="s">
        <v>40</v>
      </c>
      <c r="E63" t="s">
        <v>67</v>
      </c>
      <c r="F63" t="s">
        <v>48</v>
      </c>
      <c r="G63" t="s">
        <v>19</v>
      </c>
      <c r="H63">
        <v>277</v>
      </c>
      <c r="I63">
        <v>30</v>
      </c>
      <c r="J63">
        <v>20</v>
      </c>
      <c r="K63" t="s">
        <v>29</v>
      </c>
      <c r="L63">
        <v>43</v>
      </c>
      <c r="M63" t="s">
        <v>21</v>
      </c>
    </row>
    <row r="64" spans="1:13" x14ac:dyDescent="0.35">
      <c r="A64" t="s">
        <v>210</v>
      </c>
      <c r="B64" t="s">
        <v>118</v>
      </c>
      <c r="C64" t="s">
        <v>211</v>
      </c>
      <c r="D64" t="s">
        <v>16</v>
      </c>
      <c r="E64" t="s">
        <v>89</v>
      </c>
      <c r="F64" t="s">
        <v>18</v>
      </c>
      <c r="G64" t="s">
        <v>28</v>
      </c>
      <c r="H64">
        <v>374</v>
      </c>
      <c r="I64">
        <v>30</v>
      </c>
      <c r="J64">
        <v>50</v>
      </c>
      <c r="K64" t="s">
        <v>20</v>
      </c>
      <c r="L64">
        <v>34</v>
      </c>
      <c r="M64" t="s">
        <v>21</v>
      </c>
    </row>
    <row r="65" spans="1:13" x14ac:dyDescent="0.35">
      <c r="A65" t="s">
        <v>212</v>
      </c>
      <c r="B65" t="s">
        <v>213</v>
      </c>
      <c r="C65" t="s">
        <v>214</v>
      </c>
      <c r="D65" t="s">
        <v>16</v>
      </c>
      <c r="E65" t="s">
        <v>89</v>
      </c>
      <c r="F65" t="s">
        <v>18</v>
      </c>
      <c r="G65" t="s">
        <v>28</v>
      </c>
      <c r="H65">
        <v>634</v>
      </c>
      <c r="I65">
        <v>50</v>
      </c>
      <c r="J65">
        <v>20</v>
      </c>
      <c r="K65" t="s">
        <v>20</v>
      </c>
      <c r="L65">
        <v>45</v>
      </c>
      <c r="M65" t="s">
        <v>21</v>
      </c>
    </row>
    <row r="66" spans="1:13" x14ac:dyDescent="0.35">
      <c r="A66" t="s">
        <v>215</v>
      </c>
      <c r="B66" t="s">
        <v>143</v>
      </c>
      <c r="C66" t="s">
        <v>216</v>
      </c>
      <c r="D66" t="s">
        <v>53</v>
      </c>
      <c r="E66" t="s">
        <v>152</v>
      </c>
      <c r="F66" t="s">
        <v>18</v>
      </c>
      <c r="G66" t="s">
        <v>107</v>
      </c>
      <c r="H66">
        <v>708</v>
      </c>
      <c r="I66">
        <v>50</v>
      </c>
      <c r="J66">
        <v>20</v>
      </c>
      <c r="K66" t="s">
        <v>36</v>
      </c>
      <c r="L66">
        <v>47</v>
      </c>
      <c r="M66" t="s">
        <v>21</v>
      </c>
    </row>
    <row r="67" spans="1:13" x14ac:dyDescent="0.35">
      <c r="A67" t="s">
        <v>217</v>
      </c>
      <c r="B67" t="s">
        <v>218</v>
      </c>
      <c r="C67" t="s">
        <v>219</v>
      </c>
      <c r="D67" t="s">
        <v>40</v>
      </c>
      <c r="E67" t="s">
        <v>67</v>
      </c>
      <c r="F67" t="s">
        <v>48</v>
      </c>
      <c r="G67" t="s">
        <v>176</v>
      </c>
      <c r="H67">
        <v>440</v>
      </c>
      <c r="I67">
        <v>50</v>
      </c>
      <c r="J67">
        <v>20</v>
      </c>
      <c r="K67" t="s">
        <v>29</v>
      </c>
      <c r="L67">
        <v>23</v>
      </c>
      <c r="M67" t="s">
        <v>21</v>
      </c>
    </row>
    <row r="68" spans="1:13" x14ac:dyDescent="0.35">
      <c r="A68" t="s">
        <v>220</v>
      </c>
      <c r="B68" t="s">
        <v>61</v>
      </c>
      <c r="C68" t="s">
        <v>221</v>
      </c>
      <c r="D68" t="s">
        <v>53</v>
      </c>
      <c r="E68" t="s">
        <v>54</v>
      </c>
      <c r="F68" t="s">
        <v>55</v>
      </c>
      <c r="G68" t="s">
        <v>63</v>
      </c>
      <c r="H68">
        <v>293</v>
      </c>
      <c r="I68">
        <v>40</v>
      </c>
      <c r="J68">
        <v>100</v>
      </c>
      <c r="K68" t="s">
        <v>20</v>
      </c>
      <c r="L68">
        <v>39</v>
      </c>
      <c r="M68" t="s">
        <v>21</v>
      </c>
    </row>
    <row r="69" spans="1:13" x14ac:dyDescent="0.35">
      <c r="A69" t="s">
        <v>222</v>
      </c>
      <c r="B69" t="s">
        <v>223</v>
      </c>
      <c r="C69" t="s">
        <v>224</v>
      </c>
      <c r="D69" t="s">
        <v>53</v>
      </c>
      <c r="E69" t="s">
        <v>54</v>
      </c>
      <c r="F69" t="s">
        <v>55</v>
      </c>
      <c r="G69" t="s">
        <v>63</v>
      </c>
      <c r="H69">
        <v>516</v>
      </c>
      <c r="I69">
        <v>40</v>
      </c>
      <c r="J69">
        <v>50</v>
      </c>
      <c r="K69" t="s">
        <v>20</v>
      </c>
      <c r="L69">
        <v>28</v>
      </c>
      <c r="M69" t="s">
        <v>21</v>
      </c>
    </row>
    <row r="70" spans="1:13" x14ac:dyDescent="0.35">
      <c r="A70" t="s">
        <v>225</v>
      </c>
      <c r="B70" t="s">
        <v>226</v>
      </c>
      <c r="C70" t="s">
        <v>227</v>
      </c>
      <c r="D70" t="s">
        <v>46</v>
      </c>
      <c r="E70" t="s">
        <v>70</v>
      </c>
      <c r="F70" t="s">
        <v>18</v>
      </c>
      <c r="G70" t="s">
        <v>49</v>
      </c>
      <c r="H70">
        <v>439</v>
      </c>
      <c r="I70">
        <v>30</v>
      </c>
      <c r="J70">
        <v>100</v>
      </c>
      <c r="K70" t="s">
        <v>20</v>
      </c>
      <c r="L70">
        <v>55</v>
      </c>
      <c r="M70" t="s">
        <v>21</v>
      </c>
    </row>
    <row r="71" spans="1:13" x14ac:dyDescent="0.35">
      <c r="A71" t="s">
        <v>228</v>
      </c>
      <c r="B71" t="s">
        <v>143</v>
      </c>
      <c r="C71" t="s">
        <v>229</v>
      </c>
      <c r="D71" t="s">
        <v>46</v>
      </c>
      <c r="E71" t="s">
        <v>47</v>
      </c>
      <c r="F71" t="s">
        <v>48</v>
      </c>
      <c r="G71" t="s">
        <v>28</v>
      </c>
      <c r="H71">
        <v>165</v>
      </c>
      <c r="I71">
        <v>50</v>
      </c>
      <c r="J71">
        <v>0</v>
      </c>
      <c r="K71" t="s">
        <v>20</v>
      </c>
      <c r="L71">
        <v>36</v>
      </c>
      <c r="M71" t="s">
        <v>21</v>
      </c>
    </row>
    <row r="72" spans="1:13" x14ac:dyDescent="0.35">
      <c r="A72" t="s">
        <v>230</v>
      </c>
      <c r="B72" t="s">
        <v>69</v>
      </c>
      <c r="C72" t="s">
        <v>231</v>
      </c>
      <c r="D72" t="s">
        <v>16</v>
      </c>
      <c r="E72" t="s">
        <v>17</v>
      </c>
      <c r="F72" t="s">
        <v>18</v>
      </c>
      <c r="G72" t="s">
        <v>49</v>
      </c>
      <c r="H72">
        <v>247</v>
      </c>
      <c r="I72">
        <v>50</v>
      </c>
      <c r="J72">
        <v>20</v>
      </c>
      <c r="K72" t="s">
        <v>20</v>
      </c>
      <c r="L72">
        <v>57</v>
      </c>
      <c r="M72" t="s">
        <v>21</v>
      </c>
    </row>
    <row r="73" spans="1:13" x14ac:dyDescent="0.35">
      <c r="A73" t="s">
        <v>232</v>
      </c>
      <c r="B73" t="s">
        <v>143</v>
      </c>
      <c r="C73" t="s">
        <v>233</v>
      </c>
      <c r="D73" t="s">
        <v>46</v>
      </c>
      <c r="E73" t="s">
        <v>47</v>
      </c>
      <c r="F73" t="s">
        <v>48</v>
      </c>
      <c r="G73" t="s">
        <v>42</v>
      </c>
      <c r="H73">
        <v>485</v>
      </c>
      <c r="I73">
        <v>20</v>
      </c>
      <c r="J73">
        <v>50</v>
      </c>
      <c r="K73" t="s">
        <v>36</v>
      </c>
      <c r="L73">
        <v>56</v>
      </c>
      <c r="M73" t="s">
        <v>21</v>
      </c>
    </row>
    <row r="74" spans="1:13" x14ac:dyDescent="0.35">
      <c r="A74" t="s">
        <v>234</v>
      </c>
      <c r="B74" t="s">
        <v>136</v>
      </c>
      <c r="C74" t="s">
        <v>235</v>
      </c>
      <c r="D74" t="s">
        <v>25</v>
      </c>
      <c r="E74" t="s">
        <v>78</v>
      </c>
      <c r="F74" t="s">
        <v>48</v>
      </c>
      <c r="G74" t="s">
        <v>49</v>
      </c>
      <c r="H74">
        <v>528</v>
      </c>
      <c r="I74">
        <v>50</v>
      </c>
      <c r="J74">
        <v>30</v>
      </c>
      <c r="K74" t="s">
        <v>29</v>
      </c>
      <c r="L74">
        <v>56</v>
      </c>
      <c r="M74" t="s">
        <v>21</v>
      </c>
    </row>
    <row r="75" spans="1:13" x14ac:dyDescent="0.35">
      <c r="A75" t="s">
        <v>236</v>
      </c>
      <c r="B75" t="s">
        <v>32</v>
      </c>
      <c r="C75" t="s">
        <v>237</v>
      </c>
      <c r="D75" t="s">
        <v>40</v>
      </c>
      <c r="E75" t="s">
        <v>111</v>
      </c>
      <c r="F75" t="s">
        <v>18</v>
      </c>
      <c r="G75" t="s">
        <v>19</v>
      </c>
      <c r="H75">
        <v>159</v>
      </c>
      <c r="I75">
        <v>40</v>
      </c>
      <c r="J75">
        <v>50</v>
      </c>
      <c r="K75" t="s">
        <v>29</v>
      </c>
      <c r="L75">
        <v>33</v>
      </c>
      <c r="M75" t="s">
        <v>21</v>
      </c>
    </row>
    <row r="76" spans="1:13" x14ac:dyDescent="0.35">
      <c r="A76" t="s">
        <v>238</v>
      </c>
      <c r="B76" t="s">
        <v>136</v>
      </c>
      <c r="C76" t="s">
        <v>239</v>
      </c>
      <c r="D76" t="s">
        <v>25</v>
      </c>
      <c r="E76" t="s">
        <v>34</v>
      </c>
      <c r="F76" t="s">
        <v>27</v>
      </c>
      <c r="G76" t="s">
        <v>59</v>
      </c>
      <c r="H76">
        <v>788</v>
      </c>
      <c r="I76">
        <v>50</v>
      </c>
      <c r="J76">
        <v>30</v>
      </c>
      <c r="K76" t="s">
        <v>20</v>
      </c>
      <c r="L76">
        <v>41</v>
      </c>
      <c r="M76" t="s">
        <v>21</v>
      </c>
    </row>
    <row r="77" spans="1:13" x14ac:dyDescent="0.35">
      <c r="A77" t="s">
        <v>240</v>
      </c>
      <c r="B77" t="s">
        <v>241</v>
      </c>
      <c r="C77" t="s">
        <v>242</v>
      </c>
      <c r="D77" t="s">
        <v>53</v>
      </c>
      <c r="E77" t="s">
        <v>84</v>
      </c>
      <c r="F77" t="s">
        <v>85</v>
      </c>
      <c r="G77" t="s">
        <v>176</v>
      </c>
      <c r="H77">
        <v>351</v>
      </c>
      <c r="I77">
        <v>40</v>
      </c>
      <c r="J77">
        <v>20</v>
      </c>
      <c r="K77" t="s">
        <v>20</v>
      </c>
      <c r="L77">
        <v>23</v>
      </c>
      <c r="M77" t="s">
        <v>21</v>
      </c>
    </row>
    <row r="78" spans="1:13" x14ac:dyDescent="0.35">
      <c r="A78" t="s">
        <v>243</v>
      </c>
      <c r="B78" t="s">
        <v>244</v>
      </c>
      <c r="C78" t="s">
        <v>245</v>
      </c>
      <c r="D78" t="s">
        <v>53</v>
      </c>
      <c r="E78" t="s">
        <v>152</v>
      </c>
      <c r="F78" t="s">
        <v>18</v>
      </c>
      <c r="G78" t="s">
        <v>107</v>
      </c>
      <c r="H78">
        <v>777</v>
      </c>
      <c r="I78">
        <v>50</v>
      </c>
      <c r="J78">
        <v>100</v>
      </c>
      <c r="K78" t="s">
        <v>29</v>
      </c>
      <c r="L78">
        <v>51</v>
      </c>
      <c r="M78" t="s">
        <v>21</v>
      </c>
    </row>
    <row r="79" spans="1:13" x14ac:dyDescent="0.35">
      <c r="A79" t="s">
        <v>246</v>
      </c>
      <c r="B79" t="s">
        <v>247</v>
      </c>
      <c r="C79" t="s">
        <v>248</v>
      </c>
      <c r="D79" t="s">
        <v>25</v>
      </c>
      <c r="E79" t="s">
        <v>26</v>
      </c>
      <c r="F79" t="s">
        <v>27</v>
      </c>
      <c r="G79" t="s">
        <v>35</v>
      </c>
      <c r="H79">
        <v>339</v>
      </c>
      <c r="I79">
        <v>20</v>
      </c>
      <c r="J79">
        <v>100</v>
      </c>
      <c r="K79" t="s">
        <v>29</v>
      </c>
      <c r="L79">
        <v>40</v>
      </c>
      <c r="M79" t="s">
        <v>21</v>
      </c>
    </row>
    <row r="80" spans="1:13" x14ac:dyDescent="0.35">
      <c r="A80" t="s">
        <v>249</v>
      </c>
      <c r="B80" t="s">
        <v>241</v>
      </c>
      <c r="C80" t="s">
        <v>250</v>
      </c>
      <c r="D80" t="s">
        <v>16</v>
      </c>
      <c r="E80" t="s">
        <v>17</v>
      </c>
      <c r="F80" t="s">
        <v>18</v>
      </c>
      <c r="G80" t="s">
        <v>74</v>
      </c>
      <c r="H80">
        <v>481</v>
      </c>
      <c r="I80">
        <v>30</v>
      </c>
      <c r="J80">
        <v>30</v>
      </c>
      <c r="K80" t="s">
        <v>29</v>
      </c>
      <c r="L80">
        <v>22</v>
      </c>
      <c r="M80" t="s">
        <v>21</v>
      </c>
    </row>
    <row r="81" spans="1:13" x14ac:dyDescent="0.35">
      <c r="A81" t="s">
        <v>251</v>
      </c>
      <c r="B81" t="s">
        <v>252</v>
      </c>
      <c r="C81" t="s">
        <v>253</v>
      </c>
      <c r="D81" t="s">
        <v>53</v>
      </c>
      <c r="E81" t="s">
        <v>84</v>
      </c>
      <c r="F81" t="s">
        <v>85</v>
      </c>
      <c r="G81" t="s">
        <v>107</v>
      </c>
      <c r="H81">
        <v>218</v>
      </c>
      <c r="I81">
        <v>20</v>
      </c>
      <c r="J81">
        <v>20</v>
      </c>
      <c r="K81" t="s">
        <v>36</v>
      </c>
      <c r="L81">
        <v>53</v>
      </c>
      <c r="M81" t="s">
        <v>21</v>
      </c>
    </row>
    <row r="82" spans="1:13" x14ac:dyDescent="0.35">
      <c r="A82" t="s">
        <v>254</v>
      </c>
      <c r="B82" t="s">
        <v>247</v>
      </c>
      <c r="C82" t="s">
        <v>255</v>
      </c>
      <c r="D82" t="s">
        <v>25</v>
      </c>
      <c r="E82" t="s">
        <v>78</v>
      </c>
      <c r="F82" t="s">
        <v>48</v>
      </c>
      <c r="G82" t="s">
        <v>176</v>
      </c>
      <c r="H82">
        <v>604</v>
      </c>
      <c r="I82">
        <v>40</v>
      </c>
      <c r="J82">
        <v>20</v>
      </c>
      <c r="K82" t="s">
        <v>20</v>
      </c>
      <c r="L82">
        <v>42</v>
      </c>
      <c r="M82" t="s">
        <v>21</v>
      </c>
    </row>
    <row r="83" spans="1:13" x14ac:dyDescent="0.35">
      <c r="A83" t="s">
        <v>256</v>
      </c>
      <c r="B83" t="s">
        <v>72</v>
      </c>
      <c r="C83" t="s">
        <v>257</v>
      </c>
      <c r="D83" t="s">
        <v>40</v>
      </c>
      <c r="E83" t="s">
        <v>41</v>
      </c>
      <c r="F83" t="s">
        <v>27</v>
      </c>
      <c r="G83" t="s">
        <v>42</v>
      </c>
      <c r="H83">
        <v>725</v>
      </c>
      <c r="I83">
        <v>40</v>
      </c>
      <c r="J83">
        <v>100</v>
      </c>
      <c r="K83" t="s">
        <v>36</v>
      </c>
      <c r="L83">
        <v>54</v>
      </c>
      <c r="M83" t="s">
        <v>21</v>
      </c>
    </row>
    <row r="84" spans="1:13" x14ac:dyDescent="0.35">
      <c r="A84" t="s">
        <v>258</v>
      </c>
      <c r="B84" t="s">
        <v>51</v>
      </c>
      <c r="C84" t="s">
        <v>259</v>
      </c>
      <c r="D84" t="s">
        <v>46</v>
      </c>
      <c r="E84" t="s">
        <v>70</v>
      </c>
      <c r="F84" t="s">
        <v>18</v>
      </c>
      <c r="G84" t="s">
        <v>63</v>
      </c>
      <c r="H84">
        <v>609</v>
      </c>
      <c r="I84">
        <v>20</v>
      </c>
      <c r="J84">
        <v>30</v>
      </c>
      <c r="K84" t="s">
        <v>36</v>
      </c>
      <c r="L84">
        <v>28</v>
      </c>
      <c r="M84" t="s">
        <v>21</v>
      </c>
    </row>
    <row r="85" spans="1:13" x14ac:dyDescent="0.35">
      <c r="A85" t="s">
        <v>260</v>
      </c>
      <c r="B85" t="s">
        <v>109</v>
      </c>
      <c r="C85" t="s">
        <v>261</v>
      </c>
      <c r="D85" t="s">
        <v>46</v>
      </c>
      <c r="E85" t="s">
        <v>47</v>
      </c>
      <c r="F85" t="s">
        <v>48</v>
      </c>
      <c r="G85" t="s">
        <v>176</v>
      </c>
      <c r="H85">
        <v>747</v>
      </c>
      <c r="I85">
        <v>50</v>
      </c>
      <c r="J85">
        <v>100</v>
      </c>
      <c r="K85" t="s">
        <v>20</v>
      </c>
      <c r="L85">
        <v>20</v>
      </c>
      <c r="M85" t="s">
        <v>21</v>
      </c>
    </row>
    <row r="86" spans="1:13" x14ac:dyDescent="0.35">
      <c r="A86" t="s">
        <v>262</v>
      </c>
      <c r="B86" t="s">
        <v>223</v>
      </c>
      <c r="C86" t="s">
        <v>263</v>
      </c>
      <c r="D86" t="s">
        <v>25</v>
      </c>
      <c r="E86" t="s">
        <v>78</v>
      </c>
      <c r="F86" t="s">
        <v>48</v>
      </c>
      <c r="G86" t="s">
        <v>42</v>
      </c>
      <c r="H86">
        <v>516</v>
      </c>
      <c r="I86">
        <v>50</v>
      </c>
      <c r="J86">
        <v>0</v>
      </c>
      <c r="K86" t="s">
        <v>36</v>
      </c>
      <c r="L86">
        <v>33</v>
      </c>
      <c r="M86" t="s">
        <v>30</v>
      </c>
    </row>
    <row r="87" spans="1:13" x14ac:dyDescent="0.35">
      <c r="A87" t="s">
        <v>264</v>
      </c>
      <c r="B87" t="s">
        <v>186</v>
      </c>
      <c r="C87" t="s">
        <v>265</v>
      </c>
      <c r="D87" t="s">
        <v>40</v>
      </c>
      <c r="E87" t="s">
        <v>41</v>
      </c>
      <c r="F87" t="s">
        <v>27</v>
      </c>
      <c r="G87" t="s">
        <v>35</v>
      </c>
      <c r="H87">
        <v>570</v>
      </c>
      <c r="I87">
        <v>20</v>
      </c>
      <c r="J87">
        <v>50</v>
      </c>
      <c r="K87" t="s">
        <v>29</v>
      </c>
      <c r="L87">
        <v>20</v>
      </c>
      <c r="M87" t="s">
        <v>21</v>
      </c>
    </row>
    <row r="88" spans="1:13" x14ac:dyDescent="0.35">
      <c r="A88" t="s">
        <v>266</v>
      </c>
      <c r="B88" t="s">
        <v>267</v>
      </c>
      <c r="C88" t="s">
        <v>235</v>
      </c>
      <c r="D88" t="s">
        <v>53</v>
      </c>
      <c r="E88" t="s">
        <v>84</v>
      </c>
      <c r="F88" t="s">
        <v>85</v>
      </c>
      <c r="G88" t="s">
        <v>63</v>
      </c>
      <c r="H88">
        <v>559</v>
      </c>
      <c r="I88">
        <v>50</v>
      </c>
      <c r="J88">
        <v>0</v>
      </c>
      <c r="K88" t="s">
        <v>36</v>
      </c>
      <c r="L88">
        <v>34</v>
      </c>
      <c r="M88" t="s">
        <v>21</v>
      </c>
    </row>
    <row r="89" spans="1:13" x14ac:dyDescent="0.35">
      <c r="A89" t="s">
        <v>268</v>
      </c>
      <c r="B89" t="s">
        <v>154</v>
      </c>
      <c r="C89" t="s">
        <v>269</v>
      </c>
      <c r="D89" t="s">
        <v>25</v>
      </c>
      <c r="E89" t="s">
        <v>78</v>
      </c>
      <c r="F89" t="s">
        <v>48</v>
      </c>
      <c r="G89" t="s">
        <v>107</v>
      </c>
      <c r="H89">
        <v>332</v>
      </c>
      <c r="I89">
        <v>40</v>
      </c>
      <c r="J89">
        <v>100</v>
      </c>
      <c r="K89" t="s">
        <v>36</v>
      </c>
      <c r="L89">
        <v>31</v>
      </c>
      <c r="M89" t="s">
        <v>30</v>
      </c>
    </row>
    <row r="90" spans="1:13" x14ac:dyDescent="0.35">
      <c r="A90" t="s">
        <v>270</v>
      </c>
      <c r="B90" t="s">
        <v>271</v>
      </c>
      <c r="C90" t="s">
        <v>257</v>
      </c>
      <c r="D90" t="s">
        <v>16</v>
      </c>
      <c r="E90" t="s">
        <v>89</v>
      </c>
      <c r="F90" t="s">
        <v>18</v>
      </c>
      <c r="G90" t="s">
        <v>176</v>
      </c>
      <c r="H90">
        <v>243</v>
      </c>
      <c r="I90">
        <v>40</v>
      </c>
      <c r="J90">
        <v>30</v>
      </c>
      <c r="K90" t="s">
        <v>29</v>
      </c>
      <c r="L90">
        <v>35</v>
      </c>
      <c r="M90" t="s">
        <v>21</v>
      </c>
    </row>
    <row r="91" spans="1:13" x14ac:dyDescent="0.35">
      <c r="A91" t="s">
        <v>272</v>
      </c>
      <c r="B91" t="s">
        <v>273</v>
      </c>
      <c r="C91" t="s">
        <v>274</v>
      </c>
      <c r="D91" t="s">
        <v>25</v>
      </c>
      <c r="E91" t="s">
        <v>78</v>
      </c>
      <c r="F91" t="s">
        <v>48</v>
      </c>
      <c r="G91" t="s">
        <v>63</v>
      </c>
      <c r="H91">
        <v>440</v>
      </c>
      <c r="I91">
        <v>50</v>
      </c>
      <c r="J91">
        <v>30</v>
      </c>
      <c r="K91" t="s">
        <v>29</v>
      </c>
      <c r="L91">
        <v>51</v>
      </c>
      <c r="M91" t="s">
        <v>21</v>
      </c>
    </row>
    <row r="92" spans="1:13" x14ac:dyDescent="0.35">
      <c r="A92" t="s">
        <v>275</v>
      </c>
      <c r="B92" t="s">
        <v>205</v>
      </c>
      <c r="C92" t="s">
        <v>276</v>
      </c>
      <c r="D92" t="s">
        <v>53</v>
      </c>
      <c r="E92" t="s">
        <v>54</v>
      </c>
      <c r="F92" t="s">
        <v>55</v>
      </c>
      <c r="G92" t="s">
        <v>176</v>
      </c>
      <c r="H92">
        <v>549</v>
      </c>
      <c r="I92">
        <v>40</v>
      </c>
      <c r="J92">
        <v>50</v>
      </c>
      <c r="K92" t="s">
        <v>29</v>
      </c>
      <c r="L92">
        <v>54</v>
      </c>
      <c r="M92" t="s">
        <v>21</v>
      </c>
    </row>
    <row r="93" spans="1:13" x14ac:dyDescent="0.35">
      <c r="A93" t="s">
        <v>277</v>
      </c>
      <c r="B93" t="s">
        <v>178</v>
      </c>
      <c r="C93" t="s">
        <v>278</v>
      </c>
      <c r="D93" t="s">
        <v>40</v>
      </c>
      <c r="E93" t="s">
        <v>67</v>
      </c>
      <c r="F93" t="s">
        <v>48</v>
      </c>
      <c r="G93" t="s">
        <v>74</v>
      </c>
      <c r="H93">
        <v>326</v>
      </c>
      <c r="I93">
        <v>30</v>
      </c>
      <c r="J93">
        <v>20</v>
      </c>
      <c r="K93" t="s">
        <v>29</v>
      </c>
      <c r="L93">
        <v>52</v>
      </c>
      <c r="M93" t="s">
        <v>21</v>
      </c>
    </row>
    <row r="94" spans="1:13" x14ac:dyDescent="0.35">
      <c r="A94" t="s">
        <v>279</v>
      </c>
      <c r="B94" t="s">
        <v>280</v>
      </c>
      <c r="C94" t="s">
        <v>137</v>
      </c>
      <c r="D94" t="s">
        <v>25</v>
      </c>
      <c r="E94" t="s">
        <v>26</v>
      </c>
      <c r="F94" t="s">
        <v>27</v>
      </c>
      <c r="G94" t="s">
        <v>19</v>
      </c>
      <c r="H94">
        <v>721</v>
      </c>
      <c r="I94">
        <v>40</v>
      </c>
      <c r="J94">
        <v>0</v>
      </c>
      <c r="K94" t="s">
        <v>36</v>
      </c>
      <c r="L94">
        <v>24</v>
      </c>
      <c r="M94" t="s">
        <v>21</v>
      </c>
    </row>
    <row r="95" spans="1:13" x14ac:dyDescent="0.35">
      <c r="A95" t="s">
        <v>281</v>
      </c>
      <c r="B95" t="s">
        <v>273</v>
      </c>
      <c r="C95" t="s">
        <v>184</v>
      </c>
      <c r="D95" t="s">
        <v>53</v>
      </c>
      <c r="E95" t="s">
        <v>152</v>
      </c>
      <c r="F95" t="s">
        <v>18</v>
      </c>
      <c r="G95" t="s">
        <v>74</v>
      </c>
      <c r="H95">
        <v>370</v>
      </c>
      <c r="I95">
        <v>40</v>
      </c>
      <c r="J95">
        <v>0</v>
      </c>
      <c r="K95" t="s">
        <v>20</v>
      </c>
      <c r="L95">
        <v>38</v>
      </c>
      <c r="M95" t="s">
        <v>21</v>
      </c>
    </row>
    <row r="96" spans="1:13" x14ac:dyDescent="0.35">
      <c r="A96" t="s">
        <v>282</v>
      </c>
      <c r="B96" t="s">
        <v>14</v>
      </c>
      <c r="C96" t="s">
        <v>283</v>
      </c>
      <c r="D96" t="s">
        <v>53</v>
      </c>
      <c r="E96" t="s">
        <v>152</v>
      </c>
      <c r="F96" t="s">
        <v>18</v>
      </c>
      <c r="G96" t="s">
        <v>74</v>
      </c>
      <c r="H96">
        <v>581</v>
      </c>
      <c r="I96">
        <v>40</v>
      </c>
      <c r="J96">
        <v>20</v>
      </c>
      <c r="K96" t="s">
        <v>20</v>
      </c>
      <c r="L96">
        <v>47</v>
      </c>
      <c r="M96" t="s">
        <v>21</v>
      </c>
    </row>
    <row r="97" spans="1:13" x14ac:dyDescent="0.35">
      <c r="A97" t="s">
        <v>284</v>
      </c>
      <c r="B97" t="s">
        <v>154</v>
      </c>
      <c r="C97" t="s">
        <v>94</v>
      </c>
      <c r="D97" t="s">
        <v>53</v>
      </c>
      <c r="E97" t="s">
        <v>84</v>
      </c>
      <c r="F97" t="s">
        <v>85</v>
      </c>
      <c r="G97" t="s">
        <v>19</v>
      </c>
      <c r="H97">
        <v>648</v>
      </c>
      <c r="I97">
        <v>30</v>
      </c>
      <c r="J97">
        <v>0</v>
      </c>
      <c r="K97" t="s">
        <v>20</v>
      </c>
      <c r="L97">
        <v>34</v>
      </c>
      <c r="M97" t="s">
        <v>21</v>
      </c>
    </row>
    <row r="98" spans="1:13" x14ac:dyDescent="0.35">
      <c r="A98" t="s">
        <v>285</v>
      </c>
      <c r="B98" t="s">
        <v>286</v>
      </c>
      <c r="C98" t="s">
        <v>287</v>
      </c>
      <c r="D98" t="s">
        <v>16</v>
      </c>
      <c r="E98" t="s">
        <v>17</v>
      </c>
      <c r="F98" t="s">
        <v>18</v>
      </c>
      <c r="G98" t="s">
        <v>49</v>
      </c>
      <c r="H98">
        <v>575</v>
      </c>
      <c r="I98">
        <v>50</v>
      </c>
      <c r="J98">
        <v>20</v>
      </c>
      <c r="K98" t="s">
        <v>29</v>
      </c>
      <c r="L98">
        <v>50</v>
      </c>
      <c r="M98" t="s">
        <v>21</v>
      </c>
    </row>
    <row r="99" spans="1:13" x14ac:dyDescent="0.35">
      <c r="A99" t="s">
        <v>288</v>
      </c>
      <c r="B99" t="s">
        <v>51</v>
      </c>
      <c r="C99" t="s">
        <v>289</v>
      </c>
      <c r="D99" t="s">
        <v>16</v>
      </c>
      <c r="E99" t="s">
        <v>17</v>
      </c>
      <c r="F99" t="s">
        <v>18</v>
      </c>
      <c r="G99" t="s">
        <v>63</v>
      </c>
      <c r="H99">
        <v>409</v>
      </c>
      <c r="I99">
        <v>40</v>
      </c>
      <c r="J99">
        <v>30</v>
      </c>
      <c r="K99" t="s">
        <v>20</v>
      </c>
      <c r="L99">
        <v>37</v>
      </c>
      <c r="M99" t="s">
        <v>21</v>
      </c>
    </row>
    <row r="100" spans="1:13" x14ac:dyDescent="0.35">
      <c r="A100" t="s">
        <v>290</v>
      </c>
      <c r="B100" t="s">
        <v>291</v>
      </c>
      <c r="C100" t="s">
        <v>292</v>
      </c>
      <c r="D100" t="s">
        <v>46</v>
      </c>
      <c r="E100" t="s">
        <v>47</v>
      </c>
      <c r="F100" t="s">
        <v>48</v>
      </c>
      <c r="G100" t="s">
        <v>59</v>
      </c>
      <c r="H100">
        <v>799</v>
      </c>
      <c r="I100">
        <v>40</v>
      </c>
      <c r="J100">
        <v>100</v>
      </c>
      <c r="K100" t="s">
        <v>29</v>
      </c>
      <c r="L100">
        <v>46</v>
      </c>
      <c r="M100" t="s">
        <v>21</v>
      </c>
    </row>
    <row r="101" spans="1:13" x14ac:dyDescent="0.35">
      <c r="A101" t="s">
        <v>293</v>
      </c>
      <c r="B101" t="s">
        <v>105</v>
      </c>
      <c r="C101" t="s">
        <v>116</v>
      </c>
      <c r="D101" t="s">
        <v>25</v>
      </c>
      <c r="E101" t="s">
        <v>26</v>
      </c>
      <c r="F101" t="s">
        <v>27</v>
      </c>
      <c r="G101" t="s">
        <v>42</v>
      </c>
      <c r="H101">
        <v>509</v>
      </c>
      <c r="I101">
        <v>30</v>
      </c>
      <c r="J101">
        <v>20</v>
      </c>
      <c r="K101" t="s">
        <v>36</v>
      </c>
      <c r="L101">
        <v>22</v>
      </c>
      <c r="M101" t="s">
        <v>30</v>
      </c>
    </row>
    <row r="102" spans="1:13" x14ac:dyDescent="0.35">
      <c r="A102" t="s">
        <v>294</v>
      </c>
      <c r="B102" t="s">
        <v>295</v>
      </c>
      <c r="C102" t="s">
        <v>242</v>
      </c>
      <c r="D102" t="s">
        <v>53</v>
      </c>
      <c r="E102" t="s">
        <v>152</v>
      </c>
      <c r="F102" t="s">
        <v>18</v>
      </c>
      <c r="G102" t="s">
        <v>28</v>
      </c>
      <c r="H102">
        <v>454</v>
      </c>
      <c r="I102">
        <v>20</v>
      </c>
      <c r="J102">
        <v>50</v>
      </c>
      <c r="K102" t="s">
        <v>29</v>
      </c>
      <c r="L102">
        <v>23</v>
      </c>
      <c r="M102" t="s">
        <v>21</v>
      </c>
    </row>
    <row r="103" spans="1:13" x14ac:dyDescent="0.35">
      <c r="A103" t="s">
        <v>296</v>
      </c>
      <c r="B103" t="s">
        <v>297</v>
      </c>
      <c r="C103" t="s">
        <v>298</v>
      </c>
      <c r="D103" t="s">
        <v>25</v>
      </c>
      <c r="E103" t="s">
        <v>78</v>
      </c>
      <c r="F103" t="s">
        <v>48</v>
      </c>
      <c r="G103" t="s">
        <v>176</v>
      </c>
      <c r="H103">
        <v>394</v>
      </c>
      <c r="I103">
        <v>20</v>
      </c>
      <c r="J103">
        <v>50</v>
      </c>
      <c r="K103" t="s">
        <v>20</v>
      </c>
      <c r="L103">
        <v>41</v>
      </c>
      <c r="M103" t="s">
        <v>21</v>
      </c>
    </row>
    <row r="104" spans="1:13" x14ac:dyDescent="0.35">
      <c r="A104" t="s">
        <v>299</v>
      </c>
      <c r="B104" t="s">
        <v>300</v>
      </c>
      <c r="C104" t="s">
        <v>301</v>
      </c>
      <c r="D104" t="s">
        <v>25</v>
      </c>
      <c r="E104" t="s">
        <v>26</v>
      </c>
      <c r="F104" t="s">
        <v>27</v>
      </c>
      <c r="G104" t="s">
        <v>42</v>
      </c>
      <c r="H104">
        <v>460</v>
      </c>
      <c r="I104">
        <v>20</v>
      </c>
      <c r="J104">
        <v>30</v>
      </c>
      <c r="K104" t="s">
        <v>36</v>
      </c>
      <c r="L104">
        <v>23</v>
      </c>
      <c r="M104" t="s">
        <v>21</v>
      </c>
    </row>
    <row r="105" spans="1:13" x14ac:dyDescent="0.35">
      <c r="A105" t="s">
        <v>302</v>
      </c>
      <c r="B105" t="s">
        <v>286</v>
      </c>
      <c r="C105" t="s">
        <v>303</v>
      </c>
      <c r="D105" t="s">
        <v>16</v>
      </c>
      <c r="E105" t="s">
        <v>131</v>
      </c>
      <c r="F105" t="s">
        <v>55</v>
      </c>
      <c r="G105" t="s">
        <v>74</v>
      </c>
      <c r="H105">
        <v>167</v>
      </c>
      <c r="I105">
        <v>40</v>
      </c>
      <c r="J105">
        <v>20</v>
      </c>
      <c r="K105" t="s">
        <v>20</v>
      </c>
      <c r="L105">
        <v>40</v>
      </c>
      <c r="M105" t="s">
        <v>21</v>
      </c>
    </row>
    <row r="106" spans="1:13" x14ac:dyDescent="0.35">
      <c r="A106" t="s">
        <v>304</v>
      </c>
      <c r="B106" t="s">
        <v>305</v>
      </c>
      <c r="C106" t="s">
        <v>119</v>
      </c>
      <c r="D106" t="s">
        <v>25</v>
      </c>
      <c r="E106" t="s">
        <v>34</v>
      </c>
      <c r="F106" t="s">
        <v>27</v>
      </c>
      <c r="G106" t="s">
        <v>63</v>
      </c>
      <c r="H106">
        <v>730</v>
      </c>
      <c r="I106">
        <v>40</v>
      </c>
      <c r="J106">
        <v>30</v>
      </c>
      <c r="K106" t="s">
        <v>20</v>
      </c>
      <c r="L106">
        <v>53</v>
      </c>
      <c r="M106" t="s">
        <v>21</v>
      </c>
    </row>
    <row r="107" spans="1:13" x14ac:dyDescent="0.35">
      <c r="A107" t="s">
        <v>306</v>
      </c>
      <c r="B107" t="s">
        <v>38</v>
      </c>
      <c r="C107" t="s">
        <v>307</v>
      </c>
      <c r="D107" t="s">
        <v>46</v>
      </c>
      <c r="E107" t="s">
        <v>47</v>
      </c>
      <c r="F107" t="s">
        <v>48</v>
      </c>
      <c r="G107" t="s">
        <v>28</v>
      </c>
      <c r="H107">
        <v>374</v>
      </c>
      <c r="I107">
        <v>30</v>
      </c>
      <c r="J107">
        <v>50</v>
      </c>
      <c r="K107" t="s">
        <v>20</v>
      </c>
      <c r="L107">
        <v>28</v>
      </c>
      <c r="M107" t="s">
        <v>21</v>
      </c>
    </row>
    <row r="108" spans="1:13" x14ac:dyDescent="0.35">
      <c r="A108" t="s">
        <v>308</v>
      </c>
      <c r="B108" t="s">
        <v>23</v>
      </c>
      <c r="C108" t="s">
        <v>237</v>
      </c>
      <c r="D108" t="s">
        <v>16</v>
      </c>
      <c r="E108" t="s">
        <v>17</v>
      </c>
      <c r="F108" t="s">
        <v>18</v>
      </c>
      <c r="G108" t="s">
        <v>28</v>
      </c>
      <c r="H108">
        <v>316</v>
      </c>
      <c r="I108">
        <v>30</v>
      </c>
      <c r="J108">
        <v>30</v>
      </c>
      <c r="K108" t="s">
        <v>29</v>
      </c>
      <c r="L108">
        <v>42</v>
      </c>
      <c r="M108" t="s">
        <v>21</v>
      </c>
    </row>
    <row r="109" spans="1:13" x14ac:dyDescent="0.35">
      <c r="A109" t="s">
        <v>309</v>
      </c>
      <c r="B109" t="s">
        <v>310</v>
      </c>
      <c r="C109" t="s">
        <v>311</v>
      </c>
      <c r="D109" t="s">
        <v>46</v>
      </c>
      <c r="E109" t="s">
        <v>70</v>
      </c>
      <c r="F109" t="s">
        <v>18</v>
      </c>
      <c r="G109" t="s">
        <v>176</v>
      </c>
      <c r="H109">
        <v>428</v>
      </c>
      <c r="I109">
        <v>50</v>
      </c>
      <c r="J109">
        <v>0</v>
      </c>
      <c r="K109" t="s">
        <v>36</v>
      </c>
      <c r="L109">
        <v>28</v>
      </c>
      <c r="M109" t="s">
        <v>21</v>
      </c>
    </row>
    <row r="110" spans="1:13" x14ac:dyDescent="0.35">
      <c r="A110" t="s">
        <v>312</v>
      </c>
      <c r="B110" t="s">
        <v>267</v>
      </c>
      <c r="C110" t="s">
        <v>313</v>
      </c>
      <c r="D110" t="s">
        <v>40</v>
      </c>
      <c r="E110" t="s">
        <v>111</v>
      </c>
      <c r="F110" t="s">
        <v>18</v>
      </c>
      <c r="G110" t="s">
        <v>35</v>
      </c>
      <c r="H110">
        <v>357</v>
      </c>
      <c r="I110">
        <v>20</v>
      </c>
      <c r="J110">
        <v>0</v>
      </c>
      <c r="K110" t="s">
        <v>20</v>
      </c>
      <c r="L110">
        <v>24</v>
      </c>
      <c r="M110" t="s">
        <v>21</v>
      </c>
    </row>
    <row r="111" spans="1:13" x14ac:dyDescent="0.35">
      <c r="A111" t="s">
        <v>314</v>
      </c>
      <c r="B111" t="s">
        <v>186</v>
      </c>
      <c r="C111" t="s">
        <v>315</v>
      </c>
      <c r="D111" t="s">
        <v>46</v>
      </c>
      <c r="E111" t="s">
        <v>148</v>
      </c>
      <c r="F111" t="s">
        <v>27</v>
      </c>
      <c r="G111" t="s">
        <v>35</v>
      </c>
      <c r="H111">
        <v>380</v>
      </c>
      <c r="I111">
        <v>50</v>
      </c>
      <c r="J111">
        <v>0</v>
      </c>
      <c r="K111" t="s">
        <v>20</v>
      </c>
      <c r="L111">
        <v>32</v>
      </c>
      <c r="M111" t="s">
        <v>21</v>
      </c>
    </row>
    <row r="112" spans="1:13" x14ac:dyDescent="0.35">
      <c r="A112" t="s">
        <v>316</v>
      </c>
      <c r="B112" t="s">
        <v>252</v>
      </c>
      <c r="C112" t="s">
        <v>317</v>
      </c>
      <c r="D112" t="s">
        <v>16</v>
      </c>
      <c r="E112" t="s">
        <v>131</v>
      </c>
      <c r="F112" t="s">
        <v>55</v>
      </c>
      <c r="G112" t="s">
        <v>107</v>
      </c>
      <c r="H112">
        <v>447</v>
      </c>
      <c r="I112">
        <v>40</v>
      </c>
      <c r="J112">
        <v>50</v>
      </c>
      <c r="K112" t="s">
        <v>20</v>
      </c>
      <c r="L112">
        <v>33</v>
      </c>
      <c r="M112" t="s">
        <v>21</v>
      </c>
    </row>
    <row r="113" spans="1:13" x14ac:dyDescent="0.35">
      <c r="A113" t="s">
        <v>318</v>
      </c>
      <c r="B113" t="s">
        <v>310</v>
      </c>
      <c r="C113" t="s">
        <v>298</v>
      </c>
      <c r="D113" t="s">
        <v>25</v>
      </c>
      <c r="E113" t="s">
        <v>78</v>
      </c>
      <c r="F113" t="s">
        <v>48</v>
      </c>
      <c r="G113" t="s">
        <v>35</v>
      </c>
      <c r="H113">
        <v>477</v>
      </c>
      <c r="I113">
        <v>30</v>
      </c>
      <c r="J113">
        <v>50</v>
      </c>
      <c r="K113" t="s">
        <v>20</v>
      </c>
      <c r="L113">
        <v>34</v>
      </c>
      <c r="M113" t="s">
        <v>21</v>
      </c>
    </row>
    <row r="114" spans="1:13" x14ac:dyDescent="0.35">
      <c r="A114" t="s">
        <v>319</v>
      </c>
      <c r="B114" t="s">
        <v>267</v>
      </c>
      <c r="C114" t="s">
        <v>320</v>
      </c>
      <c r="D114" t="s">
        <v>53</v>
      </c>
      <c r="E114" t="s">
        <v>84</v>
      </c>
      <c r="F114" t="s">
        <v>85</v>
      </c>
      <c r="G114" t="s">
        <v>49</v>
      </c>
      <c r="H114">
        <v>202</v>
      </c>
      <c r="I114">
        <v>30</v>
      </c>
      <c r="J114">
        <v>30</v>
      </c>
      <c r="K114" t="s">
        <v>36</v>
      </c>
      <c r="L114">
        <v>27</v>
      </c>
      <c r="M114" t="s">
        <v>21</v>
      </c>
    </row>
    <row r="115" spans="1:13" x14ac:dyDescent="0.35">
      <c r="A115" t="s">
        <v>321</v>
      </c>
      <c r="B115" t="s">
        <v>322</v>
      </c>
      <c r="C115" t="s">
        <v>323</v>
      </c>
      <c r="D115" t="s">
        <v>16</v>
      </c>
      <c r="E115" t="s">
        <v>89</v>
      </c>
      <c r="F115" t="s">
        <v>18</v>
      </c>
      <c r="G115" t="s">
        <v>107</v>
      </c>
      <c r="H115">
        <v>770</v>
      </c>
      <c r="I115">
        <v>40</v>
      </c>
      <c r="J115">
        <v>20</v>
      </c>
      <c r="K115" t="s">
        <v>20</v>
      </c>
      <c r="L115">
        <v>27</v>
      </c>
      <c r="M115" t="s">
        <v>30</v>
      </c>
    </row>
    <row r="116" spans="1:13" x14ac:dyDescent="0.35">
      <c r="A116" t="s">
        <v>324</v>
      </c>
      <c r="B116" t="s">
        <v>118</v>
      </c>
      <c r="C116" t="s">
        <v>175</v>
      </c>
      <c r="D116" t="s">
        <v>16</v>
      </c>
      <c r="E116" t="s">
        <v>131</v>
      </c>
      <c r="F116" t="s">
        <v>55</v>
      </c>
      <c r="G116" t="s">
        <v>176</v>
      </c>
      <c r="H116">
        <v>252</v>
      </c>
      <c r="I116">
        <v>20</v>
      </c>
      <c r="J116">
        <v>30</v>
      </c>
      <c r="K116" t="s">
        <v>20</v>
      </c>
      <c r="L116">
        <v>34</v>
      </c>
      <c r="M116" t="s">
        <v>21</v>
      </c>
    </row>
    <row r="117" spans="1:13" x14ac:dyDescent="0.35">
      <c r="A117" t="s">
        <v>325</v>
      </c>
      <c r="B117" t="s">
        <v>326</v>
      </c>
      <c r="C117" t="s">
        <v>327</v>
      </c>
      <c r="D117" t="s">
        <v>40</v>
      </c>
      <c r="E117" t="s">
        <v>111</v>
      </c>
      <c r="F117" t="s">
        <v>18</v>
      </c>
      <c r="G117" t="s">
        <v>74</v>
      </c>
      <c r="H117">
        <v>360</v>
      </c>
      <c r="I117">
        <v>40</v>
      </c>
      <c r="J117">
        <v>100</v>
      </c>
      <c r="K117" t="s">
        <v>20</v>
      </c>
      <c r="L117">
        <v>30</v>
      </c>
      <c r="M117" t="s">
        <v>21</v>
      </c>
    </row>
    <row r="118" spans="1:13" x14ac:dyDescent="0.35">
      <c r="A118" t="s">
        <v>328</v>
      </c>
      <c r="B118" t="s">
        <v>329</v>
      </c>
      <c r="C118" t="s">
        <v>330</v>
      </c>
      <c r="D118" t="s">
        <v>16</v>
      </c>
      <c r="E118" t="s">
        <v>17</v>
      </c>
      <c r="F118" t="s">
        <v>18</v>
      </c>
      <c r="G118" t="s">
        <v>74</v>
      </c>
      <c r="H118">
        <v>545</v>
      </c>
      <c r="I118">
        <v>40</v>
      </c>
      <c r="J118">
        <v>100</v>
      </c>
      <c r="K118" t="s">
        <v>36</v>
      </c>
      <c r="L118">
        <v>51</v>
      </c>
      <c r="M118" t="s">
        <v>21</v>
      </c>
    </row>
    <row r="119" spans="1:13" x14ac:dyDescent="0.35">
      <c r="A119" t="s">
        <v>331</v>
      </c>
      <c r="B119" t="s">
        <v>213</v>
      </c>
      <c r="C119" t="s">
        <v>332</v>
      </c>
      <c r="D119" t="s">
        <v>25</v>
      </c>
      <c r="E119" t="s">
        <v>78</v>
      </c>
      <c r="F119" t="s">
        <v>48</v>
      </c>
      <c r="G119" t="s">
        <v>42</v>
      </c>
      <c r="H119">
        <v>427</v>
      </c>
      <c r="I119">
        <v>20</v>
      </c>
      <c r="J119">
        <v>30</v>
      </c>
      <c r="K119" t="s">
        <v>36</v>
      </c>
      <c r="L119">
        <v>37</v>
      </c>
      <c r="M119" t="s">
        <v>21</v>
      </c>
    </row>
    <row r="120" spans="1:13" x14ac:dyDescent="0.35">
      <c r="A120" t="s">
        <v>333</v>
      </c>
      <c r="B120" t="s">
        <v>241</v>
      </c>
      <c r="C120" t="s">
        <v>334</v>
      </c>
      <c r="D120" t="s">
        <v>40</v>
      </c>
      <c r="E120" t="s">
        <v>67</v>
      </c>
      <c r="F120" t="s">
        <v>48</v>
      </c>
      <c r="G120" t="s">
        <v>74</v>
      </c>
      <c r="H120">
        <v>166</v>
      </c>
      <c r="I120">
        <v>20</v>
      </c>
      <c r="J120">
        <v>50</v>
      </c>
      <c r="K120" t="s">
        <v>20</v>
      </c>
      <c r="L120">
        <v>31</v>
      </c>
      <c r="M120" t="s">
        <v>21</v>
      </c>
    </row>
    <row r="121" spans="1:13" x14ac:dyDescent="0.35">
      <c r="A121" t="s">
        <v>335</v>
      </c>
      <c r="B121" t="s">
        <v>336</v>
      </c>
      <c r="C121" t="s">
        <v>337</v>
      </c>
      <c r="D121" t="s">
        <v>53</v>
      </c>
      <c r="E121" t="s">
        <v>84</v>
      </c>
      <c r="F121" t="s">
        <v>85</v>
      </c>
      <c r="G121" t="s">
        <v>74</v>
      </c>
      <c r="H121">
        <v>326</v>
      </c>
      <c r="I121">
        <v>40</v>
      </c>
      <c r="J121">
        <v>100</v>
      </c>
      <c r="K121" t="s">
        <v>29</v>
      </c>
      <c r="L121">
        <v>25</v>
      </c>
      <c r="M121" t="s">
        <v>21</v>
      </c>
    </row>
    <row r="122" spans="1:13" x14ac:dyDescent="0.35">
      <c r="A122" t="s">
        <v>338</v>
      </c>
      <c r="B122" t="s">
        <v>339</v>
      </c>
      <c r="C122" t="s">
        <v>340</v>
      </c>
      <c r="D122" t="s">
        <v>25</v>
      </c>
      <c r="E122" t="s">
        <v>78</v>
      </c>
      <c r="F122" t="s">
        <v>48</v>
      </c>
      <c r="G122" t="s">
        <v>176</v>
      </c>
      <c r="H122">
        <v>523</v>
      </c>
      <c r="I122">
        <v>50</v>
      </c>
      <c r="J122">
        <v>0</v>
      </c>
      <c r="K122" t="s">
        <v>29</v>
      </c>
      <c r="L122">
        <v>37</v>
      </c>
      <c r="M122" t="s">
        <v>21</v>
      </c>
    </row>
    <row r="123" spans="1:13" x14ac:dyDescent="0.35">
      <c r="A123" t="s">
        <v>341</v>
      </c>
      <c r="B123" t="s">
        <v>342</v>
      </c>
      <c r="C123" t="s">
        <v>343</v>
      </c>
      <c r="D123" t="s">
        <v>46</v>
      </c>
      <c r="E123" t="s">
        <v>70</v>
      </c>
      <c r="F123" t="s">
        <v>18</v>
      </c>
      <c r="G123" t="s">
        <v>19</v>
      </c>
      <c r="H123">
        <v>208</v>
      </c>
      <c r="I123">
        <v>30</v>
      </c>
      <c r="J123">
        <v>50</v>
      </c>
      <c r="K123" t="s">
        <v>36</v>
      </c>
      <c r="L123">
        <v>25</v>
      </c>
      <c r="M123" t="s">
        <v>21</v>
      </c>
    </row>
    <row r="124" spans="1:13" x14ac:dyDescent="0.35">
      <c r="A124" t="s">
        <v>344</v>
      </c>
      <c r="B124" t="s">
        <v>129</v>
      </c>
      <c r="C124" t="s">
        <v>345</v>
      </c>
      <c r="D124" t="s">
        <v>25</v>
      </c>
      <c r="E124" t="s">
        <v>34</v>
      </c>
      <c r="F124" t="s">
        <v>27</v>
      </c>
      <c r="G124" t="s">
        <v>35</v>
      </c>
      <c r="H124">
        <v>177</v>
      </c>
      <c r="I124">
        <v>50</v>
      </c>
      <c r="J124">
        <v>20</v>
      </c>
      <c r="K124" t="s">
        <v>20</v>
      </c>
      <c r="L124">
        <v>54</v>
      </c>
      <c r="M124" t="s">
        <v>21</v>
      </c>
    </row>
    <row r="125" spans="1:13" x14ac:dyDescent="0.35">
      <c r="A125" t="s">
        <v>346</v>
      </c>
      <c r="B125" t="s">
        <v>44</v>
      </c>
      <c r="C125" t="s">
        <v>347</v>
      </c>
      <c r="D125" t="s">
        <v>16</v>
      </c>
      <c r="E125" t="s">
        <v>131</v>
      </c>
      <c r="F125" t="s">
        <v>55</v>
      </c>
      <c r="G125" t="s">
        <v>176</v>
      </c>
      <c r="H125">
        <v>380</v>
      </c>
      <c r="I125">
        <v>50</v>
      </c>
      <c r="J125">
        <v>30</v>
      </c>
      <c r="K125" t="s">
        <v>29</v>
      </c>
      <c r="L125">
        <v>54</v>
      </c>
      <c r="M125" t="s">
        <v>21</v>
      </c>
    </row>
    <row r="126" spans="1:13" x14ac:dyDescent="0.35">
      <c r="A126" t="s">
        <v>348</v>
      </c>
      <c r="B126" t="s">
        <v>297</v>
      </c>
      <c r="C126" t="s">
        <v>349</v>
      </c>
      <c r="D126" t="s">
        <v>40</v>
      </c>
      <c r="E126" t="s">
        <v>67</v>
      </c>
      <c r="F126" t="s">
        <v>48</v>
      </c>
      <c r="G126" t="s">
        <v>19</v>
      </c>
      <c r="H126">
        <v>732</v>
      </c>
      <c r="I126">
        <v>40</v>
      </c>
      <c r="J126">
        <v>50</v>
      </c>
      <c r="K126" t="s">
        <v>20</v>
      </c>
      <c r="L126">
        <v>40</v>
      </c>
      <c r="M126" t="s">
        <v>21</v>
      </c>
    </row>
    <row r="127" spans="1:13" x14ac:dyDescent="0.35">
      <c r="A127" t="s">
        <v>350</v>
      </c>
      <c r="B127" t="s">
        <v>342</v>
      </c>
      <c r="C127" t="s">
        <v>351</v>
      </c>
      <c r="D127" t="s">
        <v>53</v>
      </c>
      <c r="E127" t="s">
        <v>152</v>
      </c>
      <c r="F127" t="s">
        <v>18</v>
      </c>
      <c r="G127" t="s">
        <v>49</v>
      </c>
      <c r="H127">
        <v>428</v>
      </c>
      <c r="I127">
        <v>40</v>
      </c>
      <c r="J127">
        <v>0</v>
      </c>
      <c r="K127" t="s">
        <v>20</v>
      </c>
      <c r="L127">
        <v>36</v>
      </c>
      <c r="M127" t="s">
        <v>21</v>
      </c>
    </row>
    <row r="128" spans="1:13" x14ac:dyDescent="0.35">
      <c r="A128" t="s">
        <v>352</v>
      </c>
      <c r="B128" t="s">
        <v>192</v>
      </c>
      <c r="C128" t="s">
        <v>353</v>
      </c>
      <c r="D128" t="s">
        <v>40</v>
      </c>
      <c r="E128" t="s">
        <v>67</v>
      </c>
      <c r="F128" t="s">
        <v>48</v>
      </c>
      <c r="G128" t="s">
        <v>107</v>
      </c>
      <c r="H128">
        <v>250</v>
      </c>
      <c r="I128">
        <v>20</v>
      </c>
      <c r="J128">
        <v>20</v>
      </c>
      <c r="K128" t="s">
        <v>29</v>
      </c>
      <c r="L128">
        <v>53</v>
      </c>
      <c r="M128" t="s">
        <v>21</v>
      </c>
    </row>
    <row r="129" spans="1:13" x14ac:dyDescent="0.35">
      <c r="A129" t="s">
        <v>354</v>
      </c>
      <c r="B129" t="s">
        <v>342</v>
      </c>
      <c r="C129" t="s">
        <v>355</v>
      </c>
      <c r="D129" t="s">
        <v>53</v>
      </c>
      <c r="E129" t="s">
        <v>54</v>
      </c>
      <c r="F129" t="s">
        <v>55</v>
      </c>
      <c r="G129" t="s">
        <v>28</v>
      </c>
      <c r="H129">
        <v>798</v>
      </c>
      <c r="I129">
        <v>20</v>
      </c>
      <c r="J129">
        <v>100</v>
      </c>
      <c r="K129" t="s">
        <v>20</v>
      </c>
      <c r="L129">
        <v>57</v>
      </c>
      <c r="M129" t="s">
        <v>21</v>
      </c>
    </row>
    <row r="130" spans="1:13" x14ac:dyDescent="0.35">
      <c r="A130" t="s">
        <v>356</v>
      </c>
      <c r="B130" t="s">
        <v>329</v>
      </c>
      <c r="C130" t="s">
        <v>357</v>
      </c>
      <c r="D130" t="s">
        <v>16</v>
      </c>
      <c r="E130" t="s">
        <v>89</v>
      </c>
      <c r="F130" t="s">
        <v>18</v>
      </c>
      <c r="G130" t="s">
        <v>63</v>
      </c>
      <c r="H130">
        <v>646</v>
      </c>
      <c r="I130">
        <v>50</v>
      </c>
      <c r="J130">
        <v>30</v>
      </c>
      <c r="K130" t="s">
        <v>29</v>
      </c>
      <c r="L130">
        <v>35</v>
      </c>
      <c r="M130" t="s">
        <v>21</v>
      </c>
    </row>
    <row r="131" spans="1:13" x14ac:dyDescent="0.35">
      <c r="A131" t="s">
        <v>358</v>
      </c>
      <c r="B131" t="s">
        <v>223</v>
      </c>
      <c r="C131" t="s">
        <v>359</v>
      </c>
      <c r="D131" t="s">
        <v>46</v>
      </c>
      <c r="E131" t="s">
        <v>70</v>
      </c>
      <c r="F131" t="s">
        <v>18</v>
      </c>
      <c r="G131" t="s">
        <v>42</v>
      </c>
      <c r="H131">
        <v>510</v>
      </c>
      <c r="I131">
        <v>50</v>
      </c>
      <c r="J131">
        <v>50</v>
      </c>
      <c r="K131" t="s">
        <v>29</v>
      </c>
      <c r="L131">
        <v>45</v>
      </c>
      <c r="M131" t="s">
        <v>21</v>
      </c>
    </row>
    <row r="132" spans="1:13" x14ac:dyDescent="0.35">
      <c r="A132" t="s">
        <v>360</v>
      </c>
      <c r="B132" t="s">
        <v>310</v>
      </c>
      <c r="C132" t="s">
        <v>361</v>
      </c>
      <c r="D132" t="s">
        <v>25</v>
      </c>
      <c r="E132" t="s">
        <v>34</v>
      </c>
      <c r="F132" t="s">
        <v>27</v>
      </c>
      <c r="G132" t="s">
        <v>63</v>
      </c>
      <c r="H132">
        <v>232</v>
      </c>
      <c r="I132">
        <v>50</v>
      </c>
      <c r="J132">
        <v>0</v>
      </c>
      <c r="K132" t="s">
        <v>20</v>
      </c>
      <c r="L132">
        <v>30</v>
      </c>
      <c r="M132" t="s">
        <v>21</v>
      </c>
    </row>
    <row r="133" spans="1:13" x14ac:dyDescent="0.35">
      <c r="A133" t="s">
        <v>362</v>
      </c>
      <c r="B133" t="s">
        <v>291</v>
      </c>
      <c r="C133" t="s">
        <v>363</v>
      </c>
      <c r="D133" t="s">
        <v>53</v>
      </c>
      <c r="E133" t="s">
        <v>54</v>
      </c>
      <c r="F133" t="s">
        <v>55</v>
      </c>
      <c r="G133" t="s">
        <v>59</v>
      </c>
      <c r="H133">
        <v>453</v>
      </c>
      <c r="I133">
        <v>50</v>
      </c>
      <c r="J133">
        <v>30</v>
      </c>
      <c r="K133" t="s">
        <v>36</v>
      </c>
      <c r="L133">
        <v>29</v>
      </c>
      <c r="M133" t="s">
        <v>21</v>
      </c>
    </row>
    <row r="134" spans="1:13" x14ac:dyDescent="0.35">
      <c r="A134" t="s">
        <v>364</v>
      </c>
      <c r="B134" t="s">
        <v>365</v>
      </c>
      <c r="C134" t="s">
        <v>366</v>
      </c>
      <c r="D134" t="s">
        <v>25</v>
      </c>
      <c r="E134" t="s">
        <v>26</v>
      </c>
      <c r="F134" t="s">
        <v>27</v>
      </c>
      <c r="G134" t="s">
        <v>19</v>
      </c>
      <c r="H134">
        <v>264</v>
      </c>
      <c r="I134">
        <v>40</v>
      </c>
      <c r="J134">
        <v>50</v>
      </c>
      <c r="K134" t="s">
        <v>36</v>
      </c>
      <c r="L134">
        <v>40</v>
      </c>
      <c r="M134" t="s">
        <v>21</v>
      </c>
    </row>
    <row r="135" spans="1:13" x14ac:dyDescent="0.35">
      <c r="A135" t="s">
        <v>367</v>
      </c>
      <c r="B135" t="s">
        <v>368</v>
      </c>
      <c r="C135" t="s">
        <v>369</v>
      </c>
      <c r="D135" t="s">
        <v>16</v>
      </c>
      <c r="E135" t="s">
        <v>89</v>
      </c>
      <c r="F135" t="s">
        <v>18</v>
      </c>
      <c r="G135" t="s">
        <v>42</v>
      </c>
      <c r="H135">
        <v>646</v>
      </c>
      <c r="I135">
        <v>40</v>
      </c>
      <c r="J135">
        <v>50</v>
      </c>
      <c r="K135" t="s">
        <v>36</v>
      </c>
      <c r="L135">
        <v>49</v>
      </c>
      <c r="M135" t="s">
        <v>21</v>
      </c>
    </row>
    <row r="136" spans="1:13" x14ac:dyDescent="0.35">
      <c r="A136" t="s">
        <v>370</v>
      </c>
      <c r="B136" t="s">
        <v>69</v>
      </c>
      <c r="C136" t="s">
        <v>371</v>
      </c>
      <c r="D136" t="s">
        <v>53</v>
      </c>
      <c r="E136" t="s">
        <v>84</v>
      </c>
      <c r="F136" t="s">
        <v>85</v>
      </c>
      <c r="G136" t="s">
        <v>19</v>
      </c>
      <c r="H136">
        <v>303</v>
      </c>
      <c r="I136">
        <v>30</v>
      </c>
      <c r="J136">
        <v>100</v>
      </c>
      <c r="K136" t="s">
        <v>20</v>
      </c>
      <c r="L136">
        <v>23</v>
      </c>
      <c r="M136" t="s">
        <v>21</v>
      </c>
    </row>
    <row r="137" spans="1:13" x14ac:dyDescent="0.35">
      <c r="A137" t="s">
        <v>372</v>
      </c>
      <c r="B137" t="s">
        <v>96</v>
      </c>
      <c r="C137" t="s">
        <v>373</v>
      </c>
      <c r="D137" t="s">
        <v>46</v>
      </c>
      <c r="E137" t="s">
        <v>70</v>
      </c>
      <c r="F137" t="s">
        <v>18</v>
      </c>
      <c r="G137" t="s">
        <v>35</v>
      </c>
      <c r="H137">
        <v>664</v>
      </c>
      <c r="I137">
        <v>30</v>
      </c>
      <c r="J137">
        <v>30</v>
      </c>
      <c r="K137" t="s">
        <v>29</v>
      </c>
      <c r="L137">
        <v>59</v>
      </c>
      <c r="M137" t="s">
        <v>21</v>
      </c>
    </row>
    <row r="138" spans="1:13" x14ac:dyDescent="0.35">
      <c r="A138" t="s">
        <v>374</v>
      </c>
      <c r="B138" t="s">
        <v>80</v>
      </c>
      <c r="C138" t="s">
        <v>375</v>
      </c>
      <c r="D138" t="s">
        <v>46</v>
      </c>
      <c r="E138" t="s">
        <v>148</v>
      </c>
      <c r="F138" t="s">
        <v>27</v>
      </c>
      <c r="G138" t="s">
        <v>35</v>
      </c>
      <c r="H138">
        <v>424</v>
      </c>
      <c r="I138">
        <v>40</v>
      </c>
      <c r="J138">
        <v>50</v>
      </c>
      <c r="K138" t="s">
        <v>36</v>
      </c>
      <c r="L138">
        <v>50</v>
      </c>
      <c r="M138" t="s">
        <v>21</v>
      </c>
    </row>
    <row r="139" spans="1:13" x14ac:dyDescent="0.35">
      <c r="A139" t="s">
        <v>376</v>
      </c>
      <c r="B139" t="s">
        <v>133</v>
      </c>
      <c r="C139" t="s">
        <v>377</v>
      </c>
      <c r="D139" t="s">
        <v>46</v>
      </c>
      <c r="E139" t="s">
        <v>148</v>
      </c>
      <c r="F139" t="s">
        <v>27</v>
      </c>
      <c r="G139" t="s">
        <v>74</v>
      </c>
      <c r="H139">
        <v>769</v>
      </c>
      <c r="I139">
        <v>50</v>
      </c>
      <c r="J139">
        <v>50</v>
      </c>
      <c r="K139" t="s">
        <v>36</v>
      </c>
      <c r="L139">
        <v>37</v>
      </c>
      <c r="M139" t="s">
        <v>21</v>
      </c>
    </row>
    <row r="140" spans="1:13" x14ac:dyDescent="0.35">
      <c r="A140" t="s">
        <v>378</v>
      </c>
      <c r="B140" t="s">
        <v>379</v>
      </c>
      <c r="C140" t="s">
        <v>380</v>
      </c>
      <c r="D140" t="s">
        <v>25</v>
      </c>
      <c r="E140" t="s">
        <v>78</v>
      </c>
      <c r="F140" t="s">
        <v>48</v>
      </c>
      <c r="G140" t="s">
        <v>176</v>
      </c>
      <c r="H140">
        <v>431</v>
      </c>
      <c r="I140">
        <v>50</v>
      </c>
      <c r="J140">
        <v>50</v>
      </c>
      <c r="K140" t="s">
        <v>36</v>
      </c>
      <c r="L140">
        <v>48</v>
      </c>
      <c r="M140" t="s">
        <v>21</v>
      </c>
    </row>
    <row r="141" spans="1:13" x14ac:dyDescent="0.35">
      <c r="A141" t="s">
        <v>381</v>
      </c>
      <c r="B141" t="s">
        <v>154</v>
      </c>
      <c r="C141" t="s">
        <v>382</v>
      </c>
      <c r="D141" t="s">
        <v>40</v>
      </c>
      <c r="E141" t="s">
        <v>67</v>
      </c>
      <c r="F141" t="s">
        <v>48</v>
      </c>
      <c r="G141" t="s">
        <v>49</v>
      </c>
      <c r="H141">
        <v>238</v>
      </c>
      <c r="I141">
        <v>30</v>
      </c>
      <c r="J141">
        <v>30</v>
      </c>
      <c r="K141" t="s">
        <v>36</v>
      </c>
      <c r="L141">
        <v>52</v>
      </c>
      <c r="M141" t="s">
        <v>21</v>
      </c>
    </row>
    <row r="142" spans="1:13" x14ac:dyDescent="0.35">
      <c r="A142" t="s">
        <v>383</v>
      </c>
      <c r="B142" t="s">
        <v>65</v>
      </c>
      <c r="C142" t="s">
        <v>182</v>
      </c>
      <c r="D142" t="s">
        <v>25</v>
      </c>
      <c r="E142" t="s">
        <v>34</v>
      </c>
      <c r="F142" t="s">
        <v>27</v>
      </c>
      <c r="G142" t="s">
        <v>19</v>
      </c>
      <c r="H142">
        <v>652</v>
      </c>
      <c r="I142">
        <v>20</v>
      </c>
      <c r="J142">
        <v>100</v>
      </c>
      <c r="K142" t="s">
        <v>29</v>
      </c>
      <c r="L142">
        <v>47</v>
      </c>
      <c r="M142" t="s">
        <v>21</v>
      </c>
    </row>
    <row r="143" spans="1:13" x14ac:dyDescent="0.35">
      <c r="A143" t="s">
        <v>384</v>
      </c>
      <c r="B143" t="s">
        <v>241</v>
      </c>
      <c r="C143" t="s">
        <v>385</v>
      </c>
      <c r="D143" t="s">
        <v>46</v>
      </c>
      <c r="E143" t="s">
        <v>70</v>
      </c>
      <c r="F143" t="s">
        <v>18</v>
      </c>
      <c r="G143" t="s">
        <v>107</v>
      </c>
      <c r="H143">
        <v>656</v>
      </c>
      <c r="I143">
        <v>40</v>
      </c>
      <c r="J143">
        <v>50</v>
      </c>
      <c r="K143" t="s">
        <v>20</v>
      </c>
      <c r="L143">
        <v>38</v>
      </c>
      <c r="M143" t="s">
        <v>30</v>
      </c>
    </row>
    <row r="144" spans="1:13" x14ac:dyDescent="0.35">
      <c r="A144" t="s">
        <v>386</v>
      </c>
      <c r="B144" t="s">
        <v>280</v>
      </c>
      <c r="C144" t="s">
        <v>197</v>
      </c>
      <c r="D144" t="s">
        <v>46</v>
      </c>
      <c r="E144" t="s">
        <v>70</v>
      </c>
      <c r="F144" t="s">
        <v>18</v>
      </c>
      <c r="G144" t="s">
        <v>35</v>
      </c>
      <c r="H144">
        <v>222</v>
      </c>
      <c r="I144">
        <v>20</v>
      </c>
      <c r="J144">
        <v>100</v>
      </c>
      <c r="K144" t="s">
        <v>36</v>
      </c>
      <c r="L144">
        <v>36</v>
      </c>
      <c r="M144" t="s">
        <v>21</v>
      </c>
    </row>
    <row r="145" spans="1:13" x14ac:dyDescent="0.35">
      <c r="A145" t="s">
        <v>387</v>
      </c>
      <c r="B145" t="s">
        <v>388</v>
      </c>
      <c r="C145" t="s">
        <v>389</v>
      </c>
      <c r="D145" t="s">
        <v>46</v>
      </c>
      <c r="E145" t="s">
        <v>47</v>
      </c>
      <c r="F145" t="s">
        <v>48</v>
      </c>
      <c r="G145" t="s">
        <v>19</v>
      </c>
      <c r="H145">
        <v>434</v>
      </c>
      <c r="I145">
        <v>30</v>
      </c>
      <c r="J145">
        <v>0</v>
      </c>
      <c r="K145" t="s">
        <v>20</v>
      </c>
      <c r="L145">
        <v>40</v>
      </c>
      <c r="M145" t="s">
        <v>21</v>
      </c>
    </row>
    <row r="146" spans="1:13" x14ac:dyDescent="0.35">
      <c r="A146" t="s">
        <v>390</v>
      </c>
      <c r="B146" t="s">
        <v>241</v>
      </c>
      <c r="C146" t="s">
        <v>391</v>
      </c>
      <c r="D146" t="s">
        <v>25</v>
      </c>
      <c r="E146" t="s">
        <v>78</v>
      </c>
      <c r="F146" t="s">
        <v>48</v>
      </c>
      <c r="G146" t="s">
        <v>49</v>
      </c>
      <c r="H146">
        <v>587</v>
      </c>
      <c r="I146">
        <v>20</v>
      </c>
      <c r="J146">
        <v>30</v>
      </c>
      <c r="K146" t="s">
        <v>20</v>
      </c>
      <c r="L146">
        <v>47</v>
      </c>
      <c r="M146" t="s">
        <v>21</v>
      </c>
    </row>
    <row r="147" spans="1:13" x14ac:dyDescent="0.35">
      <c r="A147" t="s">
        <v>392</v>
      </c>
      <c r="B147" t="s">
        <v>393</v>
      </c>
      <c r="C147" t="s">
        <v>394</v>
      </c>
      <c r="D147" t="s">
        <v>40</v>
      </c>
      <c r="E147" t="s">
        <v>67</v>
      </c>
      <c r="F147" t="s">
        <v>48</v>
      </c>
      <c r="G147" t="s">
        <v>42</v>
      </c>
      <c r="H147">
        <v>406</v>
      </c>
      <c r="I147">
        <v>40</v>
      </c>
      <c r="J147">
        <v>30</v>
      </c>
      <c r="K147" t="s">
        <v>29</v>
      </c>
      <c r="L147">
        <v>52</v>
      </c>
      <c r="M147" t="s">
        <v>21</v>
      </c>
    </row>
    <row r="148" spans="1:13" x14ac:dyDescent="0.35">
      <c r="A148" t="s">
        <v>395</v>
      </c>
      <c r="B148" t="s">
        <v>388</v>
      </c>
      <c r="C148" t="s">
        <v>396</v>
      </c>
      <c r="D148" t="s">
        <v>16</v>
      </c>
      <c r="E148" t="s">
        <v>131</v>
      </c>
      <c r="F148" t="s">
        <v>55</v>
      </c>
      <c r="G148" t="s">
        <v>74</v>
      </c>
      <c r="H148">
        <v>301</v>
      </c>
      <c r="I148">
        <v>30</v>
      </c>
      <c r="J148">
        <v>30</v>
      </c>
      <c r="K148" t="s">
        <v>20</v>
      </c>
      <c r="L148">
        <v>60</v>
      </c>
      <c r="M148" t="s">
        <v>21</v>
      </c>
    </row>
    <row r="149" spans="1:13" x14ac:dyDescent="0.35">
      <c r="A149" t="s">
        <v>397</v>
      </c>
      <c r="B149" t="s">
        <v>398</v>
      </c>
      <c r="C149" t="s">
        <v>399</v>
      </c>
      <c r="D149" t="s">
        <v>16</v>
      </c>
      <c r="E149" t="s">
        <v>131</v>
      </c>
      <c r="F149" t="s">
        <v>55</v>
      </c>
      <c r="G149" t="s">
        <v>19</v>
      </c>
      <c r="H149">
        <v>375</v>
      </c>
      <c r="I149">
        <v>50</v>
      </c>
      <c r="J149">
        <v>50</v>
      </c>
      <c r="K149" t="s">
        <v>29</v>
      </c>
      <c r="L149">
        <v>25</v>
      </c>
      <c r="M149" t="s">
        <v>21</v>
      </c>
    </row>
    <row r="150" spans="1:13" x14ac:dyDescent="0.35">
      <c r="A150" t="s">
        <v>400</v>
      </c>
      <c r="B150" t="s">
        <v>305</v>
      </c>
      <c r="C150" t="s">
        <v>401</v>
      </c>
      <c r="D150" t="s">
        <v>16</v>
      </c>
      <c r="E150" t="s">
        <v>131</v>
      </c>
      <c r="F150" t="s">
        <v>55</v>
      </c>
      <c r="G150" t="s">
        <v>35</v>
      </c>
      <c r="H150">
        <v>189</v>
      </c>
      <c r="I150">
        <v>50</v>
      </c>
      <c r="J150">
        <v>100</v>
      </c>
      <c r="K150" t="s">
        <v>20</v>
      </c>
      <c r="L150">
        <v>27</v>
      </c>
      <c r="M150" t="s">
        <v>21</v>
      </c>
    </row>
    <row r="151" spans="1:13" x14ac:dyDescent="0.35">
      <c r="A151" t="s">
        <v>402</v>
      </c>
      <c r="B151" t="s">
        <v>388</v>
      </c>
      <c r="C151" t="s">
        <v>403</v>
      </c>
      <c r="D151" t="s">
        <v>53</v>
      </c>
      <c r="E151" t="s">
        <v>152</v>
      </c>
      <c r="F151" t="s">
        <v>18</v>
      </c>
      <c r="G151" t="s">
        <v>107</v>
      </c>
      <c r="H151">
        <v>408</v>
      </c>
      <c r="I151">
        <v>20</v>
      </c>
      <c r="J151">
        <v>50</v>
      </c>
      <c r="K151" t="s">
        <v>29</v>
      </c>
      <c r="L151">
        <v>55</v>
      </c>
      <c r="M151" t="s">
        <v>21</v>
      </c>
    </row>
    <row r="152" spans="1:13" x14ac:dyDescent="0.35">
      <c r="A152" t="s">
        <v>404</v>
      </c>
      <c r="B152" t="s">
        <v>69</v>
      </c>
      <c r="C152" t="s">
        <v>405</v>
      </c>
      <c r="D152" t="s">
        <v>25</v>
      </c>
      <c r="E152" t="s">
        <v>26</v>
      </c>
      <c r="F152" t="s">
        <v>27</v>
      </c>
      <c r="G152" t="s">
        <v>74</v>
      </c>
      <c r="H152">
        <v>611</v>
      </c>
      <c r="I152">
        <v>40</v>
      </c>
      <c r="J152">
        <v>30</v>
      </c>
      <c r="K152" t="s">
        <v>29</v>
      </c>
      <c r="L152">
        <v>60</v>
      </c>
      <c r="M152" t="s">
        <v>21</v>
      </c>
    </row>
    <row r="153" spans="1:13" x14ac:dyDescent="0.35">
      <c r="A153" t="s">
        <v>406</v>
      </c>
      <c r="B153" t="s">
        <v>223</v>
      </c>
      <c r="C153" t="s">
        <v>407</v>
      </c>
      <c r="D153" t="s">
        <v>53</v>
      </c>
      <c r="E153" t="s">
        <v>54</v>
      </c>
      <c r="F153" t="s">
        <v>55</v>
      </c>
      <c r="G153" t="s">
        <v>74</v>
      </c>
      <c r="H153">
        <v>640</v>
      </c>
      <c r="I153">
        <v>40</v>
      </c>
      <c r="J153">
        <v>50</v>
      </c>
      <c r="K153" t="s">
        <v>29</v>
      </c>
      <c r="L153">
        <v>40</v>
      </c>
      <c r="M153" t="s">
        <v>21</v>
      </c>
    </row>
    <row r="154" spans="1:13" x14ac:dyDescent="0.35">
      <c r="A154" t="s">
        <v>408</v>
      </c>
      <c r="B154" t="s">
        <v>178</v>
      </c>
      <c r="C154" t="s">
        <v>409</v>
      </c>
      <c r="D154" t="s">
        <v>46</v>
      </c>
      <c r="E154" t="s">
        <v>70</v>
      </c>
      <c r="F154" t="s">
        <v>18</v>
      </c>
      <c r="G154" t="s">
        <v>19</v>
      </c>
      <c r="H154">
        <v>526</v>
      </c>
      <c r="I154">
        <v>20</v>
      </c>
      <c r="J154">
        <v>20</v>
      </c>
      <c r="K154" t="s">
        <v>29</v>
      </c>
      <c r="L154">
        <v>21</v>
      </c>
      <c r="M154" t="s">
        <v>21</v>
      </c>
    </row>
    <row r="155" spans="1:13" x14ac:dyDescent="0.35">
      <c r="A155" t="s">
        <v>410</v>
      </c>
      <c r="B155" t="s">
        <v>51</v>
      </c>
      <c r="C155" t="s">
        <v>411</v>
      </c>
      <c r="D155" t="s">
        <v>40</v>
      </c>
      <c r="E155" t="s">
        <v>67</v>
      </c>
      <c r="F155" t="s">
        <v>48</v>
      </c>
      <c r="G155" t="s">
        <v>176</v>
      </c>
      <c r="H155">
        <v>367</v>
      </c>
      <c r="I155">
        <v>40</v>
      </c>
      <c r="J155">
        <v>30</v>
      </c>
      <c r="K155" t="s">
        <v>20</v>
      </c>
      <c r="L155">
        <v>60</v>
      </c>
      <c r="M155" t="s">
        <v>21</v>
      </c>
    </row>
    <row r="156" spans="1:13" x14ac:dyDescent="0.35">
      <c r="A156" t="s">
        <v>412</v>
      </c>
      <c r="B156" t="s">
        <v>413</v>
      </c>
      <c r="C156" t="s">
        <v>414</v>
      </c>
      <c r="D156" t="s">
        <v>40</v>
      </c>
      <c r="E156" t="s">
        <v>41</v>
      </c>
      <c r="F156" t="s">
        <v>27</v>
      </c>
      <c r="G156" t="s">
        <v>59</v>
      </c>
      <c r="H156">
        <v>774</v>
      </c>
      <c r="I156">
        <v>30</v>
      </c>
      <c r="J156">
        <v>30</v>
      </c>
      <c r="K156" t="s">
        <v>29</v>
      </c>
      <c r="L156">
        <v>32</v>
      </c>
      <c r="M156" t="s">
        <v>21</v>
      </c>
    </row>
    <row r="157" spans="1:13" x14ac:dyDescent="0.35">
      <c r="A157" t="s">
        <v>415</v>
      </c>
      <c r="B157" t="s">
        <v>416</v>
      </c>
      <c r="C157" t="s">
        <v>417</v>
      </c>
      <c r="D157" t="s">
        <v>25</v>
      </c>
      <c r="E157" t="s">
        <v>34</v>
      </c>
      <c r="F157" t="s">
        <v>27</v>
      </c>
      <c r="G157" t="s">
        <v>59</v>
      </c>
      <c r="H157">
        <v>282</v>
      </c>
      <c r="I157">
        <v>40</v>
      </c>
      <c r="J157">
        <v>30</v>
      </c>
      <c r="K157" t="s">
        <v>29</v>
      </c>
      <c r="L157">
        <v>33</v>
      </c>
      <c r="M157" t="s">
        <v>21</v>
      </c>
    </row>
    <row r="158" spans="1:13" x14ac:dyDescent="0.35">
      <c r="A158" t="s">
        <v>418</v>
      </c>
      <c r="B158" t="s">
        <v>218</v>
      </c>
      <c r="C158" t="s">
        <v>127</v>
      </c>
      <c r="D158" t="s">
        <v>25</v>
      </c>
      <c r="E158" t="s">
        <v>78</v>
      </c>
      <c r="F158" t="s">
        <v>48</v>
      </c>
      <c r="G158" t="s">
        <v>35</v>
      </c>
      <c r="H158">
        <v>388</v>
      </c>
      <c r="I158">
        <v>20</v>
      </c>
      <c r="J158">
        <v>30</v>
      </c>
      <c r="K158" t="s">
        <v>29</v>
      </c>
      <c r="L158">
        <v>53</v>
      </c>
      <c r="M158" t="s">
        <v>21</v>
      </c>
    </row>
    <row r="159" spans="1:13" x14ac:dyDescent="0.35">
      <c r="A159" t="s">
        <v>419</v>
      </c>
      <c r="B159" t="s">
        <v>38</v>
      </c>
      <c r="C159" t="s">
        <v>389</v>
      </c>
      <c r="D159" t="s">
        <v>46</v>
      </c>
      <c r="E159" t="s">
        <v>148</v>
      </c>
      <c r="F159" t="s">
        <v>27</v>
      </c>
      <c r="G159" t="s">
        <v>42</v>
      </c>
      <c r="H159">
        <v>177</v>
      </c>
      <c r="I159">
        <v>50</v>
      </c>
      <c r="J159">
        <v>0</v>
      </c>
      <c r="K159" t="s">
        <v>20</v>
      </c>
      <c r="L159">
        <v>51</v>
      </c>
      <c r="M159" t="s">
        <v>21</v>
      </c>
    </row>
    <row r="160" spans="1:13" x14ac:dyDescent="0.35">
      <c r="A160" t="s">
        <v>420</v>
      </c>
      <c r="B160" t="s">
        <v>121</v>
      </c>
      <c r="C160" t="s">
        <v>421</v>
      </c>
      <c r="D160" t="s">
        <v>46</v>
      </c>
      <c r="E160" t="s">
        <v>70</v>
      </c>
      <c r="F160" t="s">
        <v>18</v>
      </c>
      <c r="G160" t="s">
        <v>19</v>
      </c>
      <c r="H160">
        <v>705</v>
      </c>
      <c r="I160">
        <v>30</v>
      </c>
      <c r="J160">
        <v>30</v>
      </c>
      <c r="K160" t="s">
        <v>20</v>
      </c>
      <c r="L160">
        <v>42</v>
      </c>
      <c r="M160" t="s">
        <v>21</v>
      </c>
    </row>
    <row r="161" spans="1:13" x14ac:dyDescent="0.35">
      <c r="A161" t="s">
        <v>422</v>
      </c>
      <c r="B161" t="s">
        <v>398</v>
      </c>
      <c r="C161" t="s">
        <v>423</v>
      </c>
      <c r="D161" t="s">
        <v>40</v>
      </c>
      <c r="E161" t="s">
        <v>67</v>
      </c>
      <c r="F161" t="s">
        <v>48</v>
      </c>
      <c r="G161" t="s">
        <v>59</v>
      </c>
      <c r="H161">
        <v>165</v>
      </c>
      <c r="I161">
        <v>40</v>
      </c>
      <c r="J161">
        <v>50</v>
      </c>
      <c r="K161" t="s">
        <v>20</v>
      </c>
      <c r="L161">
        <v>27</v>
      </c>
      <c r="M161" t="s">
        <v>21</v>
      </c>
    </row>
    <row r="162" spans="1:13" x14ac:dyDescent="0.35">
      <c r="A162" t="s">
        <v>424</v>
      </c>
      <c r="B162" t="s">
        <v>72</v>
      </c>
      <c r="C162" t="s">
        <v>425</v>
      </c>
      <c r="D162" t="s">
        <v>53</v>
      </c>
      <c r="E162" t="s">
        <v>84</v>
      </c>
      <c r="F162" t="s">
        <v>85</v>
      </c>
      <c r="G162" t="s">
        <v>59</v>
      </c>
      <c r="H162">
        <v>505</v>
      </c>
      <c r="I162">
        <v>40</v>
      </c>
      <c r="J162">
        <v>30</v>
      </c>
      <c r="K162" t="s">
        <v>29</v>
      </c>
      <c r="L162">
        <v>21</v>
      </c>
      <c r="M162" t="s">
        <v>30</v>
      </c>
    </row>
    <row r="163" spans="1:13" x14ac:dyDescent="0.35">
      <c r="A163" t="s">
        <v>426</v>
      </c>
      <c r="B163" t="s">
        <v>305</v>
      </c>
      <c r="C163" t="s">
        <v>427</v>
      </c>
      <c r="D163" t="s">
        <v>40</v>
      </c>
      <c r="E163" t="s">
        <v>67</v>
      </c>
      <c r="F163" t="s">
        <v>48</v>
      </c>
      <c r="G163" t="s">
        <v>28</v>
      </c>
      <c r="H163">
        <v>736</v>
      </c>
      <c r="I163">
        <v>30</v>
      </c>
      <c r="J163">
        <v>50</v>
      </c>
      <c r="K163" t="s">
        <v>20</v>
      </c>
      <c r="L163">
        <v>49</v>
      </c>
      <c r="M163" t="s">
        <v>21</v>
      </c>
    </row>
    <row r="164" spans="1:13" x14ac:dyDescent="0.35">
      <c r="A164" t="s">
        <v>428</v>
      </c>
      <c r="B164" t="s">
        <v>305</v>
      </c>
      <c r="C164" t="s">
        <v>409</v>
      </c>
      <c r="D164" t="s">
        <v>16</v>
      </c>
      <c r="E164" t="s">
        <v>89</v>
      </c>
      <c r="F164" t="s">
        <v>18</v>
      </c>
      <c r="G164" t="s">
        <v>74</v>
      </c>
      <c r="H164">
        <v>567</v>
      </c>
      <c r="I164">
        <v>40</v>
      </c>
      <c r="J164">
        <v>100</v>
      </c>
      <c r="K164" t="s">
        <v>29</v>
      </c>
      <c r="L164">
        <v>44</v>
      </c>
      <c r="M164" t="s">
        <v>21</v>
      </c>
    </row>
    <row r="165" spans="1:13" x14ac:dyDescent="0.35">
      <c r="A165" t="s">
        <v>429</v>
      </c>
      <c r="B165" t="s">
        <v>61</v>
      </c>
      <c r="C165" t="s">
        <v>430</v>
      </c>
      <c r="D165" t="s">
        <v>40</v>
      </c>
      <c r="E165" t="s">
        <v>111</v>
      </c>
      <c r="F165" t="s">
        <v>18</v>
      </c>
      <c r="G165" t="s">
        <v>19</v>
      </c>
      <c r="H165">
        <v>199</v>
      </c>
      <c r="I165">
        <v>50</v>
      </c>
      <c r="J165">
        <v>0</v>
      </c>
      <c r="K165" t="s">
        <v>20</v>
      </c>
      <c r="L165">
        <v>44</v>
      </c>
      <c r="M165" t="s">
        <v>21</v>
      </c>
    </row>
    <row r="166" spans="1:13" x14ac:dyDescent="0.35">
      <c r="A166" t="s">
        <v>431</v>
      </c>
      <c r="B166" t="s">
        <v>432</v>
      </c>
      <c r="C166" t="s">
        <v>433</v>
      </c>
      <c r="D166" t="s">
        <v>16</v>
      </c>
      <c r="E166" t="s">
        <v>17</v>
      </c>
      <c r="F166" t="s">
        <v>18</v>
      </c>
      <c r="G166" t="s">
        <v>35</v>
      </c>
      <c r="H166">
        <v>375</v>
      </c>
      <c r="I166">
        <v>30</v>
      </c>
      <c r="J166">
        <v>30</v>
      </c>
      <c r="K166" t="s">
        <v>20</v>
      </c>
      <c r="L166">
        <v>54</v>
      </c>
      <c r="M166" t="s">
        <v>21</v>
      </c>
    </row>
    <row r="167" spans="1:13" x14ac:dyDescent="0.35">
      <c r="A167" t="s">
        <v>434</v>
      </c>
      <c r="B167" t="s">
        <v>435</v>
      </c>
      <c r="C167" t="s">
        <v>423</v>
      </c>
      <c r="D167" t="s">
        <v>16</v>
      </c>
      <c r="E167" t="s">
        <v>17</v>
      </c>
      <c r="F167" t="s">
        <v>18</v>
      </c>
      <c r="G167" t="s">
        <v>63</v>
      </c>
      <c r="H167">
        <v>261</v>
      </c>
      <c r="I167">
        <v>20</v>
      </c>
      <c r="J167">
        <v>20</v>
      </c>
      <c r="K167" t="s">
        <v>36</v>
      </c>
      <c r="L167">
        <v>25</v>
      </c>
      <c r="M167" t="s">
        <v>21</v>
      </c>
    </row>
    <row r="168" spans="1:13" x14ac:dyDescent="0.35">
      <c r="A168" t="s">
        <v>436</v>
      </c>
      <c r="B168" t="s">
        <v>213</v>
      </c>
      <c r="C168" t="s">
        <v>437</v>
      </c>
      <c r="D168" t="s">
        <v>25</v>
      </c>
      <c r="E168" t="s">
        <v>78</v>
      </c>
      <c r="F168" t="s">
        <v>48</v>
      </c>
      <c r="G168" t="s">
        <v>63</v>
      </c>
      <c r="H168">
        <v>427</v>
      </c>
      <c r="I168">
        <v>30</v>
      </c>
      <c r="J168">
        <v>100</v>
      </c>
      <c r="K168" t="s">
        <v>20</v>
      </c>
      <c r="L168">
        <v>32</v>
      </c>
      <c r="M168" t="s">
        <v>21</v>
      </c>
    </row>
    <row r="169" spans="1:13" x14ac:dyDescent="0.35">
      <c r="A169" t="s">
        <v>438</v>
      </c>
      <c r="B169" t="s">
        <v>286</v>
      </c>
      <c r="C169" t="s">
        <v>439</v>
      </c>
      <c r="D169" t="s">
        <v>25</v>
      </c>
      <c r="E169" t="s">
        <v>78</v>
      </c>
      <c r="F169" t="s">
        <v>48</v>
      </c>
      <c r="G169" t="s">
        <v>49</v>
      </c>
      <c r="H169">
        <v>424</v>
      </c>
      <c r="I169">
        <v>20</v>
      </c>
      <c r="J169">
        <v>0</v>
      </c>
      <c r="K169" t="s">
        <v>36</v>
      </c>
      <c r="L169">
        <v>32</v>
      </c>
      <c r="M169" t="s">
        <v>21</v>
      </c>
    </row>
    <row r="170" spans="1:13" x14ac:dyDescent="0.35">
      <c r="A170" t="s">
        <v>440</v>
      </c>
      <c r="B170" t="s">
        <v>244</v>
      </c>
      <c r="C170" t="s">
        <v>441</v>
      </c>
      <c r="D170" t="s">
        <v>40</v>
      </c>
      <c r="E170" t="s">
        <v>67</v>
      </c>
      <c r="F170" t="s">
        <v>48</v>
      </c>
      <c r="G170" t="s">
        <v>59</v>
      </c>
      <c r="H170">
        <v>571</v>
      </c>
      <c r="I170">
        <v>50</v>
      </c>
      <c r="J170">
        <v>30</v>
      </c>
      <c r="K170" t="s">
        <v>29</v>
      </c>
      <c r="L170">
        <v>50</v>
      </c>
      <c r="M170" t="s">
        <v>30</v>
      </c>
    </row>
    <row r="171" spans="1:13" x14ac:dyDescent="0.35">
      <c r="A171" t="s">
        <v>442</v>
      </c>
      <c r="B171" t="s">
        <v>105</v>
      </c>
      <c r="C171" t="s">
        <v>443</v>
      </c>
      <c r="D171" t="s">
        <v>53</v>
      </c>
      <c r="E171" t="s">
        <v>152</v>
      </c>
      <c r="F171" t="s">
        <v>18</v>
      </c>
      <c r="G171" t="s">
        <v>63</v>
      </c>
      <c r="H171">
        <v>507</v>
      </c>
      <c r="I171">
        <v>50</v>
      </c>
      <c r="J171">
        <v>100</v>
      </c>
      <c r="K171" t="s">
        <v>29</v>
      </c>
      <c r="L171">
        <v>48</v>
      </c>
      <c r="M171" t="s">
        <v>21</v>
      </c>
    </row>
    <row r="172" spans="1:13" x14ac:dyDescent="0.35">
      <c r="A172" t="s">
        <v>444</v>
      </c>
      <c r="B172" t="s">
        <v>150</v>
      </c>
      <c r="C172" t="s">
        <v>301</v>
      </c>
      <c r="D172" t="s">
        <v>40</v>
      </c>
      <c r="E172" t="s">
        <v>41</v>
      </c>
      <c r="F172" t="s">
        <v>27</v>
      </c>
      <c r="G172" t="s">
        <v>49</v>
      </c>
      <c r="H172">
        <v>611</v>
      </c>
      <c r="I172">
        <v>50</v>
      </c>
      <c r="J172">
        <v>30</v>
      </c>
      <c r="K172" t="s">
        <v>29</v>
      </c>
      <c r="L172">
        <v>38</v>
      </c>
      <c r="M172" t="s">
        <v>21</v>
      </c>
    </row>
    <row r="173" spans="1:13" x14ac:dyDescent="0.35">
      <c r="A173" t="s">
        <v>445</v>
      </c>
      <c r="B173" t="s">
        <v>365</v>
      </c>
      <c r="C173" t="s">
        <v>446</v>
      </c>
      <c r="D173" t="s">
        <v>53</v>
      </c>
      <c r="E173" t="s">
        <v>152</v>
      </c>
      <c r="F173" t="s">
        <v>18</v>
      </c>
      <c r="G173" t="s">
        <v>59</v>
      </c>
      <c r="H173">
        <v>480</v>
      </c>
      <c r="I173">
        <v>50</v>
      </c>
      <c r="J173">
        <v>50</v>
      </c>
      <c r="K173" t="s">
        <v>29</v>
      </c>
      <c r="L173">
        <v>38</v>
      </c>
      <c r="M173" t="s">
        <v>21</v>
      </c>
    </row>
    <row r="174" spans="1:13" x14ac:dyDescent="0.35">
      <c r="A174" t="s">
        <v>447</v>
      </c>
      <c r="B174" t="s">
        <v>207</v>
      </c>
      <c r="C174" t="s">
        <v>417</v>
      </c>
      <c r="D174" t="s">
        <v>16</v>
      </c>
      <c r="E174" t="s">
        <v>89</v>
      </c>
      <c r="F174" t="s">
        <v>18</v>
      </c>
      <c r="G174" t="s">
        <v>74</v>
      </c>
      <c r="H174">
        <v>588</v>
      </c>
      <c r="I174">
        <v>40</v>
      </c>
      <c r="J174">
        <v>0</v>
      </c>
      <c r="K174" t="s">
        <v>29</v>
      </c>
      <c r="L174">
        <v>39</v>
      </c>
      <c r="M174" t="s">
        <v>21</v>
      </c>
    </row>
    <row r="175" spans="1:13" x14ac:dyDescent="0.35">
      <c r="A175" t="s">
        <v>448</v>
      </c>
      <c r="B175" t="s">
        <v>449</v>
      </c>
      <c r="C175" t="s">
        <v>161</v>
      </c>
      <c r="D175" t="s">
        <v>46</v>
      </c>
      <c r="E175" t="s">
        <v>47</v>
      </c>
      <c r="F175" t="s">
        <v>48</v>
      </c>
      <c r="G175" t="s">
        <v>107</v>
      </c>
      <c r="H175">
        <v>266</v>
      </c>
      <c r="I175">
        <v>40</v>
      </c>
      <c r="J175">
        <v>30</v>
      </c>
      <c r="K175" t="s">
        <v>36</v>
      </c>
      <c r="L175">
        <v>52</v>
      </c>
      <c r="M175" t="s">
        <v>21</v>
      </c>
    </row>
    <row r="176" spans="1:13" x14ac:dyDescent="0.35">
      <c r="A176" t="s">
        <v>450</v>
      </c>
      <c r="B176" t="s">
        <v>295</v>
      </c>
      <c r="C176" t="s">
        <v>130</v>
      </c>
      <c r="D176" t="s">
        <v>16</v>
      </c>
      <c r="E176" t="s">
        <v>131</v>
      </c>
      <c r="F176" t="s">
        <v>55</v>
      </c>
      <c r="G176" t="s">
        <v>28</v>
      </c>
      <c r="H176">
        <v>361</v>
      </c>
      <c r="I176">
        <v>20</v>
      </c>
      <c r="J176">
        <v>30</v>
      </c>
      <c r="K176" t="s">
        <v>20</v>
      </c>
      <c r="L176">
        <v>21</v>
      </c>
      <c r="M176" t="s">
        <v>21</v>
      </c>
    </row>
    <row r="177" spans="1:13" x14ac:dyDescent="0.35">
      <c r="A177" t="s">
        <v>451</v>
      </c>
      <c r="B177" t="s">
        <v>413</v>
      </c>
      <c r="C177" t="s">
        <v>452</v>
      </c>
      <c r="D177" t="s">
        <v>53</v>
      </c>
      <c r="E177" t="s">
        <v>54</v>
      </c>
      <c r="F177" t="s">
        <v>55</v>
      </c>
      <c r="G177" t="s">
        <v>63</v>
      </c>
      <c r="H177">
        <v>677</v>
      </c>
      <c r="I177">
        <v>20</v>
      </c>
      <c r="J177">
        <v>20</v>
      </c>
      <c r="K177" t="s">
        <v>36</v>
      </c>
      <c r="L177">
        <v>39</v>
      </c>
      <c r="M177" t="s">
        <v>21</v>
      </c>
    </row>
    <row r="178" spans="1:13" x14ac:dyDescent="0.35">
      <c r="A178" t="s">
        <v>453</v>
      </c>
      <c r="B178" t="s">
        <v>454</v>
      </c>
      <c r="C178" t="s">
        <v>455</v>
      </c>
      <c r="D178" t="s">
        <v>46</v>
      </c>
      <c r="E178" t="s">
        <v>148</v>
      </c>
      <c r="F178" t="s">
        <v>27</v>
      </c>
      <c r="G178" t="s">
        <v>74</v>
      </c>
      <c r="H178">
        <v>481</v>
      </c>
      <c r="I178">
        <v>30</v>
      </c>
      <c r="J178">
        <v>30</v>
      </c>
      <c r="K178" t="s">
        <v>20</v>
      </c>
      <c r="L178">
        <v>41</v>
      </c>
      <c r="M178" t="s">
        <v>21</v>
      </c>
    </row>
    <row r="179" spans="1:13" x14ac:dyDescent="0.35">
      <c r="A179" t="s">
        <v>456</v>
      </c>
      <c r="B179" t="s">
        <v>121</v>
      </c>
      <c r="C179" t="s">
        <v>457</v>
      </c>
      <c r="D179" t="s">
        <v>53</v>
      </c>
      <c r="E179" t="s">
        <v>84</v>
      </c>
      <c r="F179" t="s">
        <v>85</v>
      </c>
      <c r="G179" t="s">
        <v>42</v>
      </c>
      <c r="H179">
        <v>666</v>
      </c>
      <c r="I179">
        <v>20</v>
      </c>
      <c r="J179">
        <v>100</v>
      </c>
      <c r="K179" t="s">
        <v>36</v>
      </c>
      <c r="L179">
        <v>45</v>
      </c>
      <c r="M179" t="s">
        <v>21</v>
      </c>
    </row>
    <row r="180" spans="1:13" x14ac:dyDescent="0.35">
      <c r="A180" t="s">
        <v>458</v>
      </c>
      <c r="B180" t="s">
        <v>118</v>
      </c>
      <c r="C180" t="s">
        <v>459</v>
      </c>
      <c r="D180" t="s">
        <v>46</v>
      </c>
      <c r="E180" t="s">
        <v>47</v>
      </c>
      <c r="F180" t="s">
        <v>48</v>
      </c>
      <c r="G180" t="s">
        <v>107</v>
      </c>
      <c r="H180">
        <v>543</v>
      </c>
      <c r="I180">
        <v>50</v>
      </c>
      <c r="J180">
        <v>20</v>
      </c>
      <c r="K180" t="s">
        <v>36</v>
      </c>
      <c r="L180">
        <v>27</v>
      </c>
      <c r="M180" t="s">
        <v>30</v>
      </c>
    </row>
    <row r="181" spans="1:13" x14ac:dyDescent="0.35">
      <c r="A181" t="s">
        <v>460</v>
      </c>
      <c r="B181" t="s">
        <v>186</v>
      </c>
      <c r="C181" t="s">
        <v>375</v>
      </c>
      <c r="D181" t="s">
        <v>16</v>
      </c>
      <c r="E181" t="s">
        <v>131</v>
      </c>
      <c r="F181" t="s">
        <v>55</v>
      </c>
      <c r="G181" t="s">
        <v>49</v>
      </c>
      <c r="H181">
        <v>307</v>
      </c>
      <c r="I181">
        <v>50</v>
      </c>
      <c r="J181">
        <v>100</v>
      </c>
      <c r="K181" t="s">
        <v>20</v>
      </c>
      <c r="L181">
        <v>26</v>
      </c>
      <c r="M181" t="s">
        <v>30</v>
      </c>
    </row>
    <row r="182" spans="1:13" x14ac:dyDescent="0.35">
      <c r="A182" t="s">
        <v>461</v>
      </c>
      <c r="B182" t="s">
        <v>80</v>
      </c>
      <c r="C182" t="s">
        <v>239</v>
      </c>
      <c r="D182" t="s">
        <v>53</v>
      </c>
      <c r="E182" t="s">
        <v>84</v>
      </c>
      <c r="F182" t="s">
        <v>85</v>
      </c>
      <c r="G182" t="s">
        <v>42</v>
      </c>
      <c r="H182">
        <v>482</v>
      </c>
      <c r="I182">
        <v>30</v>
      </c>
      <c r="J182">
        <v>20</v>
      </c>
      <c r="K182" t="s">
        <v>36</v>
      </c>
      <c r="L182">
        <v>47</v>
      </c>
      <c r="M182" t="s">
        <v>21</v>
      </c>
    </row>
    <row r="183" spans="1:13" x14ac:dyDescent="0.35">
      <c r="A183" t="s">
        <v>462</v>
      </c>
      <c r="B183" t="s">
        <v>449</v>
      </c>
      <c r="C183" t="s">
        <v>463</v>
      </c>
      <c r="D183" t="s">
        <v>25</v>
      </c>
      <c r="E183" t="s">
        <v>34</v>
      </c>
      <c r="F183" t="s">
        <v>27</v>
      </c>
      <c r="G183" t="s">
        <v>19</v>
      </c>
      <c r="H183">
        <v>441</v>
      </c>
      <c r="I183">
        <v>20</v>
      </c>
      <c r="J183">
        <v>0</v>
      </c>
      <c r="K183" t="s">
        <v>20</v>
      </c>
      <c r="L183">
        <v>37</v>
      </c>
      <c r="M183" t="s">
        <v>21</v>
      </c>
    </row>
    <row r="184" spans="1:13" x14ac:dyDescent="0.35">
      <c r="A184" t="s">
        <v>464</v>
      </c>
      <c r="B184" t="s">
        <v>178</v>
      </c>
      <c r="C184" t="s">
        <v>465</v>
      </c>
      <c r="D184" t="s">
        <v>16</v>
      </c>
      <c r="E184" t="s">
        <v>89</v>
      </c>
      <c r="F184" t="s">
        <v>18</v>
      </c>
      <c r="G184" t="s">
        <v>19</v>
      </c>
      <c r="H184">
        <v>707</v>
      </c>
      <c r="I184">
        <v>50</v>
      </c>
      <c r="J184">
        <v>0</v>
      </c>
      <c r="K184" t="s">
        <v>20</v>
      </c>
      <c r="L184">
        <v>20</v>
      </c>
      <c r="M184" t="s">
        <v>21</v>
      </c>
    </row>
    <row r="185" spans="1:13" x14ac:dyDescent="0.35">
      <c r="A185" t="s">
        <v>466</v>
      </c>
      <c r="B185" t="s">
        <v>51</v>
      </c>
      <c r="C185" t="s">
        <v>467</v>
      </c>
      <c r="D185" t="s">
        <v>40</v>
      </c>
      <c r="E185" t="s">
        <v>111</v>
      </c>
      <c r="F185" t="s">
        <v>18</v>
      </c>
      <c r="G185" t="s">
        <v>19</v>
      </c>
      <c r="H185">
        <v>276</v>
      </c>
      <c r="I185">
        <v>30</v>
      </c>
      <c r="J185">
        <v>100</v>
      </c>
      <c r="K185" t="s">
        <v>20</v>
      </c>
      <c r="L185">
        <v>52</v>
      </c>
      <c r="M185" t="s">
        <v>30</v>
      </c>
    </row>
    <row r="186" spans="1:13" x14ac:dyDescent="0.35">
      <c r="A186" t="s">
        <v>468</v>
      </c>
      <c r="B186" t="s">
        <v>280</v>
      </c>
      <c r="C186" t="s">
        <v>469</v>
      </c>
      <c r="D186" t="s">
        <v>16</v>
      </c>
      <c r="E186" t="s">
        <v>89</v>
      </c>
      <c r="F186" t="s">
        <v>18</v>
      </c>
      <c r="G186" t="s">
        <v>19</v>
      </c>
      <c r="H186">
        <v>390</v>
      </c>
      <c r="I186">
        <v>50</v>
      </c>
      <c r="J186">
        <v>30</v>
      </c>
      <c r="K186" t="s">
        <v>29</v>
      </c>
      <c r="L186">
        <v>54</v>
      </c>
      <c r="M186" t="s">
        <v>21</v>
      </c>
    </row>
    <row r="187" spans="1:13" x14ac:dyDescent="0.35">
      <c r="A187" t="s">
        <v>470</v>
      </c>
      <c r="B187" t="s">
        <v>38</v>
      </c>
      <c r="C187" t="s">
        <v>471</v>
      </c>
      <c r="D187" t="s">
        <v>46</v>
      </c>
      <c r="E187" t="s">
        <v>47</v>
      </c>
      <c r="F187" t="s">
        <v>48</v>
      </c>
      <c r="G187" t="s">
        <v>42</v>
      </c>
      <c r="H187">
        <v>369</v>
      </c>
      <c r="I187">
        <v>40</v>
      </c>
      <c r="J187">
        <v>50</v>
      </c>
      <c r="K187" t="s">
        <v>36</v>
      </c>
      <c r="L187">
        <v>58</v>
      </c>
      <c r="M187" t="s">
        <v>21</v>
      </c>
    </row>
    <row r="188" spans="1:13" x14ac:dyDescent="0.35">
      <c r="A188" t="s">
        <v>472</v>
      </c>
      <c r="B188" t="s">
        <v>473</v>
      </c>
      <c r="C188" t="s">
        <v>474</v>
      </c>
      <c r="D188" t="s">
        <v>46</v>
      </c>
      <c r="E188" t="s">
        <v>47</v>
      </c>
      <c r="F188" t="s">
        <v>48</v>
      </c>
      <c r="G188" t="s">
        <v>107</v>
      </c>
      <c r="H188">
        <v>368</v>
      </c>
      <c r="I188">
        <v>30</v>
      </c>
      <c r="J188">
        <v>30</v>
      </c>
      <c r="K188" t="s">
        <v>36</v>
      </c>
      <c r="L188">
        <v>41</v>
      </c>
      <c r="M188" t="s">
        <v>21</v>
      </c>
    </row>
    <row r="189" spans="1:13" x14ac:dyDescent="0.35">
      <c r="A189" t="s">
        <v>475</v>
      </c>
      <c r="B189" t="s">
        <v>476</v>
      </c>
      <c r="C189" t="s">
        <v>165</v>
      </c>
      <c r="D189" t="s">
        <v>25</v>
      </c>
      <c r="E189" t="s">
        <v>26</v>
      </c>
      <c r="F189" t="s">
        <v>27</v>
      </c>
      <c r="G189" t="s">
        <v>63</v>
      </c>
      <c r="H189">
        <v>788</v>
      </c>
      <c r="I189">
        <v>50</v>
      </c>
      <c r="J189">
        <v>30</v>
      </c>
      <c r="K189" t="s">
        <v>29</v>
      </c>
      <c r="L189">
        <v>26</v>
      </c>
      <c r="M189" t="s">
        <v>21</v>
      </c>
    </row>
    <row r="190" spans="1:13" x14ac:dyDescent="0.35">
      <c r="A190" t="s">
        <v>477</v>
      </c>
      <c r="B190" t="s">
        <v>329</v>
      </c>
      <c r="C190" t="s">
        <v>478</v>
      </c>
      <c r="D190" t="s">
        <v>46</v>
      </c>
      <c r="E190" t="s">
        <v>70</v>
      </c>
      <c r="F190" t="s">
        <v>18</v>
      </c>
      <c r="G190" t="s">
        <v>63</v>
      </c>
      <c r="H190">
        <v>429</v>
      </c>
      <c r="I190">
        <v>30</v>
      </c>
      <c r="J190">
        <v>100</v>
      </c>
      <c r="K190" t="s">
        <v>36</v>
      </c>
      <c r="L190">
        <v>57</v>
      </c>
      <c r="M190" t="s">
        <v>21</v>
      </c>
    </row>
    <row r="191" spans="1:13" x14ac:dyDescent="0.35">
      <c r="A191" t="s">
        <v>479</v>
      </c>
      <c r="B191" t="s">
        <v>416</v>
      </c>
      <c r="C191" t="s">
        <v>480</v>
      </c>
      <c r="D191" t="s">
        <v>40</v>
      </c>
      <c r="E191" t="s">
        <v>41</v>
      </c>
      <c r="F191" t="s">
        <v>27</v>
      </c>
      <c r="G191" t="s">
        <v>63</v>
      </c>
      <c r="H191">
        <v>202</v>
      </c>
      <c r="I191">
        <v>30</v>
      </c>
      <c r="J191">
        <v>100</v>
      </c>
      <c r="K191" t="s">
        <v>20</v>
      </c>
      <c r="L191">
        <v>35</v>
      </c>
      <c r="M191" t="s">
        <v>21</v>
      </c>
    </row>
    <row r="192" spans="1:13" x14ac:dyDescent="0.35">
      <c r="A192" t="s">
        <v>481</v>
      </c>
      <c r="B192" t="s">
        <v>226</v>
      </c>
      <c r="C192" t="s">
        <v>482</v>
      </c>
      <c r="D192" t="s">
        <v>25</v>
      </c>
      <c r="E192" t="s">
        <v>34</v>
      </c>
      <c r="F192" t="s">
        <v>27</v>
      </c>
      <c r="G192" t="s">
        <v>59</v>
      </c>
      <c r="H192">
        <v>763</v>
      </c>
      <c r="I192">
        <v>20</v>
      </c>
      <c r="J192">
        <v>20</v>
      </c>
      <c r="K192" t="s">
        <v>29</v>
      </c>
      <c r="L192">
        <v>48</v>
      </c>
      <c r="M192" t="s">
        <v>21</v>
      </c>
    </row>
    <row r="193" spans="1:13" x14ac:dyDescent="0.35">
      <c r="A193" t="s">
        <v>483</v>
      </c>
      <c r="B193" t="s">
        <v>267</v>
      </c>
      <c r="C193" t="s">
        <v>484</v>
      </c>
      <c r="D193" t="s">
        <v>16</v>
      </c>
      <c r="E193" t="s">
        <v>131</v>
      </c>
      <c r="F193" t="s">
        <v>55</v>
      </c>
      <c r="G193" t="s">
        <v>42</v>
      </c>
      <c r="H193">
        <v>471</v>
      </c>
      <c r="I193">
        <v>50</v>
      </c>
      <c r="J193">
        <v>0</v>
      </c>
      <c r="K193" t="s">
        <v>29</v>
      </c>
      <c r="L193">
        <v>22</v>
      </c>
      <c r="M193" t="s">
        <v>21</v>
      </c>
    </row>
    <row r="194" spans="1:13" x14ac:dyDescent="0.35">
      <c r="A194" t="s">
        <v>485</v>
      </c>
      <c r="B194" t="s">
        <v>486</v>
      </c>
      <c r="C194" t="s">
        <v>487</v>
      </c>
      <c r="D194" t="s">
        <v>46</v>
      </c>
      <c r="E194" t="s">
        <v>47</v>
      </c>
      <c r="F194" t="s">
        <v>48</v>
      </c>
      <c r="G194" t="s">
        <v>63</v>
      </c>
      <c r="H194">
        <v>618</v>
      </c>
      <c r="I194">
        <v>50</v>
      </c>
      <c r="J194">
        <v>20</v>
      </c>
      <c r="K194" t="s">
        <v>29</v>
      </c>
      <c r="L194">
        <v>58</v>
      </c>
      <c r="M194" t="s">
        <v>21</v>
      </c>
    </row>
    <row r="195" spans="1:13" x14ac:dyDescent="0.35">
      <c r="A195" t="s">
        <v>488</v>
      </c>
      <c r="B195" t="s">
        <v>76</v>
      </c>
      <c r="C195" t="s">
        <v>489</v>
      </c>
      <c r="D195" t="s">
        <v>53</v>
      </c>
      <c r="E195" t="s">
        <v>152</v>
      </c>
      <c r="F195" t="s">
        <v>18</v>
      </c>
      <c r="G195" t="s">
        <v>107</v>
      </c>
      <c r="H195">
        <v>724</v>
      </c>
      <c r="I195">
        <v>50</v>
      </c>
      <c r="J195">
        <v>20</v>
      </c>
      <c r="K195" t="s">
        <v>29</v>
      </c>
      <c r="L195">
        <v>38</v>
      </c>
      <c r="M195" t="s">
        <v>21</v>
      </c>
    </row>
    <row r="196" spans="1:13" x14ac:dyDescent="0.35">
      <c r="A196" t="s">
        <v>490</v>
      </c>
      <c r="B196" t="s">
        <v>476</v>
      </c>
      <c r="C196" t="s">
        <v>491</v>
      </c>
      <c r="D196" t="s">
        <v>40</v>
      </c>
      <c r="E196" t="s">
        <v>111</v>
      </c>
      <c r="F196" t="s">
        <v>18</v>
      </c>
      <c r="G196" t="s">
        <v>49</v>
      </c>
      <c r="H196">
        <v>395</v>
      </c>
      <c r="I196">
        <v>40</v>
      </c>
      <c r="J196">
        <v>20</v>
      </c>
      <c r="K196" t="s">
        <v>29</v>
      </c>
      <c r="L196">
        <v>58</v>
      </c>
      <c r="M196" t="s">
        <v>21</v>
      </c>
    </row>
    <row r="197" spans="1:13" x14ac:dyDescent="0.35">
      <c r="A197" t="s">
        <v>492</v>
      </c>
      <c r="B197" t="s">
        <v>252</v>
      </c>
      <c r="C197" t="s">
        <v>92</v>
      </c>
      <c r="D197" t="s">
        <v>53</v>
      </c>
      <c r="E197" t="s">
        <v>54</v>
      </c>
      <c r="F197" t="s">
        <v>55</v>
      </c>
      <c r="G197" t="s">
        <v>19</v>
      </c>
      <c r="H197">
        <v>153</v>
      </c>
      <c r="I197">
        <v>50</v>
      </c>
      <c r="J197">
        <v>20</v>
      </c>
      <c r="K197" t="s">
        <v>29</v>
      </c>
      <c r="L197">
        <v>28</v>
      </c>
      <c r="M197" t="s">
        <v>21</v>
      </c>
    </row>
    <row r="198" spans="1:13" x14ac:dyDescent="0.35">
      <c r="A198" t="s">
        <v>493</v>
      </c>
      <c r="B198" t="s">
        <v>113</v>
      </c>
      <c r="C198" t="s">
        <v>494</v>
      </c>
      <c r="D198" t="s">
        <v>40</v>
      </c>
      <c r="E198" t="s">
        <v>41</v>
      </c>
      <c r="F198" t="s">
        <v>27</v>
      </c>
      <c r="G198" t="s">
        <v>63</v>
      </c>
      <c r="H198">
        <v>440</v>
      </c>
      <c r="I198">
        <v>50</v>
      </c>
      <c r="J198">
        <v>30</v>
      </c>
      <c r="K198" t="s">
        <v>29</v>
      </c>
      <c r="L198">
        <v>60</v>
      </c>
      <c r="M198" t="s">
        <v>21</v>
      </c>
    </row>
    <row r="199" spans="1:13" x14ac:dyDescent="0.35">
      <c r="A199" t="s">
        <v>495</v>
      </c>
      <c r="B199" t="s">
        <v>69</v>
      </c>
      <c r="C199" t="s">
        <v>496</v>
      </c>
      <c r="D199" t="s">
        <v>46</v>
      </c>
      <c r="E199" t="s">
        <v>148</v>
      </c>
      <c r="F199" t="s">
        <v>27</v>
      </c>
      <c r="G199" t="s">
        <v>42</v>
      </c>
      <c r="H199">
        <v>482</v>
      </c>
      <c r="I199">
        <v>50</v>
      </c>
      <c r="J199">
        <v>100</v>
      </c>
      <c r="K199" t="s">
        <v>20</v>
      </c>
      <c r="L199">
        <v>23</v>
      </c>
      <c r="M199" t="s">
        <v>21</v>
      </c>
    </row>
    <row r="200" spans="1:13" x14ac:dyDescent="0.35">
      <c r="A200" t="s">
        <v>497</v>
      </c>
      <c r="B200" t="s">
        <v>129</v>
      </c>
      <c r="C200" t="s">
        <v>83</v>
      </c>
      <c r="D200" t="s">
        <v>16</v>
      </c>
      <c r="E200" t="s">
        <v>89</v>
      </c>
      <c r="F200" t="s">
        <v>18</v>
      </c>
      <c r="G200" t="s">
        <v>42</v>
      </c>
      <c r="H200">
        <v>637</v>
      </c>
      <c r="I200">
        <v>20</v>
      </c>
      <c r="J200">
        <v>20</v>
      </c>
      <c r="K200" t="s">
        <v>29</v>
      </c>
      <c r="L200">
        <v>28</v>
      </c>
      <c r="M200" t="s">
        <v>21</v>
      </c>
    </row>
    <row r="201" spans="1:13" x14ac:dyDescent="0.35">
      <c r="A201" t="s">
        <v>498</v>
      </c>
      <c r="B201" t="s">
        <v>136</v>
      </c>
      <c r="C201" t="s">
        <v>499</v>
      </c>
      <c r="D201" t="s">
        <v>16</v>
      </c>
      <c r="E201" t="s">
        <v>17</v>
      </c>
      <c r="F201" t="s">
        <v>18</v>
      </c>
      <c r="G201" t="s">
        <v>63</v>
      </c>
      <c r="H201">
        <v>628</v>
      </c>
      <c r="I201">
        <v>40</v>
      </c>
      <c r="J201">
        <v>30</v>
      </c>
      <c r="K201" t="s">
        <v>29</v>
      </c>
      <c r="L201">
        <v>54</v>
      </c>
      <c r="M201" t="s">
        <v>30</v>
      </c>
    </row>
    <row r="202" spans="1:13" x14ac:dyDescent="0.35">
      <c r="A202" t="s">
        <v>500</v>
      </c>
      <c r="B202" t="s">
        <v>80</v>
      </c>
      <c r="C202" t="s">
        <v>501</v>
      </c>
      <c r="D202" t="s">
        <v>46</v>
      </c>
      <c r="E202" t="s">
        <v>47</v>
      </c>
      <c r="F202" t="s">
        <v>48</v>
      </c>
      <c r="G202" t="s">
        <v>28</v>
      </c>
      <c r="H202">
        <v>178</v>
      </c>
      <c r="I202">
        <v>40</v>
      </c>
      <c r="J202">
        <v>100</v>
      </c>
      <c r="K202" t="s">
        <v>36</v>
      </c>
      <c r="L202">
        <v>40</v>
      </c>
      <c r="M202" t="s">
        <v>21</v>
      </c>
    </row>
    <row r="203" spans="1:13" x14ac:dyDescent="0.35">
      <c r="A203" t="s">
        <v>502</v>
      </c>
      <c r="B203" t="s">
        <v>121</v>
      </c>
      <c r="C203" t="s">
        <v>503</v>
      </c>
      <c r="D203" t="s">
        <v>25</v>
      </c>
      <c r="E203" t="s">
        <v>26</v>
      </c>
      <c r="F203" t="s">
        <v>27</v>
      </c>
      <c r="G203" t="s">
        <v>176</v>
      </c>
      <c r="H203">
        <v>219</v>
      </c>
      <c r="I203">
        <v>20</v>
      </c>
      <c r="J203">
        <v>50</v>
      </c>
      <c r="K203" t="s">
        <v>36</v>
      </c>
      <c r="L203">
        <v>28</v>
      </c>
      <c r="M203" t="s">
        <v>30</v>
      </c>
    </row>
    <row r="204" spans="1:13" x14ac:dyDescent="0.35">
      <c r="A204" t="s">
        <v>504</v>
      </c>
      <c r="B204" t="s">
        <v>244</v>
      </c>
      <c r="C204" t="s">
        <v>347</v>
      </c>
      <c r="D204" t="s">
        <v>16</v>
      </c>
      <c r="E204" t="s">
        <v>17</v>
      </c>
      <c r="F204" t="s">
        <v>18</v>
      </c>
      <c r="G204" t="s">
        <v>59</v>
      </c>
      <c r="H204">
        <v>624</v>
      </c>
      <c r="I204">
        <v>20</v>
      </c>
      <c r="J204">
        <v>50</v>
      </c>
      <c r="K204" t="s">
        <v>29</v>
      </c>
      <c r="L204">
        <v>22</v>
      </c>
      <c r="M204" t="s">
        <v>21</v>
      </c>
    </row>
    <row r="205" spans="1:13" x14ac:dyDescent="0.35">
      <c r="A205" t="s">
        <v>505</v>
      </c>
      <c r="B205" t="s">
        <v>126</v>
      </c>
      <c r="C205" t="s">
        <v>506</v>
      </c>
      <c r="D205" t="s">
        <v>53</v>
      </c>
      <c r="E205" t="s">
        <v>54</v>
      </c>
      <c r="F205" t="s">
        <v>55</v>
      </c>
      <c r="G205" t="s">
        <v>35</v>
      </c>
      <c r="H205">
        <v>616</v>
      </c>
      <c r="I205">
        <v>20</v>
      </c>
      <c r="J205">
        <v>20</v>
      </c>
      <c r="K205" t="s">
        <v>20</v>
      </c>
      <c r="L205">
        <v>57</v>
      </c>
      <c r="M205" t="s">
        <v>21</v>
      </c>
    </row>
    <row r="206" spans="1:13" x14ac:dyDescent="0.35">
      <c r="A206" t="s">
        <v>507</v>
      </c>
      <c r="B206" t="s">
        <v>273</v>
      </c>
      <c r="C206" t="s">
        <v>508</v>
      </c>
      <c r="D206" t="s">
        <v>46</v>
      </c>
      <c r="E206" t="s">
        <v>70</v>
      </c>
      <c r="F206" t="s">
        <v>18</v>
      </c>
      <c r="G206" t="s">
        <v>28</v>
      </c>
      <c r="H206">
        <v>150</v>
      </c>
      <c r="I206">
        <v>50</v>
      </c>
      <c r="J206">
        <v>30</v>
      </c>
      <c r="K206" t="s">
        <v>20</v>
      </c>
      <c r="L206">
        <v>57</v>
      </c>
      <c r="M206" t="s">
        <v>21</v>
      </c>
    </row>
    <row r="207" spans="1:13" x14ac:dyDescent="0.35">
      <c r="A207" t="s">
        <v>509</v>
      </c>
      <c r="B207" t="s">
        <v>189</v>
      </c>
      <c r="C207" t="s">
        <v>510</v>
      </c>
      <c r="D207" t="s">
        <v>25</v>
      </c>
      <c r="E207" t="s">
        <v>26</v>
      </c>
      <c r="F207" t="s">
        <v>27</v>
      </c>
      <c r="G207" t="s">
        <v>35</v>
      </c>
      <c r="H207">
        <v>534</v>
      </c>
      <c r="I207">
        <v>30</v>
      </c>
      <c r="J207">
        <v>20</v>
      </c>
      <c r="K207" t="s">
        <v>29</v>
      </c>
      <c r="L207">
        <v>21</v>
      </c>
      <c r="M207" t="s">
        <v>21</v>
      </c>
    </row>
    <row r="208" spans="1:13" x14ac:dyDescent="0.35">
      <c r="A208" t="s">
        <v>511</v>
      </c>
      <c r="B208" t="s">
        <v>339</v>
      </c>
      <c r="C208" t="s">
        <v>510</v>
      </c>
      <c r="D208" t="s">
        <v>16</v>
      </c>
      <c r="E208" t="s">
        <v>17</v>
      </c>
      <c r="F208" t="s">
        <v>18</v>
      </c>
      <c r="G208" t="s">
        <v>63</v>
      </c>
      <c r="H208">
        <v>766</v>
      </c>
      <c r="I208">
        <v>30</v>
      </c>
      <c r="J208">
        <v>50</v>
      </c>
      <c r="K208" t="s">
        <v>29</v>
      </c>
      <c r="L208">
        <v>25</v>
      </c>
      <c r="M208" t="s">
        <v>21</v>
      </c>
    </row>
    <row r="209" spans="1:13" x14ac:dyDescent="0.35">
      <c r="A209" t="s">
        <v>512</v>
      </c>
      <c r="B209" t="s">
        <v>513</v>
      </c>
      <c r="C209" t="s">
        <v>514</v>
      </c>
      <c r="D209" t="s">
        <v>53</v>
      </c>
      <c r="E209" t="s">
        <v>84</v>
      </c>
      <c r="F209" t="s">
        <v>85</v>
      </c>
      <c r="G209" t="s">
        <v>28</v>
      </c>
      <c r="H209">
        <v>703</v>
      </c>
      <c r="I209">
        <v>50</v>
      </c>
      <c r="J209">
        <v>20</v>
      </c>
      <c r="K209" t="s">
        <v>20</v>
      </c>
      <c r="L209">
        <v>58</v>
      </c>
      <c r="M209" t="s">
        <v>21</v>
      </c>
    </row>
    <row r="210" spans="1:13" x14ac:dyDescent="0.35">
      <c r="A210" t="s">
        <v>515</v>
      </c>
      <c r="B210" t="s">
        <v>133</v>
      </c>
      <c r="C210" t="s">
        <v>516</v>
      </c>
      <c r="D210" t="s">
        <v>40</v>
      </c>
      <c r="E210" t="s">
        <v>67</v>
      </c>
      <c r="F210" t="s">
        <v>48</v>
      </c>
      <c r="G210" t="s">
        <v>63</v>
      </c>
      <c r="H210">
        <v>248</v>
      </c>
      <c r="I210">
        <v>20</v>
      </c>
      <c r="J210">
        <v>100</v>
      </c>
      <c r="K210" t="s">
        <v>29</v>
      </c>
      <c r="L210">
        <v>21</v>
      </c>
      <c r="M210" t="s">
        <v>21</v>
      </c>
    </row>
    <row r="211" spans="1:13" x14ac:dyDescent="0.35">
      <c r="A211" t="s">
        <v>517</v>
      </c>
      <c r="B211" t="s">
        <v>388</v>
      </c>
      <c r="C211" t="s">
        <v>265</v>
      </c>
      <c r="D211" t="s">
        <v>40</v>
      </c>
      <c r="E211" t="s">
        <v>41</v>
      </c>
      <c r="F211" t="s">
        <v>27</v>
      </c>
      <c r="G211" t="s">
        <v>63</v>
      </c>
      <c r="H211">
        <v>388</v>
      </c>
      <c r="I211">
        <v>30</v>
      </c>
      <c r="J211">
        <v>30</v>
      </c>
      <c r="K211" t="s">
        <v>29</v>
      </c>
      <c r="L211">
        <v>33</v>
      </c>
      <c r="M211" t="s">
        <v>21</v>
      </c>
    </row>
    <row r="212" spans="1:13" x14ac:dyDescent="0.35">
      <c r="A212" t="s">
        <v>518</v>
      </c>
      <c r="B212" t="s">
        <v>413</v>
      </c>
      <c r="C212" t="s">
        <v>519</v>
      </c>
      <c r="D212" t="s">
        <v>40</v>
      </c>
      <c r="E212" t="s">
        <v>41</v>
      </c>
      <c r="F212" t="s">
        <v>27</v>
      </c>
      <c r="G212" t="s">
        <v>107</v>
      </c>
      <c r="H212">
        <v>364</v>
      </c>
      <c r="I212">
        <v>20</v>
      </c>
      <c r="J212">
        <v>30</v>
      </c>
      <c r="K212" t="s">
        <v>36</v>
      </c>
      <c r="L212">
        <v>57</v>
      </c>
      <c r="M212" t="s">
        <v>21</v>
      </c>
    </row>
    <row r="213" spans="1:13" x14ac:dyDescent="0.35">
      <c r="A213" t="s">
        <v>520</v>
      </c>
      <c r="B213" t="s">
        <v>310</v>
      </c>
      <c r="C213" t="s">
        <v>521</v>
      </c>
      <c r="D213" t="s">
        <v>16</v>
      </c>
      <c r="E213" t="s">
        <v>131</v>
      </c>
      <c r="F213" t="s">
        <v>55</v>
      </c>
      <c r="G213" t="s">
        <v>28</v>
      </c>
      <c r="H213">
        <v>342</v>
      </c>
      <c r="I213">
        <v>50</v>
      </c>
      <c r="J213">
        <v>20</v>
      </c>
      <c r="K213" t="s">
        <v>29</v>
      </c>
      <c r="L213">
        <v>20</v>
      </c>
      <c r="M213" t="s">
        <v>30</v>
      </c>
    </row>
    <row r="214" spans="1:13" x14ac:dyDescent="0.35">
      <c r="A214" t="s">
        <v>522</v>
      </c>
      <c r="B214" t="s">
        <v>199</v>
      </c>
      <c r="C214" t="s">
        <v>375</v>
      </c>
      <c r="D214" t="s">
        <v>53</v>
      </c>
      <c r="E214" t="s">
        <v>84</v>
      </c>
      <c r="F214" t="s">
        <v>85</v>
      </c>
      <c r="G214" t="s">
        <v>107</v>
      </c>
      <c r="H214">
        <v>283</v>
      </c>
      <c r="I214">
        <v>30</v>
      </c>
      <c r="J214">
        <v>30</v>
      </c>
      <c r="K214" t="s">
        <v>36</v>
      </c>
      <c r="L214">
        <v>30</v>
      </c>
      <c r="M214" t="s">
        <v>21</v>
      </c>
    </row>
    <row r="215" spans="1:13" x14ac:dyDescent="0.35">
      <c r="A215" t="s">
        <v>523</v>
      </c>
      <c r="B215" t="s">
        <v>342</v>
      </c>
      <c r="C215" t="s">
        <v>524</v>
      </c>
      <c r="D215" t="s">
        <v>25</v>
      </c>
      <c r="E215" t="s">
        <v>34</v>
      </c>
      <c r="F215" t="s">
        <v>27</v>
      </c>
      <c r="G215" t="s">
        <v>35</v>
      </c>
      <c r="H215">
        <v>713</v>
      </c>
      <c r="I215">
        <v>40</v>
      </c>
      <c r="J215">
        <v>30</v>
      </c>
      <c r="K215" t="s">
        <v>36</v>
      </c>
      <c r="L215">
        <v>26</v>
      </c>
      <c r="M215" t="s">
        <v>21</v>
      </c>
    </row>
    <row r="216" spans="1:13" x14ac:dyDescent="0.35">
      <c r="A216" t="s">
        <v>525</v>
      </c>
      <c r="B216" t="s">
        <v>526</v>
      </c>
      <c r="C216" t="s">
        <v>527</v>
      </c>
      <c r="D216" t="s">
        <v>53</v>
      </c>
      <c r="E216" t="s">
        <v>152</v>
      </c>
      <c r="F216" t="s">
        <v>18</v>
      </c>
      <c r="G216" t="s">
        <v>35</v>
      </c>
      <c r="H216">
        <v>238</v>
      </c>
      <c r="I216">
        <v>20</v>
      </c>
      <c r="J216">
        <v>30</v>
      </c>
      <c r="K216" t="s">
        <v>29</v>
      </c>
      <c r="L216">
        <v>37</v>
      </c>
      <c r="M216" t="s">
        <v>30</v>
      </c>
    </row>
    <row r="217" spans="1:13" x14ac:dyDescent="0.35">
      <c r="A217" t="s">
        <v>528</v>
      </c>
      <c r="B217" t="s">
        <v>61</v>
      </c>
      <c r="C217" t="s">
        <v>529</v>
      </c>
      <c r="D217" t="s">
        <v>25</v>
      </c>
      <c r="E217" t="s">
        <v>26</v>
      </c>
      <c r="F217" t="s">
        <v>27</v>
      </c>
      <c r="G217" t="s">
        <v>28</v>
      </c>
      <c r="H217">
        <v>629</v>
      </c>
      <c r="I217">
        <v>20</v>
      </c>
      <c r="J217">
        <v>100</v>
      </c>
      <c r="K217" t="s">
        <v>29</v>
      </c>
      <c r="L217">
        <v>48</v>
      </c>
      <c r="M217" t="s">
        <v>21</v>
      </c>
    </row>
    <row r="218" spans="1:13" x14ac:dyDescent="0.35">
      <c r="A218" t="s">
        <v>530</v>
      </c>
      <c r="B218" t="s">
        <v>181</v>
      </c>
      <c r="C218" t="s">
        <v>531</v>
      </c>
      <c r="D218" t="s">
        <v>40</v>
      </c>
      <c r="E218" t="s">
        <v>67</v>
      </c>
      <c r="F218" t="s">
        <v>48</v>
      </c>
      <c r="G218" t="s">
        <v>42</v>
      </c>
      <c r="H218">
        <v>707</v>
      </c>
      <c r="I218">
        <v>30</v>
      </c>
      <c r="J218">
        <v>20</v>
      </c>
      <c r="K218" t="s">
        <v>20</v>
      </c>
      <c r="L218">
        <v>33</v>
      </c>
      <c r="M218" t="s">
        <v>21</v>
      </c>
    </row>
    <row r="219" spans="1:13" x14ac:dyDescent="0.35">
      <c r="A219" t="s">
        <v>532</v>
      </c>
      <c r="B219" t="s">
        <v>513</v>
      </c>
      <c r="C219" t="s">
        <v>533</v>
      </c>
      <c r="D219" t="s">
        <v>16</v>
      </c>
      <c r="E219" t="s">
        <v>89</v>
      </c>
      <c r="F219" t="s">
        <v>18</v>
      </c>
      <c r="G219" t="s">
        <v>19</v>
      </c>
      <c r="H219">
        <v>256</v>
      </c>
      <c r="I219">
        <v>30</v>
      </c>
      <c r="J219">
        <v>100</v>
      </c>
      <c r="K219" t="s">
        <v>29</v>
      </c>
      <c r="L219">
        <v>23</v>
      </c>
      <c r="M219" t="s">
        <v>21</v>
      </c>
    </row>
    <row r="220" spans="1:13" x14ac:dyDescent="0.35">
      <c r="A220" t="s">
        <v>534</v>
      </c>
      <c r="B220" t="s">
        <v>247</v>
      </c>
      <c r="C220" t="s">
        <v>535</v>
      </c>
      <c r="D220" t="s">
        <v>40</v>
      </c>
      <c r="E220" t="s">
        <v>111</v>
      </c>
      <c r="F220" t="s">
        <v>18</v>
      </c>
      <c r="G220" t="s">
        <v>63</v>
      </c>
      <c r="H220">
        <v>704</v>
      </c>
      <c r="I220">
        <v>40</v>
      </c>
      <c r="J220">
        <v>0</v>
      </c>
      <c r="K220" t="s">
        <v>29</v>
      </c>
      <c r="L220">
        <v>34</v>
      </c>
      <c r="M220" t="s">
        <v>21</v>
      </c>
    </row>
    <row r="221" spans="1:13" x14ac:dyDescent="0.35">
      <c r="A221" t="s">
        <v>536</v>
      </c>
      <c r="B221" t="s">
        <v>342</v>
      </c>
      <c r="C221" t="s">
        <v>537</v>
      </c>
      <c r="D221" t="s">
        <v>46</v>
      </c>
      <c r="E221" t="s">
        <v>70</v>
      </c>
      <c r="F221" t="s">
        <v>18</v>
      </c>
      <c r="G221" t="s">
        <v>59</v>
      </c>
      <c r="H221">
        <v>506</v>
      </c>
      <c r="I221">
        <v>50</v>
      </c>
      <c r="J221">
        <v>100</v>
      </c>
      <c r="K221" t="s">
        <v>29</v>
      </c>
      <c r="L221">
        <v>25</v>
      </c>
      <c r="M221" t="s">
        <v>21</v>
      </c>
    </row>
    <row r="222" spans="1:13" x14ac:dyDescent="0.35">
      <c r="A222" t="s">
        <v>538</v>
      </c>
      <c r="B222" t="s">
        <v>146</v>
      </c>
      <c r="C222" t="s">
        <v>539</v>
      </c>
      <c r="D222" t="s">
        <v>46</v>
      </c>
      <c r="E222" t="s">
        <v>148</v>
      </c>
      <c r="F222" t="s">
        <v>27</v>
      </c>
      <c r="G222" t="s">
        <v>49</v>
      </c>
      <c r="H222">
        <v>440</v>
      </c>
      <c r="I222">
        <v>20</v>
      </c>
      <c r="J222">
        <v>20</v>
      </c>
      <c r="K222" t="s">
        <v>20</v>
      </c>
      <c r="L222">
        <v>53</v>
      </c>
      <c r="M222" t="s">
        <v>21</v>
      </c>
    </row>
    <row r="223" spans="1:13" x14ac:dyDescent="0.35">
      <c r="A223" t="s">
        <v>540</v>
      </c>
      <c r="B223" t="s">
        <v>541</v>
      </c>
      <c r="C223" t="s">
        <v>88</v>
      </c>
      <c r="D223" t="s">
        <v>25</v>
      </c>
      <c r="E223" t="s">
        <v>26</v>
      </c>
      <c r="F223" t="s">
        <v>27</v>
      </c>
      <c r="G223" t="s">
        <v>19</v>
      </c>
      <c r="H223">
        <v>461</v>
      </c>
      <c r="I223">
        <v>50</v>
      </c>
      <c r="J223">
        <v>0</v>
      </c>
      <c r="K223" t="s">
        <v>29</v>
      </c>
      <c r="L223">
        <v>24</v>
      </c>
      <c r="M223" t="s">
        <v>21</v>
      </c>
    </row>
    <row r="224" spans="1:13" x14ac:dyDescent="0.35">
      <c r="A224" t="s">
        <v>542</v>
      </c>
      <c r="B224" t="s">
        <v>178</v>
      </c>
      <c r="C224" t="s">
        <v>543</v>
      </c>
      <c r="D224" t="s">
        <v>53</v>
      </c>
      <c r="E224" t="s">
        <v>84</v>
      </c>
      <c r="F224" t="s">
        <v>85</v>
      </c>
      <c r="G224" t="s">
        <v>28</v>
      </c>
      <c r="H224">
        <v>481</v>
      </c>
      <c r="I224">
        <v>40</v>
      </c>
      <c r="J224">
        <v>0</v>
      </c>
      <c r="K224" t="s">
        <v>36</v>
      </c>
      <c r="L224">
        <v>58</v>
      </c>
      <c r="M224" t="s">
        <v>21</v>
      </c>
    </row>
    <row r="225" spans="1:13" x14ac:dyDescent="0.35">
      <c r="A225" t="s">
        <v>544</v>
      </c>
      <c r="B225" t="s">
        <v>51</v>
      </c>
      <c r="C225" t="s">
        <v>545</v>
      </c>
      <c r="D225" t="s">
        <v>46</v>
      </c>
      <c r="E225" t="s">
        <v>148</v>
      </c>
      <c r="F225" t="s">
        <v>27</v>
      </c>
      <c r="G225" t="s">
        <v>19</v>
      </c>
      <c r="H225">
        <v>699</v>
      </c>
      <c r="I225">
        <v>40</v>
      </c>
      <c r="J225">
        <v>50</v>
      </c>
      <c r="K225" t="s">
        <v>36</v>
      </c>
      <c r="L225">
        <v>42</v>
      </c>
      <c r="M225" t="s">
        <v>30</v>
      </c>
    </row>
    <row r="226" spans="1:13" x14ac:dyDescent="0.35">
      <c r="A226" t="s">
        <v>546</v>
      </c>
      <c r="B226" t="s">
        <v>65</v>
      </c>
      <c r="C226" t="s">
        <v>547</v>
      </c>
      <c r="D226" t="s">
        <v>53</v>
      </c>
      <c r="E226" t="s">
        <v>54</v>
      </c>
      <c r="F226" t="s">
        <v>55</v>
      </c>
      <c r="G226" t="s">
        <v>35</v>
      </c>
      <c r="H226">
        <v>720</v>
      </c>
      <c r="I226">
        <v>50</v>
      </c>
      <c r="J226">
        <v>20</v>
      </c>
      <c r="K226" t="s">
        <v>20</v>
      </c>
      <c r="L226">
        <v>56</v>
      </c>
      <c r="M226" t="s">
        <v>21</v>
      </c>
    </row>
    <row r="227" spans="1:13" x14ac:dyDescent="0.35">
      <c r="A227" t="s">
        <v>548</v>
      </c>
      <c r="B227" t="s">
        <v>121</v>
      </c>
      <c r="C227" t="s">
        <v>549</v>
      </c>
      <c r="D227" t="s">
        <v>46</v>
      </c>
      <c r="E227" t="s">
        <v>47</v>
      </c>
      <c r="F227" t="s">
        <v>48</v>
      </c>
      <c r="G227" t="s">
        <v>74</v>
      </c>
      <c r="H227">
        <v>626</v>
      </c>
      <c r="I227">
        <v>30</v>
      </c>
      <c r="J227">
        <v>100</v>
      </c>
      <c r="K227" t="s">
        <v>36</v>
      </c>
      <c r="L227">
        <v>35</v>
      </c>
      <c r="M227" t="s">
        <v>21</v>
      </c>
    </row>
    <row r="228" spans="1:13" x14ac:dyDescent="0.35">
      <c r="A228" t="s">
        <v>550</v>
      </c>
      <c r="B228" t="s">
        <v>342</v>
      </c>
      <c r="C228" t="s">
        <v>551</v>
      </c>
      <c r="D228" t="s">
        <v>25</v>
      </c>
      <c r="E228" t="s">
        <v>34</v>
      </c>
      <c r="F228" t="s">
        <v>27</v>
      </c>
      <c r="G228" t="s">
        <v>35</v>
      </c>
      <c r="H228">
        <v>740</v>
      </c>
      <c r="I228">
        <v>50</v>
      </c>
      <c r="J228">
        <v>30</v>
      </c>
      <c r="K228" t="s">
        <v>29</v>
      </c>
      <c r="L228">
        <v>22</v>
      </c>
      <c r="M228" t="s">
        <v>21</v>
      </c>
    </row>
    <row r="229" spans="1:13" x14ac:dyDescent="0.35">
      <c r="A229" t="s">
        <v>552</v>
      </c>
      <c r="B229" t="s">
        <v>44</v>
      </c>
      <c r="C229" t="s">
        <v>553</v>
      </c>
      <c r="D229" t="s">
        <v>46</v>
      </c>
      <c r="E229" t="s">
        <v>70</v>
      </c>
      <c r="F229" t="s">
        <v>18</v>
      </c>
      <c r="G229" t="s">
        <v>59</v>
      </c>
      <c r="H229">
        <v>550</v>
      </c>
      <c r="I229">
        <v>30</v>
      </c>
      <c r="J229">
        <v>0</v>
      </c>
      <c r="K229" t="s">
        <v>29</v>
      </c>
      <c r="L229">
        <v>39</v>
      </c>
      <c r="M229" t="s">
        <v>21</v>
      </c>
    </row>
    <row r="230" spans="1:13" x14ac:dyDescent="0.35">
      <c r="A230" t="s">
        <v>554</v>
      </c>
      <c r="B230" t="s">
        <v>252</v>
      </c>
      <c r="C230" t="s">
        <v>555</v>
      </c>
      <c r="D230" t="s">
        <v>16</v>
      </c>
      <c r="E230" t="s">
        <v>89</v>
      </c>
      <c r="F230" t="s">
        <v>18</v>
      </c>
      <c r="G230" t="s">
        <v>59</v>
      </c>
      <c r="H230">
        <v>292</v>
      </c>
      <c r="I230">
        <v>40</v>
      </c>
      <c r="J230">
        <v>20</v>
      </c>
      <c r="K230" t="s">
        <v>36</v>
      </c>
      <c r="L230">
        <v>44</v>
      </c>
      <c r="M230" t="s">
        <v>21</v>
      </c>
    </row>
    <row r="231" spans="1:13" x14ac:dyDescent="0.35">
      <c r="A231" t="s">
        <v>556</v>
      </c>
      <c r="B231" t="s">
        <v>339</v>
      </c>
      <c r="C231" t="s">
        <v>557</v>
      </c>
      <c r="D231" t="s">
        <v>40</v>
      </c>
      <c r="E231" t="s">
        <v>41</v>
      </c>
      <c r="F231" t="s">
        <v>27</v>
      </c>
      <c r="G231" t="s">
        <v>42</v>
      </c>
      <c r="H231">
        <v>611</v>
      </c>
      <c r="I231">
        <v>30</v>
      </c>
      <c r="J231">
        <v>0</v>
      </c>
      <c r="K231" t="s">
        <v>29</v>
      </c>
      <c r="L231">
        <v>49</v>
      </c>
      <c r="M231" t="s">
        <v>21</v>
      </c>
    </row>
    <row r="232" spans="1:13" x14ac:dyDescent="0.35">
      <c r="A232" t="s">
        <v>558</v>
      </c>
      <c r="B232" t="s">
        <v>65</v>
      </c>
      <c r="C232" t="s">
        <v>184</v>
      </c>
      <c r="D232" t="s">
        <v>53</v>
      </c>
      <c r="E232" t="s">
        <v>152</v>
      </c>
      <c r="F232" t="s">
        <v>18</v>
      </c>
      <c r="G232" t="s">
        <v>107</v>
      </c>
      <c r="H232">
        <v>226</v>
      </c>
      <c r="I232">
        <v>20</v>
      </c>
      <c r="J232">
        <v>100</v>
      </c>
      <c r="K232" t="s">
        <v>36</v>
      </c>
      <c r="L232">
        <v>41</v>
      </c>
      <c r="M232" t="s">
        <v>21</v>
      </c>
    </row>
    <row r="233" spans="1:13" x14ac:dyDescent="0.35">
      <c r="A233" t="s">
        <v>559</v>
      </c>
      <c r="B233" t="s">
        <v>205</v>
      </c>
      <c r="C233" t="s">
        <v>560</v>
      </c>
      <c r="D233" t="s">
        <v>40</v>
      </c>
      <c r="E233" t="s">
        <v>41</v>
      </c>
      <c r="F233" t="s">
        <v>27</v>
      </c>
      <c r="G233" t="s">
        <v>74</v>
      </c>
      <c r="H233">
        <v>532</v>
      </c>
      <c r="I233">
        <v>30</v>
      </c>
      <c r="J233">
        <v>30</v>
      </c>
      <c r="K233" t="s">
        <v>29</v>
      </c>
      <c r="L233">
        <v>50</v>
      </c>
      <c r="M233" t="s">
        <v>21</v>
      </c>
    </row>
    <row r="234" spans="1:13" x14ac:dyDescent="0.35">
      <c r="A234" t="s">
        <v>561</v>
      </c>
      <c r="B234" t="s">
        <v>562</v>
      </c>
      <c r="C234" t="s">
        <v>563</v>
      </c>
      <c r="D234" t="s">
        <v>46</v>
      </c>
      <c r="E234" t="s">
        <v>47</v>
      </c>
      <c r="F234" t="s">
        <v>48</v>
      </c>
      <c r="G234" t="s">
        <v>176</v>
      </c>
      <c r="H234">
        <v>256</v>
      </c>
      <c r="I234">
        <v>20</v>
      </c>
      <c r="J234">
        <v>30</v>
      </c>
      <c r="K234" t="s">
        <v>20</v>
      </c>
      <c r="L234">
        <v>34</v>
      </c>
      <c r="M234" t="s">
        <v>21</v>
      </c>
    </row>
    <row r="235" spans="1:13" x14ac:dyDescent="0.35">
      <c r="A235" t="s">
        <v>564</v>
      </c>
      <c r="B235" t="s">
        <v>146</v>
      </c>
      <c r="C235" t="s">
        <v>303</v>
      </c>
      <c r="D235" t="s">
        <v>16</v>
      </c>
      <c r="E235" t="s">
        <v>131</v>
      </c>
      <c r="F235" t="s">
        <v>55</v>
      </c>
      <c r="G235" t="s">
        <v>19</v>
      </c>
      <c r="H235">
        <v>317</v>
      </c>
      <c r="I235">
        <v>50</v>
      </c>
      <c r="J235">
        <v>30</v>
      </c>
      <c r="K235" t="s">
        <v>29</v>
      </c>
      <c r="L235">
        <v>44</v>
      </c>
      <c r="M235" t="s">
        <v>21</v>
      </c>
    </row>
    <row r="236" spans="1:13" x14ac:dyDescent="0.35">
      <c r="A236" t="s">
        <v>565</v>
      </c>
      <c r="B236" t="s">
        <v>339</v>
      </c>
      <c r="C236" t="s">
        <v>566</v>
      </c>
      <c r="D236" t="s">
        <v>16</v>
      </c>
      <c r="E236" t="s">
        <v>131</v>
      </c>
      <c r="F236" t="s">
        <v>55</v>
      </c>
      <c r="G236" t="s">
        <v>176</v>
      </c>
      <c r="H236">
        <v>613</v>
      </c>
      <c r="I236">
        <v>40</v>
      </c>
      <c r="J236">
        <v>50</v>
      </c>
      <c r="K236" t="s">
        <v>29</v>
      </c>
      <c r="L236">
        <v>55</v>
      </c>
      <c r="M236" t="s">
        <v>21</v>
      </c>
    </row>
    <row r="237" spans="1:13" x14ac:dyDescent="0.35">
      <c r="A237" t="s">
        <v>567</v>
      </c>
      <c r="B237" t="s">
        <v>568</v>
      </c>
      <c r="C237" t="s">
        <v>569</v>
      </c>
      <c r="D237" t="s">
        <v>40</v>
      </c>
      <c r="E237" t="s">
        <v>111</v>
      </c>
      <c r="F237" t="s">
        <v>18</v>
      </c>
      <c r="G237" t="s">
        <v>59</v>
      </c>
      <c r="H237">
        <v>457</v>
      </c>
      <c r="I237">
        <v>40</v>
      </c>
      <c r="J237">
        <v>0</v>
      </c>
      <c r="K237" t="s">
        <v>20</v>
      </c>
      <c r="L237">
        <v>25</v>
      </c>
      <c r="M237" t="s">
        <v>21</v>
      </c>
    </row>
    <row r="238" spans="1:13" x14ac:dyDescent="0.35">
      <c r="A238" t="s">
        <v>570</v>
      </c>
      <c r="B238" t="s">
        <v>473</v>
      </c>
      <c r="C238" t="s">
        <v>571</v>
      </c>
      <c r="D238" t="s">
        <v>40</v>
      </c>
      <c r="E238" t="s">
        <v>111</v>
      </c>
      <c r="F238" t="s">
        <v>18</v>
      </c>
      <c r="G238" t="s">
        <v>35</v>
      </c>
      <c r="H238">
        <v>490</v>
      </c>
      <c r="I238">
        <v>30</v>
      </c>
      <c r="J238">
        <v>0</v>
      </c>
      <c r="K238" t="s">
        <v>20</v>
      </c>
      <c r="L238">
        <v>42</v>
      </c>
      <c r="M238" t="s">
        <v>21</v>
      </c>
    </row>
    <row r="239" spans="1:13" x14ac:dyDescent="0.35">
      <c r="A239" t="s">
        <v>572</v>
      </c>
      <c r="B239" t="s">
        <v>14</v>
      </c>
      <c r="C239" t="s">
        <v>573</v>
      </c>
      <c r="D239" t="s">
        <v>46</v>
      </c>
      <c r="E239" t="s">
        <v>70</v>
      </c>
      <c r="F239" t="s">
        <v>18</v>
      </c>
      <c r="G239" t="s">
        <v>28</v>
      </c>
      <c r="H239">
        <v>250</v>
      </c>
      <c r="I239">
        <v>30</v>
      </c>
      <c r="J239">
        <v>0</v>
      </c>
      <c r="K239" t="s">
        <v>36</v>
      </c>
      <c r="L239">
        <v>43</v>
      </c>
      <c r="M239" t="s">
        <v>21</v>
      </c>
    </row>
    <row r="240" spans="1:13" x14ac:dyDescent="0.35">
      <c r="A240" t="s">
        <v>574</v>
      </c>
      <c r="B240" t="s">
        <v>146</v>
      </c>
      <c r="C240" t="s">
        <v>575</v>
      </c>
      <c r="D240" t="s">
        <v>46</v>
      </c>
      <c r="E240" t="s">
        <v>148</v>
      </c>
      <c r="F240" t="s">
        <v>27</v>
      </c>
      <c r="G240" t="s">
        <v>49</v>
      </c>
      <c r="H240">
        <v>391</v>
      </c>
      <c r="I240">
        <v>20</v>
      </c>
      <c r="J240">
        <v>30</v>
      </c>
      <c r="K240" t="s">
        <v>20</v>
      </c>
      <c r="L240">
        <v>37</v>
      </c>
      <c r="M240" t="s">
        <v>21</v>
      </c>
    </row>
    <row r="241" spans="1:13" x14ac:dyDescent="0.35">
      <c r="A241" t="s">
        <v>576</v>
      </c>
      <c r="B241" t="s">
        <v>280</v>
      </c>
      <c r="C241" t="s">
        <v>560</v>
      </c>
      <c r="D241" t="s">
        <v>25</v>
      </c>
      <c r="E241" t="s">
        <v>78</v>
      </c>
      <c r="F241" t="s">
        <v>48</v>
      </c>
      <c r="G241" t="s">
        <v>59</v>
      </c>
      <c r="H241">
        <v>186</v>
      </c>
      <c r="I241">
        <v>30</v>
      </c>
      <c r="J241">
        <v>0</v>
      </c>
      <c r="K241" t="s">
        <v>20</v>
      </c>
      <c r="L241">
        <v>23</v>
      </c>
      <c r="M241" t="s">
        <v>21</v>
      </c>
    </row>
    <row r="242" spans="1:13" x14ac:dyDescent="0.35">
      <c r="A242" t="s">
        <v>577</v>
      </c>
      <c r="B242" t="s">
        <v>174</v>
      </c>
      <c r="C242" t="s">
        <v>578</v>
      </c>
      <c r="D242" t="s">
        <v>46</v>
      </c>
      <c r="E242" t="s">
        <v>70</v>
      </c>
      <c r="F242" t="s">
        <v>18</v>
      </c>
      <c r="G242" t="s">
        <v>42</v>
      </c>
      <c r="H242">
        <v>656</v>
      </c>
      <c r="I242">
        <v>40</v>
      </c>
      <c r="J242">
        <v>50</v>
      </c>
      <c r="K242" t="s">
        <v>29</v>
      </c>
      <c r="L242">
        <v>57</v>
      </c>
      <c r="M242" t="s">
        <v>21</v>
      </c>
    </row>
    <row r="243" spans="1:13" x14ac:dyDescent="0.35">
      <c r="A243" t="s">
        <v>579</v>
      </c>
      <c r="B243" t="s">
        <v>580</v>
      </c>
      <c r="C243" t="s">
        <v>581</v>
      </c>
      <c r="D243" t="s">
        <v>25</v>
      </c>
      <c r="E243" t="s">
        <v>26</v>
      </c>
      <c r="F243" t="s">
        <v>27</v>
      </c>
      <c r="G243" t="s">
        <v>49</v>
      </c>
      <c r="H243">
        <v>463</v>
      </c>
      <c r="I243">
        <v>40</v>
      </c>
      <c r="J243">
        <v>30</v>
      </c>
      <c r="K243" t="s">
        <v>36</v>
      </c>
      <c r="L243">
        <v>38</v>
      </c>
      <c r="M243" t="s">
        <v>21</v>
      </c>
    </row>
    <row r="244" spans="1:13" x14ac:dyDescent="0.35">
      <c r="A244" t="s">
        <v>582</v>
      </c>
      <c r="B244" t="s">
        <v>583</v>
      </c>
      <c r="C244" t="s">
        <v>566</v>
      </c>
      <c r="D244" t="s">
        <v>25</v>
      </c>
      <c r="E244" t="s">
        <v>78</v>
      </c>
      <c r="F244" t="s">
        <v>48</v>
      </c>
      <c r="G244" t="s">
        <v>59</v>
      </c>
      <c r="H244">
        <v>465</v>
      </c>
      <c r="I244">
        <v>50</v>
      </c>
      <c r="J244">
        <v>50</v>
      </c>
      <c r="K244" t="s">
        <v>29</v>
      </c>
      <c r="L244">
        <v>34</v>
      </c>
      <c r="M244" t="s">
        <v>21</v>
      </c>
    </row>
    <row r="245" spans="1:13" x14ac:dyDescent="0.35">
      <c r="A245" t="s">
        <v>584</v>
      </c>
      <c r="B245" t="s">
        <v>342</v>
      </c>
      <c r="C245" t="s">
        <v>585</v>
      </c>
      <c r="D245" t="s">
        <v>25</v>
      </c>
      <c r="E245" t="s">
        <v>78</v>
      </c>
      <c r="F245" t="s">
        <v>48</v>
      </c>
      <c r="G245" t="s">
        <v>42</v>
      </c>
      <c r="H245">
        <v>576</v>
      </c>
      <c r="I245">
        <v>30</v>
      </c>
      <c r="J245">
        <v>100</v>
      </c>
      <c r="K245" t="s">
        <v>29</v>
      </c>
      <c r="L245">
        <v>22</v>
      </c>
      <c r="M245" t="s">
        <v>21</v>
      </c>
    </row>
    <row r="246" spans="1:13" x14ac:dyDescent="0.35">
      <c r="A246" t="s">
        <v>586</v>
      </c>
      <c r="B246" t="s">
        <v>223</v>
      </c>
      <c r="C246" t="s">
        <v>587</v>
      </c>
      <c r="D246" t="s">
        <v>46</v>
      </c>
      <c r="E246" t="s">
        <v>70</v>
      </c>
      <c r="F246" t="s">
        <v>18</v>
      </c>
      <c r="G246" t="s">
        <v>107</v>
      </c>
      <c r="H246">
        <v>243</v>
      </c>
      <c r="I246">
        <v>50</v>
      </c>
      <c r="J246">
        <v>0</v>
      </c>
      <c r="K246" t="s">
        <v>29</v>
      </c>
      <c r="L246">
        <v>34</v>
      </c>
      <c r="M246" t="s">
        <v>21</v>
      </c>
    </row>
    <row r="247" spans="1:13" x14ac:dyDescent="0.35">
      <c r="A247" t="s">
        <v>588</v>
      </c>
      <c r="B247" t="s">
        <v>174</v>
      </c>
      <c r="C247" t="s">
        <v>589</v>
      </c>
      <c r="D247" t="s">
        <v>16</v>
      </c>
      <c r="E247" t="s">
        <v>131</v>
      </c>
      <c r="F247" t="s">
        <v>55</v>
      </c>
      <c r="G247" t="s">
        <v>42</v>
      </c>
      <c r="H247">
        <v>573</v>
      </c>
      <c r="I247">
        <v>50</v>
      </c>
      <c r="J247">
        <v>100</v>
      </c>
      <c r="K247" t="s">
        <v>36</v>
      </c>
      <c r="L247">
        <v>43</v>
      </c>
      <c r="M247" t="s">
        <v>21</v>
      </c>
    </row>
    <row r="248" spans="1:13" x14ac:dyDescent="0.35">
      <c r="A248" t="s">
        <v>590</v>
      </c>
      <c r="B248" t="s">
        <v>72</v>
      </c>
      <c r="C248" t="s">
        <v>349</v>
      </c>
      <c r="D248" t="s">
        <v>46</v>
      </c>
      <c r="E248" t="s">
        <v>70</v>
      </c>
      <c r="F248" t="s">
        <v>18</v>
      </c>
      <c r="G248" t="s">
        <v>42</v>
      </c>
      <c r="H248">
        <v>297</v>
      </c>
      <c r="I248">
        <v>30</v>
      </c>
      <c r="J248">
        <v>0</v>
      </c>
      <c r="K248" t="s">
        <v>36</v>
      </c>
      <c r="L248">
        <v>21</v>
      </c>
      <c r="M248" t="s">
        <v>21</v>
      </c>
    </row>
    <row r="249" spans="1:13" x14ac:dyDescent="0.35">
      <c r="A249" t="s">
        <v>591</v>
      </c>
      <c r="B249" t="s">
        <v>146</v>
      </c>
      <c r="C249" t="s">
        <v>592</v>
      </c>
      <c r="D249" t="s">
        <v>46</v>
      </c>
      <c r="E249" t="s">
        <v>47</v>
      </c>
      <c r="F249" t="s">
        <v>48</v>
      </c>
      <c r="G249" t="s">
        <v>59</v>
      </c>
      <c r="H249">
        <v>404</v>
      </c>
      <c r="I249">
        <v>40</v>
      </c>
      <c r="J249">
        <v>100</v>
      </c>
      <c r="K249" t="s">
        <v>36</v>
      </c>
      <c r="L249">
        <v>42</v>
      </c>
      <c r="M249" t="s">
        <v>21</v>
      </c>
    </row>
    <row r="250" spans="1:13" x14ac:dyDescent="0.35">
      <c r="A250" t="s">
        <v>593</v>
      </c>
      <c r="B250" t="s">
        <v>541</v>
      </c>
      <c r="C250" t="s">
        <v>594</v>
      </c>
      <c r="D250" t="s">
        <v>16</v>
      </c>
      <c r="E250" t="s">
        <v>17</v>
      </c>
      <c r="F250" t="s">
        <v>18</v>
      </c>
      <c r="G250" t="s">
        <v>42</v>
      </c>
      <c r="H250">
        <v>662</v>
      </c>
      <c r="I250">
        <v>50</v>
      </c>
      <c r="J250">
        <v>0</v>
      </c>
      <c r="K250" t="s">
        <v>20</v>
      </c>
      <c r="L250">
        <v>41</v>
      </c>
      <c r="M250" t="s">
        <v>21</v>
      </c>
    </row>
    <row r="251" spans="1:13" x14ac:dyDescent="0.35">
      <c r="A251" t="s">
        <v>595</v>
      </c>
      <c r="B251" t="s">
        <v>167</v>
      </c>
      <c r="C251" t="s">
        <v>596</v>
      </c>
      <c r="D251" t="s">
        <v>16</v>
      </c>
      <c r="E251" t="s">
        <v>89</v>
      </c>
      <c r="F251" t="s">
        <v>18</v>
      </c>
      <c r="G251" t="s">
        <v>42</v>
      </c>
      <c r="H251">
        <v>531</v>
      </c>
      <c r="I251">
        <v>50</v>
      </c>
      <c r="J251">
        <v>50</v>
      </c>
      <c r="K251" t="s">
        <v>20</v>
      </c>
      <c r="L251">
        <v>55</v>
      </c>
      <c r="M251" t="s">
        <v>21</v>
      </c>
    </row>
    <row r="252" spans="1:13" x14ac:dyDescent="0.35">
      <c r="A252" t="s">
        <v>597</v>
      </c>
      <c r="B252" t="s">
        <v>218</v>
      </c>
      <c r="C252" t="s">
        <v>598</v>
      </c>
      <c r="D252" t="s">
        <v>40</v>
      </c>
      <c r="E252" t="s">
        <v>67</v>
      </c>
      <c r="F252" t="s">
        <v>48</v>
      </c>
      <c r="G252" t="s">
        <v>42</v>
      </c>
      <c r="H252">
        <v>433</v>
      </c>
      <c r="I252">
        <v>20</v>
      </c>
      <c r="J252">
        <v>50</v>
      </c>
      <c r="K252" t="s">
        <v>36</v>
      </c>
      <c r="L252">
        <v>55</v>
      </c>
      <c r="M252" t="s">
        <v>21</v>
      </c>
    </row>
    <row r="253" spans="1:13" x14ac:dyDescent="0.35">
      <c r="A253" t="s">
        <v>599</v>
      </c>
      <c r="B253" t="s">
        <v>600</v>
      </c>
      <c r="C253" t="s">
        <v>130</v>
      </c>
      <c r="D253" t="s">
        <v>16</v>
      </c>
      <c r="E253" t="s">
        <v>89</v>
      </c>
      <c r="F253" t="s">
        <v>18</v>
      </c>
      <c r="G253" t="s">
        <v>49</v>
      </c>
      <c r="H253">
        <v>314</v>
      </c>
      <c r="I253">
        <v>40</v>
      </c>
      <c r="J253">
        <v>100</v>
      </c>
      <c r="K253" t="s">
        <v>29</v>
      </c>
      <c r="L253">
        <v>30</v>
      </c>
      <c r="M253" t="s">
        <v>21</v>
      </c>
    </row>
    <row r="254" spans="1:13" x14ac:dyDescent="0.35">
      <c r="A254" t="s">
        <v>601</v>
      </c>
      <c r="B254" t="s">
        <v>305</v>
      </c>
      <c r="C254" t="s">
        <v>602</v>
      </c>
      <c r="D254" t="s">
        <v>25</v>
      </c>
      <c r="E254" t="s">
        <v>78</v>
      </c>
      <c r="F254" t="s">
        <v>48</v>
      </c>
      <c r="G254" t="s">
        <v>49</v>
      </c>
      <c r="H254">
        <v>216</v>
      </c>
      <c r="I254">
        <v>40</v>
      </c>
      <c r="J254">
        <v>20</v>
      </c>
      <c r="K254" t="s">
        <v>20</v>
      </c>
      <c r="L254">
        <v>47</v>
      </c>
      <c r="M254" t="s">
        <v>21</v>
      </c>
    </row>
    <row r="255" spans="1:13" x14ac:dyDescent="0.35">
      <c r="A255" t="s">
        <v>603</v>
      </c>
      <c r="B255" t="s">
        <v>121</v>
      </c>
      <c r="C255" t="s">
        <v>604</v>
      </c>
      <c r="D255" t="s">
        <v>53</v>
      </c>
      <c r="E255" t="s">
        <v>54</v>
      </c>
      <c r="F255" t="s">
        <v>55</v>
      </c>
      <c r="G255" t="s">
        <v>35</v>
      </c>
      <c r="H255">
        <v>247</v>
      </c>
      <c r="I255">
        <v>20</v>
      </c>
      <c r="J255">
        <v>100</v>
      </c>
      <c r="K255" t="s">
        <v>20</v>
      </c>
      <c r="L255">
        <v>54</v>
      </c>
      <c r="M255" t="s">
        <v>21</v>
      </c>
    </row>
    <row r="256" spans="1:13" x14ac:dyDescent="0.35">
      <c r="A256" t="s">
        <v>605</v>
      </c>
      <c r="B256" t="s">
        <v>57</v>
      </c>
      <c r="C256" t="s">
        <v>606</v>
      </c>
      <c r="D256" t="s">
        <v>53</v>
      </c>
      <c r="E256" t="s">
        <v>54</v>
      </c>
      <c r="F256" t="s">
        <v>55</v>
      </c>
      <c r="G256" t="s">
        <v>176</v>
      </c>
      <c r="H256">
        <v>267</v>
      </c>
      <c r="I256">
        <v>30</v>
      </c>
      <c r="J256">
        <v>50</v>
      </c>
      <c r="K256" t="s">
        <v>20</v>
      </c>
      <c r="L256">
        <v>44</v>
      </c>
      <c r="M256" t="s">
        <v>21</v>
      </c>
    </row>
    <row r="257" spans="1:13" x14ac:dyDescent="0.35">
      <c r="A257" t="s">
        <v>607</v>
      </c>
      <c r="B257" t="s">
        <v>121</v>
      </c>
      <c r="C257" t="s">
        <v>608</v>
      </c>
      <c r="D257" t="s">
        <v>46</v>
      </c>
      <c r="E257" t="s">
        <v>148</v>
      </c>
      <c r="F257" t="s">
        <v>27</v>
      </c>
      <c r="G257" t="s">
        <v>28</v>
      </c>
      <c r="H257">
        <v>280</v>
      </c>
      <c r="I257">
        <v>40</v>
      </c>
      <c r="J257">
        <v>0</v>
      </c>
      <c r="K257" t="s">
        <v>20</v>
      </c>
      <c r="L257">
        <v>59</v>
      </c>
      <c r="M257" t="s">
        <v>21</v>
      </c>
    </row>
    <row r="258" spans="1:13" x14ac:dyDescent="0.35">
      <c r="A258" t="s">
        <v>609</v>
      </c>
      <c r="B258" t="s">
        <v>14</v>
      </c>
      <c r="C258" t="s">
        <v>610</v>
      </c>
      <c r="D258" t="s">
        <v>16</v>
      </c>
      <c r="E258" t="s">
        <v>17</v>
      </c>
      <c r="F258" t="s">
        <v>18</v>
      </c>
      <c r="G258" t="s">
        <v>59</v>
      </c>
      <c r="H258">
        <v>476</v>
      </c>
      <c r="I258">
        <v>30</v>
      </c>
      <c r="J258">
        <v>20</v>
      </c>
      <c r="K258" t="s">
        <v>20</v>
      </c>
      <c r="L258">
        <v>32</v>
      </c>
      <c r="M258" t="s">
        <v>21</v>
      </c>
    </row>
    <row r="259" spans="1:13" x14ac:dyDescent="0.35">
      <c r="A259" t="s">
        <v>611</v>
      </c>
      <c r="B259" t="s">
        <v>174</v>
      </c>
      <c r="C259" t="s">
        <v>612</v>
      </c>
      <c r="D259" t="s">
        <v>16</v>
      </c>
      <c r="E259" t="s">
        <v>89</v>
      </c>
      <c r="F259" t="s">
        <v>18</v>
      </c>
      <c r="G259" t="s">
        <v>42</v>
      </c>
      <c r="H259">
        <v>683</v>
      </c>
      <c r="I259">
        <v>40</v>
      </c>
      <c r="J259">
        <v>30</v>
      </c>
      <c r="K259" t="s">
        <v>36</v>
      </c>
      <c r="L259">
        <v>44</v>
      </c>
      <c r="M259" t="s">
        <v>21</v>
      </c>
    </row>
    <row r="260" spans="1:13" x14ac:dyDescent="0.35">
      <c r="A260" t="s">
        <v>613</v>
      </c>
      <c r="B260" t="s">
        <v>600</v>
      </c>
      <c r="C260" t="s">
        <v>614</v>
      </c>
      <c r="D260" t="s">
        <v>53</v>
      </c>
      <c r="E260" t="s">
        <v>152</v>
      </c>
      <c r="F260" t="s">
        <v>18</v>
      </c>
      <c r="G260" t="s">
        <v>74</v>
      </c>
      <c r="H260">
        <v>263</v>
      </c>
      <c r="I260">
        <v>20</v>
      </c>
      <c r="J260">
        <v>100</v>
      </c>
      <c r="K260" t="s">
        <v>20</v>
      </c>
      <c r="L260">
        <v>29</v>
      </c>
      <c r="M260" t="s">
        <v>21</v>
      </c>
    </row>
    <row r="261" spans="1:13" x14ac:dyDescent="0.35">
      <c r="A261" t="s">
        <v>615</v>
      </c>
      <c r="B261" t="s">
        <v>454</v>
      </c>
      <c r="C261" t="s">
        <v>616</v>
      </c>
      <c r="D261" t="s">
        <v>46</v>
      </c>
      <c r="E261" t="s">
        <v>148</v>
      </c>
      <c r="F261" t="s">
        <v>27</v>
      </c>
      <c r="G261" t="s">
        <v>59</v>
      </c>
      <c r="H261">
        <v>682</v>
      </c>
      <c r="I261">
        <v>40</v>
      </c>
      <c r="J261">
        <v>20</v>
      </c>
      <c r="K261" t="s">
        <v>29</v>
      </c>
      <c r="L261">
        <v>46</v>
      </c>
      <c r="M261" t="s">
        <v>21</v>
      </c>
    </row>
    <row r="262" spans="1:13" x14ac:dyDescent="0.35">
      <c r="A262" t="s">
        <v>617</v>
      </c>
      <c r="B262" t="s">
        <v>280</v>
      </c>
      <c r="C262" t="s">
        <v>618</v>
      </c>
      <c r="D262" t="s">
        <v>16</v>
      </c>
      <c r="E262" t="s">
        <v>89</v>
      </c>
      <c r="F262" t="s">
        <v>18</v>
      </c>
      <c r="G262" t="s">
        <v>63</v>
      </c>
      <c r="H262">
        <v>426</v>
      </c>
      <c r="I262">
        <v>50</v>
      </c>
      <c r="J262">
        <v>20</v>
      </c>
      <c r="K262" t="s">
        <v>20</v>
      </c>
      <c r="L262">
        <v>36</v>
      </c>
      <c r="M262" t="s">
        <v>21</v>
      </c>
    </row>
    <row r="263" spans="1:13" x14ac:dyDescent="0.35">
      <c r="A263" t="s">
        <v>619</v>
      </c>
      <c r="B263" t="s">
        <v>280</v>
      </c>
      <c r="C263" t="s">
        <v>553</v>
      </c>
      <c r="D263" t="s">
        <v>40</v>
      </c>
      <c r="E263" t="s">
        <v>41</v>
      </c>
      <c r="F263" t="s">
        <v>27</v>
      </c>
      <c r="G263" t="s">
        <v>42</v>
      </c>
      <c r="H263">
        <v>251</v>
      </c>
      <c r="I263">
        <v>20</v>
      </c>
      <c r="J263">
        <v>30</v>
      </c>
      <c r="K263" t="s">
        <v>20</v>
      </c>
      <c r="L263">
        <v>30</v>
      </c>
      <c r="M263" t="s">
        <v>21</v>
      </c>
    </row>
    <row r="264" spans="1:13" x14ac:dyDescent="0.35">
      <c r="A264" t="s">
        <v>620</v>
      </c>
      <c r="B264" t="s">
        <v>23</v>
      </c>
      <c r="C264" t="s">
        <v>621</v>
      </c>
      <c r="D264" t="s">
        <v>16</v>
      </c>
      <c r="E264" t="s">
        <v>89</v>
      </c>
      <c r="F264" t="s">
        <v>18</v>
      </c>
      <c r="G264" t="s">
        <v>42</v>
      </c>
      <c r="H264">
        <v>357</v>
      </c>
      <c r="I264">
        <v>50</v>
      </c>
      <c r="J264">
        <v>20</v>
      </c>
      <c r="K264" t="s">
        <v>29</v>
      </c>
      <c r="L264">
        <v>21</v>
      </c>
      <c r="M264" t="s">
        <v>21</v>
      </c>
    </row>
    <row r="265" spans="1:13" x14ac:dyDescent="0.35">
      <c r="A265" t="s">
        <v>622</v>
      </c>
      <c r="B265" t="s">
        <v>121</v>
      </c>
      <c r="C265" t="s">
        <v>623</v>
      </c>
      <c r="D265" t="s">
        <v>40</v>
      </c>
      <c r="E265" t="s">
        <v>67</v>
      </c>
      <c r="F265" t="s">
        <v>48</v>
      </c>
      <c r="G265" t="s">
        <v>42</v>
      </c>
      <c r="H265">
        <v>462</v>
      </c>
      <c r="I265">
        <v>50</v>
      </c>
      <c r="J265">
        <v>0</v>
      </c>
      <c r="K265" t="s">
        <v>20</v>
      </c>
      <c r="L265">
        <v>55</v>
      </c>
      <c r="M265" t="s">
        <v>30</v>
      </c>
    </row>
    <row r="266" spans="1:13" x14ac:dyDescent="0.35">
      <c r="A266" t="s">
        <v>624</v>
      </c>
      <c r="B266" t="s">
        <v>379</v>
      </c>
      <c r="C266" t="s">
        <v>625</v>
      </c>
      <c r="D266" t="s">
        <v>40</v>
      </c>
      <c r="E266" t="s">
        <v>41</v>
      </c>
      <c r="F266" t="s">
        <v>27</v>
      </c>
      <c r="G266" t="s">
        <v>49</v>
      </c>
      <c r="H266">
        <v>307</v>
      </c>
      <c r="I266">
        <v>30</v>
      </c>
      <c r="J266">
        <v>100</v>
      </c>
      <c r="K266" t="s">
        <v>29</v>
      </c>
      <c r="L266">
        <v>38</v>
      </c>
      <c r="M266" t="s">
        <v>21</v>
      </c>
    </row>
    <row r="267" spans="1:13" x14ac:dyDescent="0.35">
      <c r="A267" t="s">
        <v>626</v>
      </c>
      <c r="B267" t="s">
        <v>580</v>
      </c>
      <c r="C267" t="s">
        <v>627</v>
      </c>
      <c r="D267" t="s">
        <v>25</v>
      </c>
      <c r="E267" t="s">
        <v>78</v>
      </c>
      <c r="F267" t="s">
        <v>48</v>
      </c>
      <c r="G267" t="s">
        <v>59</v>
      </c>
      <c r="H267">
        <v>559</v>
      </c>
      <c r="I267">
        <v>20</v>
      </c>
      <c r="J267">
        <v>30</v>
      </c>
      <c r="K267" t="s">
        <v>20</v>
      </c>
      <c r="L267">
        <v>28</v>
      </c>
      <c r="M267" t="s">
        <v>21</v>
      </c>
    </row>
    <row r="268" spans="1:13" x14ac:dyDescent="0.35">
      <c r="A268" t="s">
        <v>628</v>
      </c>
      <c r="B268" t="s">
        <v>252</v>
      </c>
      <c r="C268" t="s">
        <v>629</v>
      </c>
      <c r="D268" t="s">
        <v>40</v>
      </c>
      <c r="E268" t="s">
        <v>41</v>
      </c>
      <c r="F268" t="s">
        <v>27</v>
      </c>
      <c r="G268" t="s">
        <v>107</v>
      </c>
      <c r="H268">
        <v>716</v>
      </c>
      <c r="I268">
        <v>40</v>
      </c>
      <c r="J268">
        <v>30</v>
      </c>
      <c r="K268" t="s">
        <v>29</v>
      </c>
      <c r="L268">
        <v>39</v>
      </c>
      <c r="M268" t="s">
        <v>21</v>
      </c>
    </row>
    <row r="269" spans="1:13" x14ac:dyDescent="0.35">
      <c r="A269" t="s">
        <v>630</v>
      </c>
      <c r="B269" t="s">
        <v>113</v>
      </c>
      <c r="C269" t="s">
        <v>110</v>
      </c>
      <c r="D269" t="s">
        <v>40</v>
      </c>
      <c r="E269" t="s">
        <v>41</v>
      </c>
      <c r="F269" t="s">
        <v>27</v>
      </c>
      <c r="G269" t="s">
        <v>59</v>
      </c>
      <c r="H269">
        <v>316</v>
      </c>
      <c r="I269">
        <v>40</v>
      </c>
      <c r="J269">
        <v>0</v>
      </c>
      <c r="K269" t="s">
        <v>29</v>
      </c>
      <c r="L269">
        <v>33</v>
      </c>
      <c r="M269" t="s">
        <v>21</v>
      </c>
    </row>
    <row r="270" spans="1:13" x14ac:dyDescent="0.35">
      <c r="A270" t="s">
        <v>631</v>
      </c>
      <c r="B270" t="s">
        <v>143</v>
      </c>
      <c r="C270" t="s">
        <v>405</v>
      </c>
      <c r="D270" t="s">
        <v>46</v>
      </c>
      <c r="E270" t="s">
        <v>47</v>
      </c>
      <c r="F270" t="s">
        <v>48</v>
      </c>
      <c r="G270" t="s">
        <v>107</v>
      </c>
      <c r="H270">
        <v>488</v>
      </c>
      <c r="I270">
        <v>30</v>
      </c>
      <c r="J270">
        <v>0</v>
      </c>
      <c r="K270" t="s">
        <v>29</v>
      </c>
      <c r="L270">
        <v>48</v>
      </c>
      <c r="M270" t="s">
        <v>21</v>
      </c>
    </row>
    <row r="271" spans="1:13" x14ac:dyDescent="0.35">
      <c r="A271" t="s">
        <v>632</v>
      </c>
      <c r="B271" t="s">
        <v>295</v>
      </c>
      <c r="C271" t="s">
        <v>39</v>
      </c>
      <c r="D271" t="s">
        <v>53</v>
      </c>
      <c r="E271" t="s">
        <v>84</v>
      </c>
      <c r="F271" t="s">
        <v>85</v>
      </c>
      <c r="G271" t="s">
        <v>42</v>
      </c>
      <c r="H271">
        <v>345</v>
      </c>
      <c r="I271">
        <v>30</v>
      </c>
      <c r="J271">
        <v>50</v>
      </c>
      <c r="K271" t="s">
        <v>20</v>
      </c>
      <c r="L271">
        <v>23</v>
      </c>
      <c r="M271" t="s">
        <v>21</v>
      </c>
    </row>
    <row r="272" spans="1:13" x14ac:dyDescent="0.35">
      <c r="A272" t="s">
        <v>633</v>
      </c>
      <c r="B272" t="s">
        <v>143</v>
      </c>
      <c r="C272" t="s">
        <v>634</v>
      </c>
      <c r="D272" t="s">
        <v>16</v>
      </c>
      <c r="E272" t="s">
        <v>17</v>
      </c>
      <c r="F272" t="s">
        <v>18</v>
      </c>
      <c r="G272" t="s">
        <v>59</v>
      </c>
      <c r="H272">
        <v>591</v>
      </c>
      <c r="I272">
        <v>20</v>
      </c>
      <c r="J272">
        <v>50</v>
      </c>
      <c r="K272" t="s">
        <v>29</v>
      </c>
      <c r="L272">
        <v>46</v>
      </c>
      <c r="M272" t="s">
        <v>21</v>
      </c>
    </row>
    <row r="273" spans="1:13" x14ac:dyDescent="0.35">
      <c r="A273" t="s">
        <v>635</v>
      </c>
      <c r="B273" t="s">
        <v>99</v>
      </c>
      <c r="C273" t="s">
        <v>636</v>
      </c>
      <c r="D273" t="s">
        <v>25</v>
      </c>
      <c r="E273" t="s">
        <v>34</v>
      </c>
      <c r="F273" t="s">
        <v>27</v>
      </c>
      <c r="G273" t="s">
        <v>74</v>
      </c>
      <c r="H273">
        <v>730</v>
      </c>
      <c r="I273">
        <v>30</v>
      </c>
      <c r="J273">
        <v>20</v>
      </c>
      <c r="K273" t="s">
        <v>29</v>
      </c>
      <c r="L273">
        <v>20</v>
      </c>
      <c r="M273" t="s">
        <v>30</v>
      </c>
    </row>
    <row r="274" spans="1:13" x14ac:dyDescent="0.35">
      <c r="A274" t="s">
        <v>637</v>
      </c>
      <c r="B274" t="s">
        <v>393</v>
      </c>
      <c r="C274" t="s">
        <v>638</v>
      </c>
      <c r="D274" t="s">
        <v>16</v>
      </c>
      <c r="E274" t="s">
        <v>131</v>
      </c>
      <c r="F274" t="s">
        <v>55</v>
      </c>
      <c r="G274" t="s">
        <v>176</v>
      </c>
      <c r="H274">
        <v>714</v>
      </c>
      <c r="I274">
        <v>40</v>
      </c>
      <c r="J274">
        <v>30</v>
      </c>
      <c r="K274" t="s">
        <v>20</v>
      </c>
      <c r="L274">
        <v>37</v>
      </c>
      <c r="M274" t="s">
        <v>21</v>
      </c>
    </row>
    <row r="275" spans="1:13" x14ac:dyDescent="0.35">
      <c r="A275" t="s">
        <v>639</v>
      </c>
      <c r="B275" t="s">
        <v>583</v>
      </c>
      <c r="C275" t="s">
        <v>640</v>
      </c>
      <c r="D275" t="s">
        <v>46</v>
      </c>
      <c r="E275" t="s">
        <v>47</v>
      </c>
      <c r="F275" t="s">
        <v>48</v>
      </c>
      <c r="G275" t="s">
        <v>176</v>
      </c>
      <c r="H275">
        <v>719</v>
      </c>
      <c r="I275">
        <v>40</v>
      </c>
      <c r="J275">
        <v>50</v>
      </c>
      <c r="K275" t="s">
        <v>20</v>
      </c>
      <c r="L275">
        <v>50</v>
      </c>
      <c r="M275" t="s">
        <v>21</v>
      </c>
    </row>
    <row r="276" spans="1:13" x14ac:dyDescent="0.35">
      <c r="A276" t="s">
        <v>641</v>
      </c>
      <c r="B276" t="s">
        <v>393</v>
      </c>
      <c r="C276" t="s">
        <v>642</v>
      </c>
      <c r="D276" t="s">
        <v>16</v>
      </c>
      <c r="E276" t="s">
        <v>17</v>
      </c>
      <c r="F276" t="s">
        <v>18</v>
      </c>
      <c r="G276" t="s">
        <v>59</v>
      </c>
      <c r="H276">
        <v>410</v>
      </c>
      <c r="I276">
        <v>50</v>
      </c>
      <c r="J276">
        <v>0</v>
      </c>
      <c r="K276" t="s">
        <v>20</v>
      </c>
      <c r="L276">
        <v>41</v>
      </c>
      <c r="M276" t="s">
        <v>21</v>
      </c>
    </row>
    <row r="277" spans="1:13" x14ac:dyDescent="0.35">
      <c r="A277" t="s">
        <v>643</v>
      </c>
      <c r="B277" t="s">
        <v>365</v>
      </c>
      <c r="C277" t="s">
        <v>644</v>
      </c>
      <c r="D277" t="s">
        <v>25</v>
      </c>
      <c r="E277" t="s">
        <v>26</v>
      </c>
      <c r="F277" t="s">
        <v>27</v>
      </c>
      <c r="G277" t="s">
        <v>35</v>
      </c>
      <c r="H277">
        <v>485</v>
      </c>
      <c r="I277">
        <v>40</v>
      </c>
      <c r="J277">
        <v>50</v>
      </c>
      <c r="K277" t="s">
        <v>20</v>
      </c>
      <c r="L277">
        <v>36</v>
      </c>
      <c r="M277" t="s">
        <v>21</v>
      </c>
    </row>
    <row r="278" spans="1:13" x14ac:dyDescent="0.35">
      <c r="A278" t="s">
        <v>645</v>
      </c>
      <c r="B278" t="s">
        <v>273</v>
      </c>
      <c r="C278" t="s">
        <v>646</v>
      </c>
      <c r="D278" t="s">
        <v>25</v>
      </c>
      <c r="E278" t="s">
        <v>34</v>
      </c>
      <c r="F278" t="s">
        <v>27</v>
      </c>
      <c r="G278" t="s">
        <v>107</v>
      </c>
      <c r="H278">
        <v>648</v>
      </c>
      <c r="I278">
        <v>40</v>
      </c>
      <c r="J278">
        <v>30</v>
      </c>
      <c r="K278" t="s">
        <v>29</v>
      </c>
      <c r="L278">
        <v>48</v>
      </c>
      <c r="M278" t="s">
        <v>21</v>
      </c>
    </row>
    <row r="279" spans="1:13" x14ac:dyDescent="0.35">
      <c r="A279" t="s">
        <v>647</v>
      </c>
      <c r="B279" t="s">
        <v>342</v>
      </c>
      <c r="C279" t="s">
        <v>648</v>
      </c>
      <c r="D279" t="s">
        <v>46</v>
      </c>
      <c r="E279" t="s">
        <v>47</v>
      </c>
      <c r="F279" t="s">
        <v>48</v>
      </c>
      <c r="G279" t="s">
        <v>63</v>
      </c>
      <c r="H279">
        <v>189</v>
      </c>
      <c r="I279">
        <v>30</v>
      </c>
      <c r="J279">
        <v>30</v>
      </c>
      <c r="K279" t="s">
        <v>20</v>
      </c>
      <c r="L279">
        <v>22</v>
      </c>
      <c r="M279" t="s">
        <v>21</v>
      </c>
    </row>
    <row r="280" spans="1:13" x14ac:dyDescent="0.35">
      <c r="A280" t="s">
        <v>649</v>
      </c>
      <c r="B280" t="s">
        <v>432</v>
      </c>
      <c r="C280" t="s">
        <v>650</v>
      </c>
      <c r="D280" t="s">
        <v>46</v>
      </c>
      <c r="E280" t="s">
        <v>148</v>
      </c>
      <c r="F280" t="s">
        <v>27</v>
      </c>
      <c r="G280" t="s">
        <v>107</v>
      </c>
      <c r="H280">
        <v>398</v>
      </c>
      <c r="I280">
        <v>50</v>
      </c>
      <c r="J280">
        <v>50</v>
      </c>
      <c r="K280" t="s">
        <v>29</v>
      </c>
      <c r="L280">
        <v>41</v>
      </c>
      <c r="M280" t="s">
        <v>21</v>
      </c>
    </row>
    <row r="281" spans="1:13" x14ac:dyDescent="0.35">
      <c r="A281" t="s">
        <v>651</v>
      </c>
      <c r="B281" t="s">
        <v>241</v>
      </c>
      <c r="C281" t="s">
        <v>516</v>
      </c>
      <c r="D281" t="s">
        <v>16</v>
      </c>
      <c r="E281" t="s">
        <v>131</v>
      </c>
      <c r="F281" t="s">
        <v>55</v>
      </c>
      <c r="G281" t="s">
        <v>107</v>
      </c>
      <c r="H281">
        <v>397</v>
      </c>
      <c r="I281">
        <v>30</v>
      </c>
      <c r="J281">
        <v>30</v>
      </c>
      <c r="K281" t="s">
        <v>36</v>
      </c>
      <c r="L281">
        <v>35</v>
      </c>
      <c r="M281" t="s">
        <v>21</v>
      </c>
    </row>
    <row r="282" spans="1:13" x14ac:dyDescent="0.35">
      <c r="A282" t="s">
        <v>652</v>
      </c>
      <c r="B282" t="s">
        <v>329</v>
      </c>
      <c r="C282" t="s">
        <v>97</v>
      </c>
      <c r="D282" t="s">
        <v>16</v>
      </c>
      <c r="E282" t="s">
        <v>17</v>
      </c>
      <c r="F282" t="s">
        <v>18</v>
      </c>
      <c r="G282" t="s">
        <v>42</v>
      </c>
      <c r="H282">
        <v>641</v>
      </c>
      <c r="I282">
        <v>40</v>
      </c>
      <c r="J282">
        <v>30</v>
      </c>
      <c r="K282" t="s">
        <v>20</v>
      </c>
      <c r="L282">
        <v>20</v>
      </c>
      <c r="M282" t="s">
        <v>21</v>
      </c>
    </row>
    <row r="283" spans="1:13" x14ac:dyDescent="0.35">
      <c r="A283" t="s">
        <v>653</v>
      </c>
      <c r="B283" t="s">
        <v>109</v>
      </c>
      <c r="C283" t="s">
        <v>527</v>
      </c>
      <c r="D283" t="s">
        <v>40</v>
      </c>
      <c r="E283" t="s">
        <v>41</v>
      </c>
      <c r="F283" t="s">
        <v>27</v>
      </c>
      <c r="G283" t="s">
        <v>49</v>
      </c>
      <c r="H283">
        <v>634</v>
      </c>
      <c r="I283">
        <v>40</v>
      </c>
      <c r="J283">
        <v>50</v>
      </c>
      <c r="K283" t="s">
        <v>29</v>
      </c>
      <c r="L283">
        <v>41</v>
      </c>
      <c r="M283" t="s">
        <v>30</v>
      </c>
    </row>
    <row r="284" spans="1:13" x14ac:dyDescent="0.35">
      <c r="A284" t="s">
        <v>654</v>
      </c>
      <c r="B284" t="s">
        <v>91</v>
      </c>
      <c r="C284" t="s">
        <v>484</v>
      </c>
      <c r="D284" t="s">
        <v>53</v>
      </c>
      <c r="E284" t="s">
        <v>84</v>
      </c>
      <c r="F284" t="s">
        <v>85</v>
      </c>
      <c r="G284" t="s">
        <v>42</v>
      </c>
      <c r="H284">
        <v>259</v>
      </c>
      <c r="I284">
        <v>30</v>
      </c>
      <c r="J284">
        <v>100</v>
      </c>
      <c r="K284" t="s">
        <v>20</v>
      </c>
      <c r="L284">
        <v>58</v>
      </c>
      <c r="M284" t="s">
        <v>21</v>
      </c>
    </row>
    <row r="285" spans="1:13" x14ac:dyDescent="0.35">
      <c r="A285" t="s">
        <v>655</v>
      </c>
      <c r="B285" t="s">
        <v>339</v>
      </c>
      <c r="C285" t="s">
        <v>543</v>
      </c>
      <c r="D285" t="s">
        <v>46</v>
      </c>
      <c r="E285" t="s">
        <v>70</v>
      </c>
      <c r="F285" t="s">
        <v>18</v>
      </c>
      <c r="G285" t="s">
        <v>176</v>
      </c>
      <c r="H285">
        <v>639</v>
      </c>
      <c r="I285">
        <v>20</v>
      </c>
      <c r="J285">
        <v>50</v>
      </c>
      <c r="K285" t="s">
        <v>20</v>
      </c>
      <c r="L285">
        <v>38</v>
      </c>
      <c r="M285" t="s">
        <v>21</v>
      </c>
    </row>
    <row r="286" spans="1:13" x14ac:dyDescent="0.35">
      <c r="A286" t="s">
        <v>656</v>
      </c>
      <c r="B286" t="s">
        <v>657</v>
      </c>
      <c r="C286" t="s">
        <v>535</v>
      </c>
      <c r="D286" t="s">
        <v>53</v>
      </c>
      <c r="E286" t="s">
        <v>54</v>
      </c>
      <c r="F286" t="s">
        <v>55</v>
      </c>
      <c r="G286" t="s">
        <v>35</v>
      </c>
      <c r="H286">
        <v>236</v>
      </c>
      <c r="I286">
        <v>40</v>
      </c>
      <c r="J286">
        <v>100</v>
      </c>
      <c r="K286" t="s">
        <v>36</v>
      </c>
      <c r="L286">
        <v>40</v>
      </c>
      <c r="M286" t="s">
        <v>21</v>
      </c>
    </row>
    <row r="287" spans="1:13" x14ac:dyDescent="0.35">
      <c r="A287" t="s">
        <v>658</v>
      </c>
      <c r="B287" t="s">
        <v>23</v>
      </c>
      <c r="C287" t="s">
        <v>659</v>
      </c>
      <c r="D287" t="s">
        <v>53</v>
      </c>
      <c r="E287" t="s">
        <v>152</v>
      </c>
      <c r="F287" t="s">
        <v>18</v>
      </c>
      <c r="G287" t="s">
        <v>107</v>
      </c>
      <c r="H287">
        <v>571</v>
      </c>
      <c r="I287">
        <v>40</v>
      </c>
      <c r="J287">
        <v>50</v>
      </c>
      <c r="K287" t="s">
        <v>36</v>
      </c>
      <c r="L287">
        <v>46</v>
      </c>
      <c r="M287" t="s">
        <v>21</v>
      </c>
    </row>
    <row r="288" spans="1:13" x14ac:dyDescent="0.35">
      <c r="A288" t="s">
        <v>660</v>
      </c>
      <c r="B288" t="s">
        <v>286</v>
      </c>
      <c r="C288" t="s">
        <v>307</v>
      </c>
      <c r="D288" t="s">
        <v>53</v>
      </c>
      <c r="E288" t="s">
        <v>84</v>
      </c>
      <c r="F288" t="s">
        <v>85</v>
      </c>
      <c r="G288" t="s">
        <v>176</v>
      </c>
      <c r="H288">
        <v>328</v>
      </c>
      <c r="I288">
        <v>20</v>
      </c>
      <c r="J288">
        <v>0</v>
      </c>
      <c r="K288" t="s">
        <v>36</v>
      </c>
      <c r="L288">
        <v>48</v>
      </c>
      <c r="M288" t="s">
        <v>21</v>
      </c>
    </row>
    <row r="289" spans="1:13" x14ac:dyDescent="0.35">
      <c r="A289" t="s">
        <v>661</v>
      </c>
      <c r="B289" t="s">
        <v>14</v>
      </c>
      <c r="C289" t="s">
        <v>581</v>
      </c>
      <c r="D289" t="s">
        <v>40</v>
      </c>
      <c r="E289" t="s">
        <v>67</v>
      </c>
      <c r="F289" t="s">
        <v>48</v>
      </c>
      <c r="G289" t="s">
        <v>19</v>
      </c>
      <c r="H289">
        <v>337</v>
      </c>
      <c r="I289">
        <v>20</v>
      </c>
      <c r="J289">
        <v>100</v>
      </c>
      <c r="K289" t="s">
        <v>20</v>
      </c>
      <c r="L289">
        <v>40</v>
      </c>
      <c r="M289" t="s">
        <v>21</v>
      </c>
    </row>
    <row r="290" spans="1:13" x14ac:dyDescent="0.35">
      <c r="A290" t="s">
        <v>662</v>
      </c>
      <c r="B290" t="s">
        <v>305</v>
      </c>
      <c r="C290" t="s">
        <v>463</v>
      </c>
      <c r="D290" t="s">
        <v>16</v>
      </c>
      <c r="E290" t="s">
        <v>89</v>
      </c>
      <c r="F290" t="s">
        <v>18</v>
      </c>
      <c r="G290" t="s">
        <v>59</v>
      </c>
      <c r="H290">
        <v>185</v>
      </c>
      <c r="I290">
        <v>40</v>
      </c>
      <c r="J290">
        <v>0</v>
      </c>
      <c r="K290" t="s">
        <v>29</v>
      </c>
      <c r="L290">
        <v>30</v>
      </c>
      <c r="M290" t="s">
        <v>21</v>
      </c>
    </row>
    <row r="291" spans="1:13" x14ac:dyDescent="0.35">
      <c r="A291" t="s">
        <v>663</v>
      </c>
      <c r="B291" t="s">
        <v>87</v>
      </c>
      <c r="C291" t="s">
        <v>664</v>
      </c>
      <c r="D291" t="s">
        <v>16</v>
      </c>
      <c r="E291" t="s">
        <v>89</v>
      </c>
      <c r="F291" t="s">
        <v>18</v>
      </c>
      <c r="G291" t="s">
        <v>19</v>
      </c>
      <c r="H291">
        <v>791</v>
      </c>
      <c r="I291">
        <v>30</v>
      </c>
      <c r="J291">
        <v>30</v>
      </c>
      <c r="K291" t="s">
        <v>29</v>
      </c>
      <c r="L291">
        <v>43</v>
      </c>
      <c r="M291" t="s">
        <v>21</v>
      </c>
    </row>
    <row r="292" spans="1:13" x14ac:dyDescent="0.35">
      <c r="A292" t="s">
        <v>665</v>
      </c>
      <c r="B292" t="s">
        <v>105</v>
      </c>
      <c r="C292" t="s">
        <v>134</v>
      </c>
      <c r="D292" t="s">
        <v>16</v>
      </c>
      <c r="E292" t="s">
        <v>17</v>
      </c>
      <c r="F292" t="s">
        <v>18</v>
      </c>
      <c r="G292" t="s">
        <v>42</v>
      </c>
      <c r="H292">
        <v>766</v>
      </c>
      <c r="I292">
        <v>50</v>
      </c>
      <c r="J292">
        <v>0</v>
      </c>
      <c r="K292" t="s">
        <v>36</v>
      </c>
      <c r="L292">
        <v>51</v>
      </c>
      <c r="M292" t="s">
        <v>21</v>
      </c>
    </row>
    <row r="293" spans="1:13" x14ac:dyDescent="0.35">
      <c r="A293" t="s">
        <v>666</v>
      </c>
      <c r="B293" t="s">
        <v>241</v>
      </c>
      <c r="C293" t="s">
        <v>172</v>
      </c>
      <c r="D293" t="s">
        <v>53</v>
      </c>
      <c r="E293" t="s">
        <v>84</v>
      </c>
      <c r="F293" t="s">
        <v>85</v>
      </c>
      <c r="G293" t="s">
        <v>42</v>
      </c>
      <c r="H293">
        <v>572</v>
      </c>
      <c r="I293">
        <v>50</v>
      </c>
      <c r="J293">
        <v>0</v>
      </c>
      <c r="K293" t="s">
        <v>29</v>
      </c>
      <c r="L293">
        <v>29</v>
      </c>
      <c r="M293" t="s">
        <v>21</v>
      </c>
    </row>
    <row r="294" spans="1:13" x14ac:dyDescent="0.35">
      <c r="A294" t="s">
        <v>667</v>
      </c>
      <c r="B294" t="s">
        <v>121</v>
      </c>
      <c r="C294" t="s">
        <v>668</v>
      </c>
      <c r="D294" t="s">
        <v>40</v>
      </c>
      <c r="E294" t="s">
        <v>41</v>
      </c>
      <c r="F294" t="s">
        <v>27</v>
      </c>
      <c r="G294" t="s">
        <v>35</v>
      </c>
      <c r="H294">
        <v>277</v>
      </c>
      <c r="I294">
        <v>20</v>
      </c>
      <c r="J294">
        <v>50</v>
      </c>
      <c r="K294" t="s">
        <v>20</v>
      </c>
      <c r="L294">
        <v>21</v>
      </c>
      <c r="M294" t="s">
        <v>21</v>
      </c>
    </row>
    <row r="295" spans="1:13" x14ac:dyDescent="0.35">
      <c r="A295" t="s">
        <v>669</v>
      </c>
      <c r="B295" t="s">
        <v>91</v>
      </c>
      <c r="C295" t="s">
        <v>670</v>
      </c>
      <c r="D295" t="s">
        <v>46</v>
      </c>
      <c r="E295" t="s">
        <v>148</v>
      </c>
      <c r="F295" t="s">
        <v>27</v>
      </c>
      <c r="G295" t="s">
        <v>74</v>
      </c>
      <c r="H295">
        <v>402</v>
      </c>
      <c r="I295">
        <v>20</v>
      </c>
      <c r="J295">
        <v>100</v>
      </c>
      <c r="K295" t="s">
        <v>20</v>
      </c>
      <c r="L295">
        <v>29</v>
      </c>
      <c r="M295" t="s">
        <v>30</v>
      </c>
    </row>
    <row r="296" spans="1:13" x14ac:dyDescent="0.35">
      <c r="A296" t="s">
        <v>671</v>
      </c>
      <c r="B296" t="s">
        <v>398</v>
      </c>
      <c r="C296" t="s">
        <v>672</v>
      </c>
      <c r="D296" t="s">
        <v>25</v>
      </c>
      <c r="E296" t="s">
        <v>34</v>
      </c>
      <c r="F296" t="s">
        <v>27</v>
      </c>
      <c r="G296" t="s">
        <v>42</v>
      </c>
      <c r="H296">
        <v>403</v>
      </c>
      <c r="I296">
        <v>50</v>
      </c>
      <c r="J296">
        <v>100</v>
      </c>
      <c r="K296" t="s">
        <v>29</v>
      </c>
      <c r="L296">
        <v>23</v>
      </c>
      <c r="M296" t="s">
        <v>21</v>
      </c>
    </row>
    <row r="297" spans="1:13" x14ac:dyDescent="0.35">
      <c r="A297" t="s">
        <v>673</v>
      </c>
      <c r="B297" t="s">
        <v>129</v>
      </c>
      <c r="C297" t="s">
        <v>452</v>
      </c>
      <c r="D297" t="s">
        <v>25</v>
      </c>
      <c r="E297" t="s">
        <v>78</v>
      </c>
      <c r="F297" t="s">
        <v>48</v>
      </c>
      <c r="G297" t="s">
        <v>49</v>
      </c>
      <c r="H297">
        <v>462</v>
      </c>
      <c r="I297">
        <v>30</v>
      </c>
      <c r="J297">
        <v>100</v>
      </c>
      <c r="K297" t="s">
        <v>36</v>
      </c>
      <c r="L297">
        <v>25</v>
      </c>
      <c r="M297" t="s">
        <v>21</v>
      </c>
    </row>
    <row r="298" spans="1:13" x14ac:dyDescent="0.35">
      <c r="A298" t="s">
        <v>674</v>
      </c>
      <c r="B298" t="s">
        <v>393</v>
      </c>
      <c r="C298" t="s">
        <v>675</v>
      </c>
      <c r="D298" t="s">
        <v>53</v>
      </c>
      <c r="E298" t="s">
        <v>152</v>
      </c>
      <c r="F298" t="s">
        <v>18</v>
      </c>
      <c r="G298" t="s">
        <v>28</v>
      </c>
      <c r="H298">
        <v>490</v>
      </c>
      <c r="I298">
        <v>20</v>
      </c>
      <c r="J298">
        <v>20</v>
      </c>
      <c r="K298" t="s">
        <v>20</v>
      </c>
      <c r="L298">
        <v>58</v>
      </c>
      <c r="M298" t="s">
        <v>21</v>
      </c>
    </row>
    <row r="299" spans="1:13" x14ac:dyDescent="0.35">
      <c r="A299" t="s">
        <v>676</v>
      </c>
      <c r="B299" t="s">
        <v>568</v>
      </c>
      <c r="C299" t="s">
        <v>403</v>
      </c>
      <c r="D299" t="s">
        <v>25</v>
      </c>
      <c r="E299" t="s">
        <v>26</v>
      </c>
      <c r="F299" t="s">
        <v>27</v>
      </c>
      <c r="G299" t="s">
        <v>42</v>
      </c>
      <c r="H299">
        <v>571</v>
      </c>
      <c r="I299">
        <v>20</v>
      </c>
      <c r="J299">
        <v>20</v>
      </c>
      <c r="K299" t="s">
        <v>20</v>
      </c>
      <c r="L299">
        <v>55</v>
      </c>
      <c r="M299" t="s">
        <v>21</v>
      </c>
    </row>
    <row r="300" spans="1:13" x14ac:dyDescent="0.35">
      <c r="A300" t="s">
        <v>677</v>
      </c>
      <c r="B300" t="s">
        <v>205</v>
      </c>
      <c r="C300" t="s">
        <v>489</v>
      </c>
      <c r="D300" t="s">
        <v>25</v>
      </c>
      <c r="E300" t="s">
        <v>34</v>
      </c>
      <c r="F300" t="s">
        <v>27</v>
      </c>
      <c r="G300" t="s">
        <v>63</v>
      </c>
      <c r="H300">
        <v>440</v>
      </c>
      <c r="I300">
        <v>50</v>
      </c>
      <c r="J300">
        <v>20</v>
      </c>
      <c r="K300" t="s">
        <v>36</v>
      </c>
      <c r="L300">
        <v>37</v>
      </c>
      <c r="M300" t="s">
        <v>21</v>
      </c>
    </row>
    <row r="301" spans="1:13" x14ac:dyDescent="0.35">
      <c r="A301" t="s">
        <v>678</v>
      </c>
      <c r="B301" t="s">
        <v>513</v>
      </c>
      <c r="C301" t="s">
        <v>679</v>
      </c>
      <c r="D301" t="s">
        <v>53</v>
      </c>
      <c r="E301" t="s">
        <v>84</v>
      </c>
      <c r="F301" t="s">
        <v>85</v>
      </c>
      <c r="G301" t="s">
        <v>28</v>
      </c>
      <c r="H301">
        <v>531</v>
      </c>
      <c r="I301">
        <v>50</v>
      </c>
      <c r="J301">
        <v>0</v>
      </c>
      <c r="K301" t="s">
        <v>29</v>
      </c>
      <c r="L301">
        <v>46</v>
      </c>
      <c r="M301" t="s">
        <v>21</v>
      </c>
    </row>
    <row r="302" spans="1:13" x14ac:dyDescent="0.35">
      <c r="A302" t="s">
        <v>680</v>
      </c>
      <c r="B302" t="s">
        <v>14</v>
      </c>
      <c r="C302" t="s">
        <v>604</v>
      </c>
      <c r="D302" t="s">
        <v>25</v>
      </c>
      <c r="E302" t="s">
        <v>34</v>
      </c>
      <c r="F302" t="s">
        <v>27</v>
      </c>
      <c r="G302" t="s">
        <v>107</v>
      </c>
      <c r="H302">
        <v>719</v>
      </c>
      <c r="I302">
        <v>30</v>
      </c>
      <c r="J302">
        <v>50</v>
      </c>
      <c r="K302" t="s">
        <v>29</v>
      </c>
      <c r="L302">
        <v>23</v>
      </c>
      <c r="M302" t="s">
        <v>21</v>
      </c>
    </row>
    <row r="303" spans="1:13" x14ac:dyDescent="0.35">
      <c r="A303" t="s">
        <v>681</v>
      </c>
      <c r="B303" t="s">
        <v>513</v>
      </c>
      <c r="C303" t="s">
        <v>682</v>
      </c>
      <c r="D303" t="s">
        <v>46</v>
      </c>
      <c r="E303" t="s">
        <v>47</v>
      </c>
      <c r="F303" t="s">
        <v>48</v>
      </c>
      <c r="G303" t="s">
        <v>35</v>
      </c>
      <c r="H303">
        <v>470</v>
      </c>
      <c r="I303">
        <v>30</v>
      </c>
      <c r="J303">
        <v>50</v>
      </c>
      <c r="K303" t="s">
        <v>20</v>
      </c>
      <c r="L303">
        <v>45</v>
      </c>
      <c r="M303" t="s">
        <v>21</v>
      </c>
    </row>
    <row r="304" spans="1:13" x14ac:dyDescent="0.35">
      <c r="A304" t="s">
        <v>683</v>
      </c>
      <c r="B304" t="s">
        <v>416</v>
      </c>
      <c r="C304" t="s">
        <v>684</v>
      </c>
      <c r="D304" t="s">
        <v>53</v>
      </c>
      <c r="E304" t="s">
        <v>54</v>
      </c>
      <c r="F304" t="s">
        <v>55</v>
      </c>
      <c r="G304" t="s">
        <v>59</v>
      </c>
      <c r="H304">
        <v>343</v>
      </c>
      <c r="I304">
        <v>50</v>
      </c>
      <c r="J304">
        <v>50</v>
      </c>
      <c r="K304" t="s">
        <v>20</v>
      </c>
      <c r="L304">
        <v>26</v>
      </c>
      <c r="M304" t="s">
        <v>21</v>
      </c>
    </row>
    <row r="305" spans="1:13" x14ac:dyDescent="0.35">
      <c r="A305" t="s">
        <v>685</v>
      </c>
      <c r="B305" t="s">
        <v>199</v>
      </c>
      <c r="C305" t="s">
        <v>686</v>
      </c>
      <c r="D305" t="s">
        <v>16</v>
      </c>
      <c r="E305" t="s">
        <v>131</v>
      </c>
      <c r="F305" t="s">
        <v>55</v>
      </c>
      <c r="G305" t="s">
        <v>59</v>
      </c>
      <c r="H305">
        <v>543</v>
      </c>
      <c r="I305">
        <v>40</v>
      </c>
      <c r="J305">
        <v>100</v>
      </c>
      <c r="K305" t="s">
        <v>20</v>
      </c>
      <c r="L305">
        <v>32</v>
      </c>
      <c r="M305" t="s">
        <v>21</v>
      </c>
    </row>
    <row r="306" spans="1:13" x14ac:dyDescent="0.35">
      <c r="A306" t="s">
        <v>687</v>
      </c>
      <c r="B306" t="s">
        <v>205</v>
      </c>
      <c r="C306" t="s">
        <v>688</v>
      </c>
      <c r="D306" t="s">
        <v>40</v>
      </c>
      <c r="E306" t="s">
        <v>111</v>
      </c>
      <c r="F306" t="s">
        <v>18</v>
      </c>
      <c r="G306" t="s">
        <v>42</v>
      </c>
      <c r="H306">
        <v>705</v>
      </c>
      <c r="I306">
        <v>20</v>
      </c>
      <c r="J306">
        <v>0</v>
      </c>
      <c r="K306" t="s">
        <v>20</v>
      </c>
      <c r="L306">
        <v>58</v>
      </c>
      <c r="M306" t="s">
        <v>21</v>
      </c>
    </row>
    <row r="307" spans="1:13" x14ac:dyDescent="0.35">
      <c r="A307" t="s">
        <v>689</v>
      </c>
      <c r="B307" t="s">
        <v>583</v>
      </c>
      <c r="C307" t="s">
        <v>690</v>
      </c>
      <c r="D307" t="s">
        <v>53</v>
      </c>
      <c r="E307" t="s">
        <v>84</v>
      </c>
      <c r="F307" t="s">
        <v>85</v>
      </c>
      <c r="G307" t="s">
        <v>19</v>
      </c>
      <c r="H307">
        <v>340</v>
      </c>
      <c r="I307">
        <v>30</v>
      </c>
      <c r="J307">
        <v>100</v>
      </c>
      <c r="K307" t="s">
        <v>36</v>
      </c>
      <c r="L307">
        <v>25</v>
      </c>
      <c r="M307" t="s">
        <v>21</v>
      </c>
    </row>
    <row r="308" spans="1:13" x14ac:dyDescent="0.35">
      <c r="A308" t="s">
        <v>691</v>
      </c>
      <c r="B308" t="s">
        <v>657</v>
      </c>
      <c r="C308" t="s">
        <v>692</v>
      </c>
      <c r="D308" t="s">
        <v>16</v>
      </c>
      <c r="E308" t="s">
        <v>17</v>
      </c>
      <c r="F308" t="s">
        <v>18</v>
      </c>
      <c r="G308" t="s">
        <v>35</v>
      </c>
      <c r="H308">
        <v>786</v>
      </c>
      <c r="I308">
        <v>20</v>
      </c>
      <c r="J308">
        <v>20</v>
      </c>
      <c r="K308" t="s">
        <v>20</v>
      </c>
      <c r="L308">
        <v>57</v>
      </c>
      <c r="M308" t="s">
        <v>21</v>
      </c>
    </row>
    <row r="309" spans="1:13" x14ac:dyDescent="0.35">
      <c r="A309" t="s">
        <v>693</v>
      </c>
      <c r="B309" t="s">
        <v>449</v>
      </c>
      <c r="C309" t="s">
        <v>694</v>
      </c>
      <c r="D309" t="s">
        <v>46</v>
      </c>
      <c r="E309" t="s">
        <v>70</v>
      </c>
      <c r="F309" t="s">
        <v>18</v>
      </c>
      <c r="G309" t="s">
        <v>107</v>
      </c>
      <c r="H309">
        <v>483</v>
      </c>
      <c r="I309">
        <v>20</v>
      </c>
      <c r="J309">
        <v>50</v>
      </c>
      <c r="K309" t="s">
        <v>36</v>
      </c>
      <c r="L309">
        <v>40</v>
      </c>
      <c r="M309" t="s">
        <v>21</v>
      </c>
    </row>
    <row r="310" spans="1:13" x14ac:dyDescent="0.35">
      <c r="A310" t="s">
        <v>695</v>
      </c>
      <c r="B310" t="s">
        <v>295</v>
      </c>
      <c r="C310" t="s">
        <v>696</v>
      </c>
      <c r="D310" t="s">
        <v>25</v>
      </c>
      <c r="E310" t="s">
        <v>34</v>
      </c>
      <c r="F310" t="s">
        <v>27</v>
      </c>
      <c r="G310" t="s">
        <v>107</v>
      </c>
      <c r="H310">
        <v>351</v>
      </c>
      <c r="I310">
        <v>20</v>
      </c>
      <c r="J310">
        <v>0</v>
      </c>
      <c r="K310" t="s">
        <v>36</v>
      </c>
      <c r="L310">
        <v>50</v>
      </c>
      <c r="M310" t="s">
        <v>21</v>
      </c>
    </row>
    <row r="311" spans="1:13" x14ac:dyDescent="0.35">
      <c r="A311" t="s">
        <v>697</v>
      </c>
      <c r="B311" t="s">
        <v>513</v>
      </c>
      <c r="C311" t="s">
        <v>698</v>
      </c>
      <c r="D311" t="s">
        <v>40</v>
      </c>
      <c r="E311" t="s">
        <v>41</v>
      </c>
      <c r="F311" t="s">
        <v>27</v>
      </c>
      <c r="G311" t="s">
        <v>42</v>
      </c>
      <c r="H311">
        <v>710</v>
      </c>
      <c r="I311">
        <v>50</v>
      </c>
      <c r="J311">
        <v>100</v>
      </c>
      <c r="K311" t="s">
        <v>29</v>
      </c>
      <c r="L311">
        <v>28</v>
      </c>
      <c r="M311" t="s">
        <v>21</v>
      </c>
    </row>
    <row r="312" spans="1:13" x14ac:dyDescent="0.35">
      <c r="A312" t="s">
        <v>699</v>
      </c>
      <c r="B312" t="s">
        <v>167</v>
      </c>
      <c r="C312" t="s">
        <v>700</v>
      </c>
      <c r="D312" t="s">
        <v>40</v>
      </c>
      <c r="E312" t="s">
        <v>111</v>
      </c>
      <c r="F312" t="s">
        <v>18</v>
      </c>
      <c r="G312" t="s">
        <v>63</v>
      </c>
      <c r="H312">
        <v>734</v>
      </c>
      <c r="I312">
        <v>50</v>
      </c>
      <c r="J312">
        <v>30</v>
      </c>
      <c r="K312" t="s">
        <v>36</v>
      </c>
      <c r="L312">
        <v>50</v>
      </c>
      <c r="M312" t="s">
        <v>21</v>
      </c>
    </row>
    <row r="313" spans="1:13" x14ac:dyDescent="0.35">
      <c r="A313" t="s">
        <v>701</v>
      </c>
      <c r="B313" t="s">
        <v>57</v>
      </c>
      <c r="C313" t="s">
        <v>702</v>
      </c>
      <c r="D313" t="s">
        <v>40</v>
      </c>
      <c r="E313" t="s">
        <v>67</v>
      </c>
      <c r="F313" t="s">
        <v>48</v>
      </c>
      <c r="G313" t="s">
        <v>19</v>
      </c>
      <c r="H313">
        <v>230</v>
      </c>
      <c r="I313">
        <v>20</v>
      </c>
      <c r="J313">
        <v>20</v>
      </c>
      <c r="K313" t="s">
        <v>36</v>
      </c>
      <c r="L313">
        <v>60</v>
      </c>
      <c r="M313" t="s">
        <v>21</v>
      </c>
    </row>
    <row r="314" spans="1:13" x14ac:dyDescent="0.35">
      <c r="A314" t="s">
        <v>703</v>
      </c>
      <c r="B314" t="s">
        <v>129</v>
      </c>
      <c r="C314" t="s">
        <v>704</v>
      </c>
      <c r="D314" t="s">
        <v>40</v>
      </c>
      <c r="E314" t="s">
        <v>41</v>
      </c>
      <c r="F314" t="s">
        <v>27</v>
      </c>
      <c r="G314" t="s">
        <v>63</v>
      </c>
      <c r="H314">
        <v>762</v>
      </c>
      <c r="I314">
        <v>50</v>
      </c>
      <c r="J314">
        <v>50</v>
      </c>
      <c r="K314" t="s">
        <v>29</v>
      </c>
      <c r="L314">
        <v>28</v>
      </c>
      <c r="M314" t="s">
        <v>21</v>
      </c>
    </row>
    <row r="315" spans="1:13" x14ac:dyDescent="0.35">
      <c r="A315" t="s">
        <v>705</v>
      </c>
      <c r="B315" t="s">
        <v>136</v>
      </c>
      <c r="C315" t="s">
        <v>706</v>
      </c>
      <c r="D315" t="s">
        <v>25</v>
      </c>
      <c r="E315" t="s">
        <v>34</v>
      </c>
      <c r="F315" t="s">
        <v>27</v>
      </c>
      <c r="G315" t="s">
        <v>19</v>
      </c>
      <c r="H315">
        <v>565</v>
      </c>
      <c r="I315">
        <v>50</v>
      </c>
      <c r="J315">
        <v>50</v>
      </c>
      <c r="K315" t="s">
        <v>36</v>
      </c>
      <c r="L315">
        <v>26</v>
      </c>
      <c r="M315" t="s">
        <v>21</v>
      </c>
    </row>
    <row r="316" spans="1:13" x14ac:dyDescent="0.35">
      <c r="A316" t="s">
        <v>707</v>
      </c>
      <c r="B316" t="s">
        <v>38</v>
      </c>
      <c r="C316" t="s">
        <v>708</v>
      </c>
      <c r="D316" t="s">
        <v>46</v>
      </c>
      <c r="E316" t="s">
        <v>70</v>
      </c>
      <c r="F316" t="s">
        <v>18</v>
      </c>
      <c r="G316" t="s">
        <v>49</v>
      </c>
      <c r="H316">
        <v>539</v>
      </c>
      <c r="I316">
        <v>30</v>
      </c>
      <c r="J316">
        <v>30</v>
      </c>
      <c r="K316" t="s">
        <v>36</v>
      </c>
      <c r="L316">
        <v>25</v>
      </c>
      <c r="M316" t="s">
        <v>21</v>
      </c>
    </row>
    <row r="317" spans="1:13" x14ac:dyDescent="0.35">
      <c r="A317" t="s">
        <v>709</v>
      </c>
      <c r="B317" t="s">
        <v>476</v>
      </c>
      <c r="C317" t="s">
        <v>710</v>
      </c>
      <c r="D317" t="s">
        <v>53</v>
      </c>
      <c r="E317" t="s">
        <v>84</v>
      </c>
      <c r="F317" t="s">
        <v>85</v>
      </c>
      <c r="G317" t="s">
        <v>74</v>
      </c>
      <c r="H317">
        <v>195</v>
      </c>
      <c r="I317">
        <v>50</v>
      </c>
      <c r="J317">
        <v>20</v>
      </c>
      <c r="K317" t="s">
        <v>20</v>
      </c>
      <c r="L317">
        <v>60</v>
      </c>
      <c r="M317" t="s">
        <v>21</v>
      </c>
    </row>
    <row r="318" spans="1:13" x14ac:dyDescent="0.35">
      <c r="A318" t="s">
        <v>711</v>
      </c>
      <c r="B318" t="s">
        <v>322</v>
      </c>
      <c r="C318" t="s">
        <v>712</v>
      </c>
      <c r="D318" t="s">
        <v>46</v>
      </c>
      <c r="E318" t="s">
        <v>47</v>
      </c>
      <c r="F318" t="s">
        <v>48</v>
      </c>
      <c r="G318" t="s">
        <v>19</v>
      </c>
      <c r="H318">
        <v>201</v>
      </c>
      <c r="I318">
        <v>50</v>
      </c>
      <c r="J318">
        <v>0</v>
      </c>
      <c r="K318" t="s">
        <v>20</v>
      </c>
      <c r="L318">
        <v>49</v>
      </c>
      <c r="M318" t="s">
        <v>21</v>
      </c>
    </row>
    <row r="319" spans="1:13" x14ac:dyDescent="0.35">
      <c r="A319" t="s">
        <v>713</v>
      </c>
      <c r="B319" t="s">
        <v>273</v>
      </c>
      <c r="C319" t="s">
        <v>265</v>
      </c>
      <c r="D319" t="s">
        <v>16</v>
      </c>
      <c r="E319" t="s">
        <v>89</v>
      </c>
      <c r="F319" t="s">
        <v>18</v>
      </c>
      <c r="G319" t="s">
        <v>28</v>
      </c>
      <c r="H319">
        <v>649</v>
      </c>
      <c r="I319">
        <v>40</v>
      </c>
      <c r="J319">
        <v>20</v>
      </c>
      <c r="K319" t="s">
        <v>29</v>
      </c>
      <c r="L319">
        <v>35</v>
      </c>
      <c r="M319" t="s">
        <v>21</v>
      </c>
    </row>
    <row r="320" spans="1:13" x14ac:dyDescent="0.35">
      <c r="A320" t="s">
        <v>714</v>
      </c>
      <c r="B320" t="s">
        <v>61</v>
      </c>
      <c r="C320" t="s">
        <v>715</v>
      </c>
      <c r="D320" t="s">
        <v>53</v>
      </c>
      <c r="E320" t="s">
        <v>54</v>
      </c>
      <c r="F320" t="s">
        <v>55</v>
      </c>
      <c r="G320" t="s">
        <v>19</v>
      </c>
      <c r="H320">
        <v>307</v>
      </c>
      <c r="I320">
        <v>40</v>
      </c>
      <c r="J320">
        <v>30</v>
      </c>
      <c r="K320" t="s">
        <v>20</v>
      </c>
      <c r="L320">
        <v>55</v>
      </c>
      <c r="M320" t="s">
        <v>21</v>
      </c>
    </row>
    <row r="321" spans="1:13" x14ac:dyDescent="0.35">
      <c r="A321" t="s">
        <v>716</v>
      </c>
      <c r="B321" t="s">
        <v>38</v>
      </c>
      <c r="C321" t="s">
        <v>717</v>
      </c>
      <c r="D321" t="s">
        <v>16</v>
      </c>
      <c r="E321" t="s">
        <v>131</v>
      </c>
      <c r="F321" t="s">
        <v>55</v>
      </c>
      <c r="G321" t="s">
        <v>49</v>
      </c>
      <c r="H321">
        <v>492</v>
      </c>
      <c r="I321">
        <v>30</v>
      </c>
      <c r="J321">
        <v>30</v>
      </c>
      <c r="K321" t="s">
        <v>20</v>
      </c>
      <c r="L321">
        <v>30</v>
      </c>
      <c r="M321" t="s">
        <v>21</v>
      </c>
    </row>
    <row r="322" spans="1:13" x14ac:dyDescent="0.35">
      <c r="A322" t="s">
        <v>718</v>
      </c>
      <c r="B322" t="s">
        <v>80</v>
      </c>
      <c r="C322" t="s">
        <v>719</v>
      </c>
      <c r="D322" t="s">
        <v>40</v>
      </c>
      <c r="E322" t="s">
        <v>41</v>
      </c>
      <c r="F322" t="s">
        <v>27</v>
      </c>
      <c r="G322" t="s">
        <v>63</v>
      </c>
      <c r="H322">
        <v>435</v>
      </c>
      <c r="I322">
        <v>30</v>
      </c>
      <c r="J322">
        <v>0</v>
      </c>
      <c r="K322" t="s">
        <v>36</v>
      </c>
      <c r="L322">
        <v>23</v>
      </c>
      <c r="M322" t="s">
        <v>21</v>
      </c>
    </row>
    <row r="323" spans="1:13" x14ac:dyDescent="0.35">
      <c r="A323" t="s">
        <v>720</v>
      </c>
      <c r="B323" t="s">
        <v>413</v>
      </c>
      <c r="C323" t="s">
        <v>721</v>
      </c>
      <c r="D323" t="s">
        <v>16</v>
      </c>
      <c r="E323" t="s">
        <v>131</v>
      </c>
      <c r="F323" t="s">
        <v>55</v>
      </c>
      <c r="G323" t="s">
        <v>107</v>
      </c>
      <c r="H323">
        <v>172</v>
      </c>
      <c r="I323">
        <v>30</v>
      </c>
      <c r="J323">
        <v>20</v>
      </c>
      <c r="K323" t="s">
        <v>36</v>
      </c>
      <c r="L323">
        <v>48</v>
      </c>
      <c r="M323" t="s">
        <v>21</v>
      </c>
    </row>
    <row r="324" spans="1:13" x14ac:dyDescent="0.35">
      <c r="A324" t="s">
        <v>722</v>
      </c>
      <c r="B324" t="s">
        <v>174</v>
      </c>
      <c r="C324" t="s">
        <v>106</v>
      </c>
      <c r="D324" t="s">
        <v>25</v>
      </c>
      <c r="E324" t="s">
        <v>34</v>
      </c>
      <c r="F324" t="s">
        <v>27</v>
      </c>
      <c r="G324" t="s">
        <v>59</v>
      </c>
      <c r="H324">
        <v>545</v>
      </c>
      <c r="I324">
        <v>50</v>
      </c>
      <c r="J324">
        <v>0</v>
      </c>
      <c r="K324" t="s">
        <v>29</v>
      </c>
      <c r="L324">
        <v>51</v>
      </c>
      <c r="M324" t="s">
        <v>21</v>
      </c>
    </row>
    <row r="325" spans="1:13" x14ac:dyDescent="0.35">
      <c r="A325" t="s">
        <v>723</v>
      </c>
      <c r="B325" t="s">
        <v>23</v>
      </c>
      <c r="C325" t="s">
        <v>724</v>
      </c>
      <c r="D325" t="s">
        <v>25</v>
      </c>
      <c r="E325" t="s">
        <v>34</v>
      </c>
      <c r="F325" t="s">
        <v>27</v>
      </c>
      <c r="G325" t="s">
        <v>176</v>
      </c>
      <c r="H325">
        <v>385</v>
      </c>
      <c r="I325">
        <v>40</v>
      </c>
      <c r="J325">
        <v>20</v>
      </c>
      <c r="K325" t="s">
        <v>36</v>
      </c>
      <c r="L325">
        <v>60</v>
      </c>
      <c r="M325" t="s">
        <v>21</v>
      </c>
    </row>
    <row r="326" spans="1:13" x14ac:dyDescent="0.35">
      <c r="A326" t="s">
        <v>725</v>
      </c>
      <c r="B326" t="s">
        <v>223</v>
      </c>
      <c r="C326" t="s">
        <v>726</v>
      </c>
      <c r="D326" t="s">
        <v>16</v>
      </c>
      <c r="E326" t="s">
        <v>131</v>
      </c>
      <c r="F326" t="s">
        <v>55</v>
      </c>
      <c r="G326" t="s">
        <v>59</v>
      </c>
      <c r="H326">
        <v>335</v>
      </c>
      <c r="I326">
        <v>50</v>
      </c>
      <c r="J326">
        <v>50</v>
      </c>
      <c r="K326" t="s">
        <v>36</v>
      </c>
      <c r="L326">
        <v>38</v>
      </c>
      <c r="M326" t="s">
        <v>21</v>
      </c>
    </row>
    <row r="327" spans="1:13" x14ac:dyDescent="0.35">
      <c r="A327" t="s">
        <v>727</v>
      </c>
      <c r="B327" t="s">
        <v>291</v>
      </c>
      <c r="C327" t="s">
        <v>728</v>
      </c>
      <c r="D327" t="s">
        <v>25</v>
      </c>
      <c r="E327" t="s">
        <v>78</v>
      </c>
      <c r="F327" t="s">
        <v>48</v>
      </c>
      <c r="G327" t="s">
        <v>28</v>
      </c>
      <c r="H327">
        <v>293</v>
      </c>
      <c r="I327">
        <v>50</v>
      </c>
      <c r="J327">
        <v>100</v>
      </c>
      <c r="K327" t="s">
        <v>36</v>
      </c>
      <c r="L327">
        <v>23</v>
      </c>
      <c r="M327" t="s">
        <v>21</v>
      </c>
    </row>
    <row r="328" spans="1:13" x14ac:dyDescent="0.35">
      <c r="A328" t="s">
        <v>729</v>
      </c>
      <c r="B328" t="s">
        <v>657</v>
      </c>
      <c r="C328" t="s">
        <v>33</v>
      </c>
      <c r="D328" t="s">
        <v>16</v>
      </c>
      <c r="E328" t="s">
        <v>17</v>
      </c>
      <c r="F328" t="s">
        <v>18</v>
      </c>
      <c r="G328" t="s">
        <v>63</v>
      </c>
      <c r="H328">
        <v>639</v>
      </c>
      <c r="I328">
        <v>30</v>
      </c>
      <c r="J328">
        <v>30</v>
      </c>
      <c r="K328" t="s">
        <v>20</v>
      </c>
      <c r="L328">
        <v>58</v>
      </c>
      <c r="M328" t="s">
        <v>30</v>
      </c>
    </row>
    <row r="329" spans="1:13" x14ac:dyDescent="0.35">
      <c r="A329" t="s">
        <v>730</v>
      </c>
      <c r="B329" t="s">
        <v>244</v>
      </c>
      <c r="C329" t="s">
        <v>731</v>
      </c>
      <c r="D329" t="s">
        <v>46</v>
      </c>
      <c r="E329" t="s">
        <v>70</v>
      </c>
      <c r="F329" t="s">
        <v>18</v>
      </c>
      <c r="G329" t="s">
        <v>176</v>
      </c>
      <c r="H329">
        <v>390</v>
      </c>
      <c r="I329">
        <v>30</v>
      </c>
      <c r="J329">
        <v>20</v>
      </c>
      <c r="K329" t="s">
        <v>36</v>
      </c>
      <c r="L329">
        <v>36</v>
      </c>
      <c r="M329" t="s">
        <v>21</v>
      </c>
    </row>
    <row r="330" spans="1:13" x14ac:dyDescent="0.35">
      <c r="A330" t="s">
        <v>732</v>
      </c>
      <c r="B330" t="s">
        <v>65</v>
      </c>
      <c r="C330" t="s">
        <v>409</v>
      </c>
      <c r="D330" t="s">
        <v>25</v>
      </c>
      <c r="E330" t="s">
        <v>78</v>
      </c>
      <c r="F330" t="s">
        <v>48</v>
      </c>
      <c r="G330" t="s">
        <v>63</v>
      </c>
      <c r="H330">
        <v>214</v>
      </c>
      <c r="I330">
        <v>40</v>
      </c>
      <c r="J330">
        <v>50</v>
      </c>
      <c r="K330" t="s">
        <v>36</v>
      </c>
      <c r="L330">
        <v>27</v>
      </c>
      <c r="M330" t="s">
        <v>21</v>
      </c>
    </row>
    <row r="331" spans="1:13" x14ac:dyDescent="0.35">
      <c r="A331" t="s">
        <v>733</v>
      </c>
      <c r="B331" t="s">
        <v>326</v>
      </c>
      <c r="C331" t="s">
        <v>734</v>
      </c>
      <c r="D331" t="s">
        <v>40</v>
      </c>
      <c r="E331" t="s">
        <v>41</v>
      </c>
      <c r="F331" t="s">
        <v>27</v>
      </c>
      <c r="G331" t="s">
        <v>63</v>
      </c>
      <c r="H331">
        <v>593</v>
      </c>
      <c r="I331">
        <v>50</v>
      </c>
      <c r="J331">
        <v>30</v>
      </c>
      <c r="K331" t="s">
        <v>36</v>
      </c>
      <c r="L331">
        <v>41</v>
      </c>
      <c r="M331" t="s">
        <v>21</v>
      </c>
    </row>
    <row r="332" spans="1:13" x14ac:dyDescent="0.35">
      <c r="A332" t="s">
        <v>735</v>
      </c>
      <c r="B332" t="s">
        <v>310</v>
      </c>
      <c r="C332" t="s">
        <v>221</v>
      </c>
      <c r="D332" t="s">
        <v>16</v>
      </c>
      <c r="E332" t="s">
        <v>89</v>
      </c>
      <c r="F332" t="s">
        <v>18</v>
      </c>
      <c r="G332" t="s">
        <v>19</v>
      </c>
      <c r="H332">
        <v>715</v>
      </c>
      <c r="I332">
        <v>50</v>
      </c>
      <c r="J332">
        <v>0</v>
      </c>
      <c r="K332" t="s">
        <v>29</v>
      </c>
      <c r="L332">
        <v>46</v>
      </c>
      <c r="M332" t="s">
        <v>21</v>
      </c>
    </row>
    <row r="333" spans="1:13" x14ac:dyDescent="0.35">
      <c r="A333" t="s">
        <v>736</v>
      </c>
      <c r="B333" t="s">
        <v>432</v>
      </c>
      <c r="C333" t="s">
        <v>737</v>
      </c>
      <c r="D333" t="s">
        <v>16</v>
      </c>
      <c r="E333" t="s">
        <v>131</v>
      </c>
      <c r="F333" t="s">
        <v>55</v>
      </c>
      <c r="G333" t="s">
        <v>49</v>
      </c>
      <c r="H333">
        <v>715</v>
      </c>
      <c r="I333">
        <v>20</v>
      </c>
      <c r="J333">
        <v>20</v>
      </c>
      <c r="K333" t="s">
        <v>20</v>
      </c>
      <c r="L333">
        <v>29</v>
      </c>
      <c r="M333" t="s">
        <v>21</v>
      </c>
    </row>
    <row r="334" spans="1:13" x14ac:dyDescent="0.35">
      <c r="A334" t="s">
        <v>738</v>
      </c>
      <c r="B334" t="s">
        <v>91</v>
      </c>
      <c r="C334" t="s">
        <v>739</v>
      </c>
      <c r="D334" t="s">
        <v>25</v>
      </c>
      <c r="E334" t="s">
        <v>34</v>
      </c>
      <c r="F334" t="s">
        <v>27</v>
      </c>
      <c r="G334" t="s">
        <v>35</v>
      </c>
      <c r="H334">
        <v>533</v>
      </c>
      <c r="I334">
        <v>30</v>
      </c>
      <c r="J334">
        <v>50</v>
      </c>
      <c r="K334" t="s">
        <v>20</v>
      </c>
      <c r="L334">
        <v>48</v>
      </c>
      <c r="M334" t="s">
        <v>21</v>
      </c>
    </row>
    <row r="335" spans="1:13" x14ac:dyDescent="0.35">
      <c r="A335" t="s">
        <v>740</v>
      </c>
      <c r="B335" t="s">
        <v>76</v>
      </c>
      <c r="C335" t="s">
        <v>141</v>
      </c>
      <c r="D335" t="s">
        <v>46</v>
      </c>
      <c r="E335" t="s">
        <v>70</v>
      </c>
      <c r="F335" t="s">
        <v>18</v>
      </c>
      <c r="G335" t="s">
        <v>28</v>
      </c>
      <c r="H335">
        <v>662</v>
      </c>
      <c r="I335">
        <v>20</v>
      </c>
      <c r="J335">
        <v>0</v>
      </c>
      <c r="K335" t="s">
        <v>20</v>
      </c>
      <c r="L335">
        <v>23</v>
      </c>
      <c r="M335" t="s">
        <v>21</v>
      </c>
    </row>
    <row r="336" spans="1:13" x14ac:dyDescent="0.35">
      <c r="A336" t="s">
        <v>741</v>
      </c>
      <c r="B336" t="s">
        <v>398</v>
      </c>
      <c r="C336" t="s">
        <v>214</v>
      </c>
      <c r="D336" t="s">
        <v>53</v>
      </c>
      <c r="E336" t="s">
        <v>84</v>
      </c>
      <c r="F336" t="s">
        <v>85</v>
      </c>
      <c r="G336" t="s">
        <v>107</v>
      </c>
      <c r="H336">
        <v>222</v>
      </c>
      <c r="I336">
        <v>20</v>
      </c>
      <c r="J336">
        <v>50</v>
      </c>
      <c r="K336" t="s">
        <v>29</v>
      </c>
      <c r="L336">
        <v>34</v>
      </c>
      <c r="M336" t="s">
        <v>21</v>
      </c>
    </row>
    <row r="337" spans="1:13" x14ac:dyDescent="0.35">
      <c r="A337" t="s">
        <v>742</v>
      </c>
      <c r="B337" t="s">
        <v>178</v>
      </c>
      <c r="C337" t="s">
        <v>743</v>
      </c>
      <c r="D337" t="s">
        <v>40</v>
      </c>
      <c r="E337" t="s">
        <v>111</v>
      </c>
      <c r="F337" t="s">
        <v>18</v>
      </c>
      <c r="G337" t="s">
        <v>42</v>
      </c>
      <c r="H337">
        <v>663</v>
      </c>
      <c r="I337">
        <v>30</v>
      </c>
      <c r="J337">
        <v>50</v>
      </c>
      <c r="K337" t="s">
        <v>36</v>
      </c>
      <c r="L337">
        <v>34</v>
      </c>
      <c r="M337" t="s">
        <v>21</v>
      </c>
    </row>
    <row r="338" spans="1:13" x14ac:dyDescent="0.35">
      <c r="A338" t="s">
        <v>744</v>
      </c>
      <c r="B338" t="s">
        <v>252</v>
      </c>
      <c r="C338" t="s">
        <v>745</v>
      </c>
      <c r="D338" t="s">
        <v>16</v>
      </c>
      <c r="E338" t="s">
        <v>17</v>
      </c>
      <c r="F338" t="s">
        <v>18</v>
      </c>
      <c r="G338" t="s">
        <v>49</v>
      </c>
      <c r="H338">
        <v>525</v>
      </c>
      <c r="I338">
        <v>50</v>
      </c>
      <c r="J338">
        <v>30</v>
      </c>
      <c r="K338" t="s">
        <v>36</v>
      </c>
      <c r="L338">
        <v>42</v>
      </c>
      <c r="M338" t="s">
        <v>21</v>
      </c>
    </row>
    <row r="339" spans="1:13" x14ac:dyDescent="0.35">
      <c r="A339" t="s">
        <v>746</v>
      </c>
      <c r="B339" t="s">
        <v>14</v>
      </c>
      <c r="C339" t="s">
        <v>747</v>
      </c>
      <c r="D339" t="s">
        <v>46</v>
      </c>
      <c r="E339" t="s">
        <v>148</v>
      </c>
      <c r="F339" t="s">
        <v>27</v>
      </c>
      <c r="G339" t="s">
        <v>28</v>
      </c>
      <c r="H339">
        <v>510</v>
      </c>
      <c r="I339">
        <v>50</v>
      </c>
      <c r="J339">
        <v>50</v>
      </c>
      <c r="K339" t="s">
        <v>20</v>
      </c>
      <c r="L339">
        <v>35</v>
      </c>
      <c r="M339" t="s">
        <v>21</v>
      </c>
    </row>
    <row r="340" spans="1:13" x14ac:dyDescent="0.35">
      <c r="A340" t="s">
        <v>748</v>
      </c>
      <c r="B340" t="s">
        <v>286</v>
      </c>
      <c r="C340" t="s">
        <v>749</v>
      </c>
      <c r="D340" t="s">
        <v>16</v>
      </c>
      <c r="E340" t="s">
        <v>131</v>
      </c>
      <c r="F340" t="s">
        <v>55</v>
      </c>
      <c r="G340" t="s">
        <v>74</v>
      </c>
      <c r="H340">
        <v>321</v>
      </c>
      <c r="I340">
        <v>30</v>
      </c>
      <c r="J340">
        <v>20</v>
      </c>
      <c r="K340" t="s">
        <v>36</v>
      </c>
      <c r="L340">
        <v>53</v>
      </c>
      <c r="M340" t="s">
        <v>21</v>
      </c>
    </row>
    <row r="341" spans="1:13" x14ac:dyDescent="0.35">
      <c r="A341" t="s">
        <v>750</v>
      </c>
      <c r="B341" t="s">
        <v>300</v>
      </c>
      <c r="C341" t="s">
        <v>200</v>
      </c>
      <c r="D341" t="s">
        <v>46</v>
      </c>
      <c r="E341" t="s">
        <v>148</v>
      </c>
      <c r="F341" t="s">
        <v>27</v>
      </c>
      <c r="G341" t="s">
        <v>176</v>
      </c>
      <c r="H341">
        <v>748</v>
      </c>
      <c r="I341">
        <v>30</v>
      </c>
      <c r="J341">
        <v>30</v>
      </c>
      <c r="K341" t="s">
        <v>20</v>
      </c>
      <c r="L341">
        <v>58</v>
      </c>
      <c r="M341" t="s">
        <v>21</v>
      </c>
    </row>
    <row r="342" spans="1:13" x14ac:dyDescent="0.35">
      <c r="A342" t="s">
        <v>751</v>
      </c>
      <c r="B342" t="s">
        <v>189</v>
      </c>
      <c r="C342" t="s">
        <v>752</v>
      </c>
      <c r="D342" t="s">
        <v>25</v>
      </c>
      <c r="E342" t="s">
        <v>26</v>
      </c>
      <c r="F342" t="s">
        <v>27</v>
      </c>
      <c r="G342" t="s">
        <v>107</v>
      </c>
      <c r="H342">
        <v>266</v>
      </c>
      <c r="I342">
        <v>20</v>
      </c>
      <c r="J342">
        <v>100</v>
      </c>
      <c r="K342" t="s">
        <v>36</v>
      </c>
      <c r="L342">
        <v>24</v>
      </c>
      <c r="M342" t="s">
        <v>21</v>
      </c>
    </row>
    <row r="343" spans="1:13" x14ac:dyDescent="0.35">
      <c r="A343" t="s">
        <v>753</v>
      </c>
      <c r="B343" t="s">
        <v>23</v>
      </c>
      <c r="C343" t="s">
        <v>754</v>
      </c>
      <c r="D343" t="s">
        <v>46</v>
      </c>
      <c r="E343" t="s">
        <v>148</v>
      </c>
      <c r="F343" t="s">
        <v>27</v>
      </c>
      <c r="G343" t="s">
        <v>35</v>
      </c>
      <c r="H343">
        <v>364</v>
      </c>
      <c r="I343">
        <v>50</v>
      </c>
      <c r="J343">
        <v>0</v>
      </c>
      <c r="K343" t="s">
        <v>20</v>
      </c>
      <c r="L343">
        <v>31</v>
      </c>
      <c r="M343" t="s">
        <v>21</v>
      </c>
    </row>
    <row r="344" spans="1:13" x14ac:dyDescent="0.35">
      <c r="A344" t="s">
        <v>755</v>
      </c>
      <c r="B344" t="s">
        <v>368</v>
      </c>
      <c r="C344" t="s">
        <v>756</v>
      </c>
      <c r="D344" t="s">
        <v>16</v>
      </c>
      <c r="E344" t="s">
        <v>131</v>
      </c>
      <c r="F344" t="s">
        <v>55</v>
      </c>
      <c r="G344" t="s">
        <v>107</v>
      </c>
      <c r="H344">
        <v>295</v>
      </c>
      <c r="I344">
        <v>20</v>
      </c>
      <c r="J344">
        <v>50</v>
      </c>
      <c r="K344" t="s">
        <v>36</v>
      </c>
      <c r="L344">
        <v>35</v>
      </c>
      <c r="M344" t="s">
        <v>21</v>
      </c>
    </row>
    <row r="345" spans="1:13" x14ac:dyDescent="0.35">
      <c r="A345" t="s">
        <v>757</v>
      </c>
      <c r="B345" t="s">
        <v>435</v>
      </c>
      <c r="C345" t="s">
        <v>357</v>
      </c>
      <c r="D345" t="s">
        <v>46</v>
      </c>
      <c r="E345" t="s">
        <v>47</v>
      </c>
      <c r="F345" t="s">
        <v>48</v>
      </c>
      <c r="G345" t="s">
        <v>107</v>
      </c>
      <c r="H345">
        <v>204</v>
      </c>
      <c r="I345">
        <v>30</v>
      </c>
      <c r="J345">
        <v>50</v>
      </c>
      <c r="K345" t="s">
        <v>29</v>
      </c>
      <c r="L345">
        <v>33</v>
      </c>
      <c r="M345" t="s">
        <v>21</v>
      </c>
    </row>
    <row r="346" spans="1:13" x14ac:dyDescent="0.35">
      <c r="A346" t="s">
        <v>758</v>
      </c>
      <c r="B346" t="s">
        <v>241</v>
      </c>
      <c r="C346" t="s">
        <v>759</v>
      </c>
      <c r="D346" t="s">
        <v>40</v>
      </c>
      <c r="E346" t="s">
        <v>67</v>
      </c>
      <c r="F346" t="s">
        <v>48</v>
      </c>
      <c r="G346" t="s">
        <v>59</v>
      </c>
      <c r="H346">
        <v>293</v>
      </c>
      <c r="I346">
        <v>40</v>
      </c>
      <c r="J346">
        <v>50</v>
      </c>
      <c r="K346" t="s">
        <v>20</v>
      </c>
      <c r="L346">
        <v>29</v>
      </c>
      <c r="M346" t="s">
        <v>21</v>
      </c>
    </row>
    <row r="347" spans="1:13" x14ac:dyDescent="0.35">
      <c r="A347" t="s">
        <v>760</v>
      </c>
      <c r="B347" t="s">
        <v>342</v>
      </c>
      <c r="C347" t="s">
        <v>563</v>
      </c>
      <c r="D347" t="s">
        <v>25</v>
      </c>
      <c r="E347" t="s">
        <v>78</v>
      </c>
      <c r="F347" t="s">
        <v>48</v>
      </c>
      <c r="G347" t="s">
        <v>19</v>
      </c>
      <c r="H347">
        <v>275</v>
      </c>
      <c r="I347">
        <v>50</v>
      </c>
      <c r="J347">
        <v>50</v>
      </c>
      <c r="K347" t="s">
        <v>29</v>
      </c>
      <c r="L347">
        <v>33</v>
      </c>
      <c r="M347" t="s">
        <v>21</v>
      </c>
    </row>
    <row r="348" spans="1:13" x14ac:dyDescent="0.35">
      <c r="A348" t="s">
        <v>761</v>
      </c>
      <c r="B348" t="s">
        <v>80</v>
      </c>
      <c r="C348" t="s">
        <v>353</v>
      </c>
      <c r="D348" t="s">
        <v>16</v>
      </c>
      <c r="E348" t="s">
        <v>89</v>
      </c>
      <c r="F348" t="s">
        <v>18</v>
      </c>
      <c r="G348" t="s">
        <v>63</v>
      </c>
      <c r="H348">
        <v>447</v>
      </c>
      <c r="I348">
        <v>40</v>
      </c>
      <c r="J348">
        <v>30</v>
      </c>
      <c r="K348" t="s">
        <v>36</v>
      </c>
      <c r="L348">
        <v>32</v>
      </c>
      <c r="M348" t="s">
        <v>21</v>
      </c>
    </row>
    <row r="349" spans="1:13" x14ac:dyDescent="0.35">
      <c r="A349" t="s">
        <v>762</v>
      </c>
      <c r="B349" t="s">
        <v>435</v>
      </c>
      <c r="C349" t="s">
        <v>763</v>
      </c>
      <c r="D349" t="s">
        <v>40</v>
      </c>
      <c r="E349" t="s">
        <v>111</v>
      </c>
      <c r="F349" t="s">
        <v>18</v>
      </c>
      <c r="G349" t="s">
        <v>59</v>
      </c>
      <c r="H349">
        <v>688</v>
      </c>
      <c r="I349">
        <v>30</v>
      </c>
      <c r="J349">
        <v>30</v>
      </c>
      <c r="K349" t="s">
        <v>20</v>
      </c>
      <c r="L349">
        <v>57</v>
      </c>
      <c r="M349" t="s">
        <v>21</v>
      </c>
    </row>
    <row r="350" spans="1:13" x14ac:dyDescent="0.35">
      <c r="A350" t="s">
        <v>764</v>
      </c>
      <c r="B350" t="s">
        <v>435</v>
      </c>
      <c r="C350" t="s">
        <v>765</v>
      </c>
      <c r="D350" t="s">
        <v>16</v>
      </c>
      <c r="E350" t="s">
        <v>17</v>
      </c>
      <c r="F350" t="s">
        <v>18</v>
      </c>
      <c r="G350" t="s">
        <v>107</v>
      </c>
      <c r="H350">
        <v>594</v>
      </c>
      <c r="I350">
        <v>40</v>
      </c>
      <c r="J350">
        <v>0</v>
      </c>
      <c r="K350" t="s">
        <v>20</v>
      </c>
      <c r="L350">
        <v>28</v>
      </c>
      <c r="M350" t="s">
        <v>21</v>
      </c>
    </row>
    <row r="351" spans="1:13" x14ac:dyDescent="0.35">
      <c r="A351" t="s">
        <v>766</v>
      </c>
      <c r="B351" t="s">
        <v>207</v>
      </c>
      <c r="C351" t="s">
        <v>767</v>
      </c>
      <c r="D351" t="s">
        <v>46</v>
      </c>
      <c r="E351" t="s">
        <v>70</v>
      </c>
      <c r="F351" t="s">
        <v>18</v>
      </c>
      <c r="G351" t="s">
        <v>28</v>
      </c>
      <c r="H351">
        <v>470</v>
      </c>
      <c r="I351">
        <v>30</v>
      </c>
      <c r="J351">
        <v>100</v>
      </c>
      <c r="K351" t="s">
        <v>29</v>
      </c>
      <c r="L351">
        <v>21</v>
      </c>
      <c r="M351" t="s">
        <v>21</v>
      </c>
    </row>
    <row r="352" spans="1:13" x14ac:dyDescent="0.35">
      <c r="A352" t="s">
        <v>768</v>
      </c>
      <c r="B352" t="s">
        <v>65</v>
      </c>
      <c r="C352" t="s">
        <v>369</v>
      </c>
      <c r="D352" t="s">
        <v>16</v>
      </c>
      <c r="E352" t="s">
        <v>17</v>
      </c>
      <c r="F352" t="s">
        <v>18</v>
      </c>
      <c r="G352" t="s">
        <v>49</v>
      </c>
      <c r="H352">
        <v>584</v>
      </c>
      <c r="I352">
        <v>40</v>
      </c>
      <c r="J352">
        <v>50</v>
      </c>
      <c r="K352" t="s">
        <v>29</v>
      </c>
      <c r="L352">
        <v>52</v>
      </c>
      <c r="M352" t="s">
        <v>21</v>
      </c>
    </row>
    <row r="353" spans="1:13" x14ac:dyDescent="0.35">
      <c r="A353" t="s">
        <v>769</v>
      </c>
      <c r="B353" t="s">
        <v>105</v>
      </c>
      <c r="C353" t="s">
        <v>287</v>
      </c>
      <c r="D353" t="s">
        <v>25</v>
      </c>
      <c r="E353" t="s">
        <v>26</v>
      </c>
      <c r="F353" t="s">
        <v>27</v>
      </c>
      <c r="G353" t="s">
        <v>107</v>
      </c>
      <c r="H353">
        <v>710</v>
      </c>
      <c r="I353">
        <v>40</v>
      </c>
      <c r="J353">
        <v>100</v>
      </c>
      <c r="K353" t="s">
        <v>36</v>
      </c>
      <c r="L353">
        <v>26</v>
      </c>
      <c r="M353" t="s">
        <v>21</v>
      </c>
    </row>
    <row r="354" spans="1:13" x14ac:dyDescent="0.35">
      <c r="A354" t="s">
        <v>770</v>
      </c>
      <c r="B354" t="s">
        <v>146</v>
      </c>
      <c r="C354" t="s">
        <v>771</v>
      </c>
      <c r="D354" t="s">
        <v>40</v>
      </c>
      <c r="E354" t="s">
        <v>41</v>
      </c>
      <c r="F354" t="s">
        <v>27</v>
      </c>
      <c r="G354" t="s">
        <v>74</v>
      </c>
      <c r="H354">
        <v>486</v>
      </c>
      <c r="I354">
        <v>40</v>
      </c>
      <c r="J354">
        <v>0</v>
      </c>
      <c r="K354" t="s">
        <v>36</v>
      </c>
      <c r="L354">
        <v>30</v>
      </c>
      <c r="M354" t="s">
        <v>21</v>
      </c>
    </row>
    <row r="355" spans="1:13" x14ac:dyDescent="0.35">
      <c r="A355" t="s">
        <v>772</v>
      </c>
      <c r="B355" t="s">
        <v>267</v>
      </c>
      <c r="C355" t="s">
        <v>690</v>
      </c>
      <c r="D355" t="s">
        <v>40</v>
      </c>
      <c r="E355" t="s">
        <v>111</v>
      </c>
      <c r="F355" t="s">
        <v>18</v>
      </c>
      <c r="G355" t="s">
        <v>49</v>
      </c>
      <c r="H355">
        <v>349</v>
      </c>
      <c r="I355">
        <v>50</v>
      </c>
      <c r="J355">
        <v>20</v>
      </c>
      <c r="K355" t="s">
        <v>20</v>
      </c>
      <c r="L355">
        <v>37</v>
      </c>
      <c r="M355" t="s">
        <v>21</v>
      </c>
    </row>
    <row r="356" spans="1:13" x14ac:dyDescent="0.35">
      <c r="A356" t="s">
        <v>773</v>
      </c>
      <c r="B356" t="s">
        <v>51</v>
      </c>
      <c r="C356" t="s">
        <v>774</v>
      </c>
      <c r="D356" t="s">
        <v>40</v>
      </c>
      <c r="E356" t="s">
        <v>41</v>
      </c>
      <c r="F356" t="s">
        <v>27</v>
      </c>
      <c r="G356" t="s">
        <v>63</v>
      </c>
      <c r="H356">
        <v>797</v>
      </c>
      <c r="I356">
        <v>50</v>
      </c>
      <c r="J356">
        <v>0</v>
      </c>
      <c r="K356" t="s">
        <v>20</v>
      </c>
      <c r="L356">
        <v>59</v>
      </c>
      <c r="M356" t="s">
        <v>21</v>
      </c>
    </row>
    <row r="357" spans="1:13" x14ac:dyDescent="0.35">
      <c r="A357" t="s">
        <v>775</v>
      </c>
      <c r="B357" t="s">
        <v>600</v>
      </c>
      <c r="C357" t="s">
        <v>598</v>
      </c>
      <c r="D357" t="s">
        <v>16</v>
      </c>
      <c r="E357" t="s">
        <v>131</v>
      </c>
      <c r="F357" t="s">
        <v>55</v>
      </c>
      <c r="G357" t="s">
        <v>107</v>
      </c>
      <c r="H357">
        <v>795</v>
      </c>
      <c r="I357">
        <v>20</v>
      </c>
      <c r="J357">
        <v>100</v>
      </c>
      <c r="K357" t="s">
        <v>20</v>
      </c>
      <c r="L357">
        <v>57</v>
      </c>
      <c r="M357" t="s">
        <v>21</v>
      </c>
    </row>
    <row r="358" spans="1:13" x14ac:dyDescent="0.35">
      <c r="A358" t="s">
        <v>776</v>
      </c>
      <c r="B358" t="s">
        <v>207</v>
      </c>
      <c r="C358" t="s">
        <v>694</v>
      </c>
      <c r="D358" t="s">
        <v>40</v>
      </c>
      <c r="E358" t="s">
        <v>67</v>
      </c>
      <c r="F358" t="s">
        <v>48</v>
      </c>
      <c r="G358" t="s">
        <v>74</v>
      </c>
      <c r="H358">
        <v>568</v>
      </c>
      <c r="I358">
        <v>30</v>
      </c>
      <c r="J358">
        <v>100</v>
      </c>
      <c r="K358" t="s">
        <v>20</v>
      </c>
      <c r="L358">
        <v>45</v>
      </c>
      <c r="M358" t="s">
        <v>21</v>
      </c>
    </row>
    <row r="359" spans="1:13" x14ac:dyDescent="0.35">
      <c r="A359" t="s">
        <v>777</v>
      </c>
      <c r="B359" t="s">
        <v>167</v>
      </c>
      <c r="C359" t="s">
        <v>433</v>
      </c>
      <c r="D359" t="s">
        <v>25</v>
      </c>
      <c r="E359" t="s">
        <v>34</v>
      </c>
      <c r="F359" t="s">
        <v>27</v>
      </c>
      <c r="G359" t="s">
        <v>42</v>
      </c>
      <c r="H359">
        <v>516</v>
      </c>
      <c r="I359">
        <v>50</v>
      </c>
      <c r="J359">
        <v>20</v>
      </c>
      <c r="K359" t="s">
        <v>20</v>
      </c>
      <c r="L359">
        <v>55</v>
      </c>
      <c r="M359" t="s">
        <v>21</v>
      </c>
    </row>
    <row r="360" spans="1:13" x14ac:dyDescent="0.35">
      <c r="A360" t="s">
        <v>778</v>
      </c>
      <c r="B360" t="s">
        <v>129</v>
      </c>
      <c r="C360" t="s">
        <v>779</v>
      </c>
      <c r="D360" t="s">
        <v>25</v>
      </c>
      <c r="E360" t="s">
        <v>34</v>
      </c>
      <c r="F360" t="s">
        <v>27</v>
      </c>
      <c r="G360" t="s">
        <v>63</v>
      </c>
      <c r="H360">
        <v>452</v>
      </c>
      <c r="I360">
        <v>20</v>
      </c>
      <c r="J360">
        <v>20</v>
      </c>
      <c r="K360" t="s">
        <v>20</v>
      </c>
      <c r="L360">
        <v>24</v>
      </c>
      <c r="M360" t="s">
        <v>21</v>
      </c>
    </row>
    <row r="361" spans="1:13" x14ac:dyDescent="0.35">
      <c r="A361" t="s">
        <v>780</v>
      </c>
      <c r="B361" t="s">
        <v>38</v>
      </c>
      <c r="C361" t="s">
        <v>781</v>
      </c>
      <c r="D361" t="s">
        <v>53</v>
      </c>
      <c r="E361" t="s">
        <v>54</v>
      </c>
      <c r="F361" t="s">
        <v>55</v>
      </c>
      <c r="G361" t="s">
        <v>176</v>
      </c>
      <c r="H361">
        <v>383</v>
      </c>
      <c r="I361">
        <v>50</v>
      </c>
      <c r="J361">
        <v>20</v>
      </c>
      <c r="K361" t="s">
        <v>29</v>
      </c>
      <c r="L361">
        <v>22</v>
      </c>
      <c r="M361" t="s">
        <v>21</v>
      </c>
    </row>
    <row r="362" spans="1:13" x14ac:dyDescent="0.35">
      <c r="A362" t="s">
        <v>782</v>
      </c>
      <c r="B362" t="s">
        <v>244</v>
      </c>
      <c r="C362" t="s">
        <v>157</v>
      </c>
      <c r="D362" t="s">
        <v>16</v>
      </c>
      <c r="E362" t="s">
        <v>89</v>
      </c>
      <c r="F362" t="s">
        <v>18</v>
      </c>
      <c r="G362" t="s">
        <v>49</v>
      </c>
      <c r="H362">
        <v>150</v>
      </c>
      <c r="I362">
        <v>30</v>
      </c>
      <c r="J362">
        <v>100</v>
      </c>
      <c r="K362" t="s">
        <v>36</v>
      </c>
      <c r="L362">
        <v>21</v>
      </c>
      <c r="M362" t="s">
        <v>21</v>
      </c>
    </row>
    <row r="363" spans="1:13" x14ac:dyDescent="0.35">
      <c r="A363" t="s">
        <v>783</v>
      </c>
      <c r="B363" t="s">
        <v>398</v>
      </c>
      <c r="C363" t="s">
        <v>784</v>
      </c>
      <c r="D363" t="s">
        <v>40</v>
      </c>
      <c r="E363" t="s">
        <v>67</v>
      </c>
      <c r="F363" t="s">
        <v>48</v>
      </c>
      <c r="G363" t="s">
        <v>107</v>
      </c>
      <c r="H363">
        <v>758</v>
      </c>
      <c r="I363">
        <v>50</v>
      </c>
      <c r="J363">
        <v>30</v>
      </c>
      <c r="K363" t="s">
        <v>29</v>
      </c>
      <c r="L363">
        <v>32</v>
      </c>
      <c r="M363" t="s">
        <v>21</v>
      </c>
    </row>
    <row r="364" spans="1:13" x14ac:dyDescent="0.35">
      <c r="A364" t="s">
        <v>785</v>
      </c>
      <c r="B364" t="s">
        <v>291</v>
      </c>
      <c r="C364" t="s">
        <v>482</v>
      </c>
      <c r="D364" t="s">
        <v>53</v>
      </c>
      <c r="E364" t="s">
        <v>84</v>
      </c>
      <c r="F364" t="s">
        <v>85</v>
      </c>
      <c r="G364" t="s">
        <v>59</v>
      </c>
      <c r="H364">
        <v>628</v>
      </c>
      <c r="I364">
        <v>20</v>
      </c>
      <c r="J364">
        <v>30</v>
      </c>
      <c r="K364" t="s">
        <v>36</v>
      </c>
      <c r="L364">
        <v>59</v>
      </c>
      <c r="M364" t="s">
        <v>21</v>
      </c>
    </row>
    <row r="365" spans="1:13" x14ac:dyDescent="0.35">
      <c r="A365" t="s">
        <v>786</v>
      </c>
      <c r="B365" t="s">
        <v>247</v>
      </c>
      <c r="C365" t="s">
        <v>767</v>
      </c>
      <c r="D365" t="s">
        <v>46</v>
      </c>
      <c r="E365" t="s">
        <v>47</v>
      </c>
      <c r="F365" t="s">
        <v>48</v>
      </c>
      <c r="G365" t="s">
        <v>74</v>
      </c>
      <c r="H365">
        <v>409</v>
      </c>
      <c r="I365">
        <v>20</v>
      </c>
      <c r="J365">
        <v>50</v>
      </c>
      <c r="K365" t="s">
        <v>20</v>
      </c>
      <c r="L365">
        <v>39</v>
      </c>
      <c r="M365" t="s">
        <v>21</v>
      </c>
    </row>
    <row r="366" spans="1:13" x14ac:dyDescent="0.35">
      <c r="A366" t="s">
        <v>787</v>
      </c>
      <c r="B366" t="s">
        <v>109</v>
      </c>
      <c r="C366" t="s">
        <v>752</v>
      </c>
      <c r="D366" t="s">
        <v>46</v>
      </c>
      <c r="E366" t="s">
        <v>47</v>
      </c>
      <c r="F366" t="s">
        <v>48</v>
      </c>
      <c r="G366" t="s">
        <v>59</v>
      </c>
      <c r="H366">
        <v>159</v>
      </c>
      <c r="I366">
        <v>20</v>
      </c>
      <c r="J366">
        <v>30</v>
      </c>
      <c r="K366" t="s">
        <v>36</v>
      </c>
      <c r="L366">
        <v>57</v>
      </c>
      <c r="M366" t="s">
        <v>21</v>
      </c>
    </row>
    <row r="367" spans="1:13" x14ac:dyDescent="0.35">
      <c r="A367" t="s">
        <v>788</v>
      </c>
      <c r="B367" t="s">
        <v>199</v>
      </c>
      <c r="C367" t="s">
        <v>789</v>
      </c>
      <c r="D367" t="s">
        <v>40</v>
      </c>
      <c r="E367" t="s">
        <v>111</v>
      </c>
      <c r="F367" t="s">
        <v>18</v>
      </c>
      <c r="G367" t="s">
        <v>63</v>
      </c>
      <c r="H367">
        <v>176</v>
      </c>
      <c r="I367">
        <v>50</v>
      </c>
      <c r="J367">
        <v>30</v>
      </c>
      <c r="K367" t="s">
        <v>36</v>
      </c>
      <c r="L367">
        <v>60</v>
      </c>
      <c r="M367" t="s">
        <v>21</v>
      </c>
    </row>
    <row r="368" spans="1:13" x14ac:dyDescent="0.35">
      <c r="A368" t="s">
        <v>790</v>
      </c>
      <c r="B368" t="s">
        <v>207</v>
      </c>
      <c r="C368" t="s">
        <v>791</v>
      </c>
      <c r="D368" t="s">
        <v>40</v>
      </c>
      <c r="E368" t="s">
        <v>41</v>
      </c>
      <c r="F368" t="s">
        <v>27</v>
      </c>
      <c r="G368" t="s">
        <v>49</v>
      </c>
      <c r="H368">
        <v>204</v>
      </c>
      <c r="I368">
        <v>20</v>
      </c>
      <c r="J368">
        <v>50</v>
      </c>
      <c r="K368" t="s">
        <v>20</v>
      </c>
      <c r="L368">
        <v>32</v>
      </c>
      <c r="M368" t="s">
        <v>21</v>
      </c>
    </row>
    <row r="369" spans="1:13" x14ac:dyDescent="0.35">
      <c r="A369" t="s">
        <v>792</v>
      </c>
      <c r="B369" t="s">
        <v>174</v>
      </c>
      <c r="C369" t="s">
        <v>684</v>
      </c>
      <c r="D369" t="s">
        <v>16</v>
      </c>
      <c r="E369" t="s">
        <v>89</v>
      </c>
      <c r="F369" t="s">
        <v>18</v>
      </c>
      <c r="G369" t="s">
        <v>74</v>
      </c>
      <c r="H369">
        <v>559</v>
      </c>
      <c r="I369">
        <v>20</v>
      </c>
      <c r="J369">
        <v>100</v>
      </c>
      <c r="K369" t="s">
        <v>20</v>
      </c>
      <c r="L369">
        <v>37</v>
      </c>
      <c r="M369" t="s">
        <v>21</v>
      </c>
    </row>
    <row r="370" spans="1:13" x14ac:dyDescent="0.35">
      <c r="A370" t="s">
        <v>793</v>
      </c>
      <c r="B370" t="s">
        <v>72</v>
      </c>
      <c r="C370" t="s">
        <v>794</v>
      </c>
      <c r="D370" t="s">
        <v>46</v>
      </c>
      <c r="E370" t="s">
        <v>148</v>
      </c>
      <c r="F370" t="s">
        <v>27</v>
      </c>
      <c r="G370" t="s">
        <v>19</v>
      </c>
      <c r="H370">
        <v>368</v>
      </c>
      <c r="I370">
        <v>20</v>
      </c>
      <c r="J370">
        <v>20</v>
      </c>
      <c r="K370" t="s">
        <v>36</v>
      </c>
      <c r="L370">
        <v>36</v>
      </c>
      <c r="M370" t="s">
        <v>30</v>
      </c>
    </row>
    <row r="371" spans="1:13" x14ac:dyDescent="0.35">
      <c r="A371" t="s">
        <v>795</v>
      </c>
      <c r="B371" t="s">
        <v>192</v>
      </c>
      <c r="C371" t="s">
        <v>351</v>
      </c>
      <c r="D371" t="s">
        <v>46</v>
      </c>
      <c r="E371" t="s">
        <v>47</v>
      </c>
      <c r="F371" t="s">
        <v>48</v>
      </c>
      <c r="G371" t="s">
        <v>19</v>
      </c>
      <c r="H371">
        <v>262</v>
      </c>
      <c r="I371">
        <v>40</v>
      </c>
      <c r="J371">
        <v>100</v>
      </c>
      <c r="K371" t="s">
        <v>36</v>
      </c>
      <c r="L371">
        <v>41</v>
      </c>
      <c r="M371" t="s">
        <v>21</v>
      </c>
    </row>
    <row r="372" spans="1:13" x14ac:dyDescent="0.35">
      <c r="A372" t="s">
        <v>796</v>
      </c>
      <c r="B372" t="s">
        <v>146</v>
      </c>
      <c r="C372" t="s">
        <v>797</v>
      </c>
      <c r="D372" t="s">
        <v>46</v>
      </c>
      <c r="E372" t="s">
        <v>70</v>
      </c>
      <c r="F372" t="s">
        <v>18</v>
      </c>
      <c r="G372" t="s">
        <v>19</v>
      </c>
      <c r="H372">
        <v>693</v>
      </c>
      <c r="I372">
        <v>50</v>
      </c>
      <c r="J372">
        <v>0</v>
      </c>
      <c r="K372" t="s">
        <v>29</v>
      </c>
      <c r="L372">
        <v>41</v>
      </c>
      <c r="M372" t="s">
        <v>21</v>
      </c>
    </row>
    <row r="373" spans="1:13" x14ac:dyDescent="0.35">
      <c r="A373" t="s">
        <v>798</v>
      </c>
      <c r="B373" t="s">
        <v>69</v>
      </c>
      <c r="C373" t="s">
        <v>799</v>
      </c>
      <c r="D373" t="s">
        <v>40</v>
      </c>
      <c r="E373" t="s">
        <v>67</v>
      </c>
      <c r="F373" t="s">
        <v>48</v>
      </c>
      <c r="G373" t="s">
        <v>49</v>
      </c>
      <c r="H373">
        <v>472</v>
      </c>
      <c r="I373">
        <v>50</v>
      </c>
      <c r="J373">
        <v>100</v>
      </c>
      <c r="K373" t="s">
        <v>20</v>
      </c>
      <c r="L373">
        <v>27</v>
      </c>
      <c r="M373" t="s">
        <v>21</v>
      </c>
    </row>
    <row r="374" spans="1:13" x14ac:dyDescent="0.35">
      <c r="A374" t="s">
        <v>800</v>
      </c>
      <c r="B374" t="s">
        <v>205</v>
      </c>
      <c r="C374" t="s">
        <v>801</v>
      </c>
      <c r="D374" t="s">
        <v>16</v>
      </c>
      <c r="E374" t="s">
        <v>131</v>
      </c>
      <c r="F374" t="s">
        <v>55</v>
      </c>
      <c r="G374" t="s">
        <v>19</v>
      </c>
      <c r="H374">
        <v>559</v>
      </c>
      <c r="I374">
        <v>30</v>
      </c>
      <c r="J374">
        <v>30</v>
      </c>
      <c r="K374" t="s">
        <v>36</v>
      </c>
      <c r="L374">
        <v>49</v>
      </c>
      <c r="M374" t="s">
        <v>21</v>
      </c>
    </row>
    <row r="375" spans="1:13" x14ac:dyDescent="0.35">
      <c r="A375" t="s">
        <v>802</v>
      </c>
      <c r="B375" t="s">
        <v>96</v>
      </c>
      <c r="C375" t="s">
        <v>803</v>
      </c>
      <c r="D375" t="s">
        <v>25</v>
      </c>
      <c r="E375" t="s">
        <v>26</v>
      </c>
      <c r="F375" t="s">
        <v>27</v>
      </c>
      <c r="G375" t="s">
        <v>74</v>
      </c>
      <c r="H375">
        <v>752</v>
      </c>
      <c r="I375">
        <v>30</v>
      </c>
      <c r="J375">
        <v>30</v>
      </c>
      <c r="K375" t="s">
        <v>29</v>
      </c>
      <c r="L375">
        <v>40</v>
      </c>
      <c r="M375" t="s">
        <v>21</v>
      </c>
    </row>
    <row r="376" spans="1:13" x14ac:dyDescent="0.35">
      <c r="A376" t="s">
        <v>804</v>
      </c>
      <c r="B376" t="s">
        <v>562</v>
      </c>
      <c r="C376" t="s">
        <v>155</v>
      </c>
      <c r="D376" t="s">
        <v>53</v>
      </c>
      <c r="E376" t="s">
        <v>54</v>
      </c>
      <c r="F376" t="s">
        <v>55</v>
      </c>
      <c r="G376" t="s">
        <v>19</v>
      </c>
      <c r="H376">
        <v>767</v>
      </c>
      <c r="I376">
        <v>40</v>
      </c>
      <c r="J376">
        <v>0</v>
      </c>
      <c r="K376" t="s">
        <v>36</v>
      </c>
      <c r="L376">
        <v>56</v>
      </c>
      <c r="M376" t="s">
        <v>21</v>
      </c>
    </row>
    <row r="377" spans="1:13" x14ac:dyDescent="0.35">
      <c r="A377" t="s">
        <v>805</v>
      </c>
      <c r="B377" t="s">
        <v>186</v>
      </c>
      <c r="C377" t="s">
        <v>806</v>
      </c>
      <c r="D377" t="s">
        <v>16</v>
      </c>
      <c r="E377" t="s">
        <v>131</v>
      </c>
      <c r="F377" t="s">
        <v>55</v>
      </c>
      <c r="G377" t="s">
        <v>35</v>
      </c>
      <c r="H377">
        <v>383</v>
      </c>
      <c r="I377">
        <v>30</v>
      </c>
      <c r="J377">
        <v>20</v>
      </c>
      <c r="K377" t="s">
        <v>36</v>
      </c>
      <c r="L377">
        <v>46</v>
      </c>
      <c r="M377" t="s">
        <v>21</v>
      </c>
    </row>
    <row r="378" spans="1:13" x14ac:dyDescent="0.35">
      <c r="A378" t="s">
        <v>807</v>
      </c>
      <c r="B378" t="s">
        <v>133</v>
      </c>
      <c r="C378" t="s">
        <v>808</v>
      </c>
      <c r="D378" t="s">
        <v>46</v>
      </c>
      <c r="E378" t="s">
        <v>47</v>
      </c>
      <c r="F378" t="s">
        <v>48</v>
      </c>
      <c r="G378" t="s">
        <v>176</v>
      </c>
      <c r="H378">
        <v>790</v>
      </c>
      <c r="I378">
        <v>20</v>
      </c>
      <c r="J378">
        <v>0</v>
      </c>
      <c r="K378" t="s">
        <v>36</v>
      </c>
      <c r="L378">
        <v>33</v>
      </c>
      <c r="M378" t="s">
        <v>21</v>
      </c>
    </row>
    <row r="379" spans="1:13" x14ac:dyDescent="0.35">
      <c r="A379" t="s">
        <v>809</v>
      </c>
      <c r="B379" t="s">
        <v>476</v>
      </c>
      <c r="C379" t="s">
        <v>810</v>
      </c>
      <c r="D379" t="s">
        <v>46</v>
      </c>
      <c r="E379" t="s">
        <v>47</v>
      </c>
      <c r="F379" t="s">
        <v>48</v>
      </c>
      <c r="G379" t="s">
        <v>28</v>
      </c>
      <c r="H379">
        <v>655</v>
      </c>
      <c r="I379">
        <v>50</v>
      </c>
      <c r="J379">
        <v>0</v>
      </c>
      <c r="K379" t="s">
        <v>20</v>
      </c>
      <c r="L379">
        <v>59</v>
      </c>
      <c r="M379" t="s">
        <v>21</v>
      </c>
    </row>
    <row r="380" spans="1:13" x14ac:dyDescent="0.35">
      <c r="A380" t="s">
        <v>811</v>
      </c>
      <c r="B380" t="s">
        <v>326</v>
      </c>
      <c r="C380" t="s">
        <v>496</v>
      </c>
      <c r="D380" t="s">
        <v>40</v>
      </c>
      <c r="E380" t="s">
        <v>41</v>
      </c>
      <c r="F380" t="s">
        <v>27</v>
      </c>
      <c r="G380" t="s">
        <v>74</v>
      </c>
      <c r="H380">
        <v>312</v>
      </c>
      <c r="I380">
        <v>20</v>
      </c>
      <c r="J380">
        <v>0</v>
      </c>
      <c r="K380" t="s">
        <v>36</v>
      </c>
      <c r="L380">
        <v>38</v>
      </c>
      <c r="M380" t="s">
        <v>21</v>
      </c>
    </row>
    <row r="381" spans="1:13" x14ac:dyDescent="0.35">
      <c r="A381" t="s">
        <v>812</v>
      </c>
      <c r="B381" t="s">
        <v>167</v>
      </c>
      <c r="C381" t="s">
        <v>813</v>
      </c>
      <c r="D381" t="s">
        <v>40</v>
      </c>
      <c r="E381" t="s">
        <v>41</v>
      </c>
      <c r="F381" t="s">
        <v>27</v>
      </c>
      <c r="G381" t="s">
        <v>176</v>
      </c>
      <c r="H381">
        <v>554</v>
      </c>
      <c r="I381">
        <v>30</v>
      </c>
      <c r="J381">
        <v>0</v>
      </c>
      <c r="K381" t="s">
        <v>29</v>
      </c>
      <c r="L381">
        <v>58</v>
      </c>
      <c r="M381" t="s">
        <v>21</v>
      </c>
    </row>
    <row r="382" spans="1:13" x14ac:dyDescent="0.35">
      <c r="A382" t="s">
        <v>814</v>
      </c>
      <c r="B382" t="s">
        <v>80</v>
      </c>
      <c r="C382" t="s">
        <v>250</v>
      </c>
      <c r="D382" t="s">
        <v>16</v>
      </c>
      <c r="E382" t="s">
        <v>89</v>
      </c>
      <c r="F382" t="s">
        <v>18</v>
      </c>
      <c r="G382" t="s">
        <v>63</v>
      </c>
      <c r="H382">
        <v>602</v>
      </c>
      <c r="I382">
        <v>20</v>
      </c>
      <c r="J382">
        <v>30</v>
      </c>
      <c r="K382" t="s">
        <v>20</v>
      </c>
      <c r="L382">
        <v>45</v>
      </c>
      <c r="M382" t="s">
        <v>21</v>
      </c>
    </row>
    <row r="383" spans="1:13" x14ac:dyDescent="0.35">
      <c r="A383" t="s">
        <v>815</v>
      </c>
      <c r="B383" t="s">
        <v>80</v>
      </c>
      <c r="C383" t="s">
        <v>816</v>
      </c>
      <c r="D383" t="s">
        <v>25</v>
      </c>
      <c r="E383" t="s">
        <v>26</v>
      </c>
      <c r="F383" t="s">
        <v>27</v>
      </c>
      <c r="G383" t="s">
        <v>176</v>
      </c>
      <c r="H383">
        <v>494</v>
      </c>
      <c r="I383">
        <v>30</v>
      </c>
      <c r="J383">
        <v>0</v>
      </c>
      <c r="K383" t="s">
        <v>36</v>
      </c>
      <c r="L383">
        <v>50</v>
      </c>
      <c r="M383" t="s">
        <v>21</v>
      </c>
    </row>
    <row r="384" spans="1:13" x14ac:dyDescent="0.35">
      <c r="A384" t="s">
        <v>817</v>
      </c>
      <c r="B384" t="s">
        <v>241</v>
      </c>
      <c r="C384" t="s">
        <v>818</v>
      </c>
      <c r="D384" t="s">
        <v>46</v>
      </c>
      <c r="E384" t="s">
        <v>47</v>
      </c>
      <c r="F384" t="s">
        <v>48</v>
      </c>
      <c r="G384" t="s">
        <v>63</v>
      </c>
      <c r="H384">
        <v>382</v>
      </c>
      <c r="I384">
        <v>20</v>
      </c>
      <c r="J384">
        <v>20</v>
      </c>
      <c r="K384" t="s">
        <v>36</v>
      </c>
      <c r="L384">
        <v>34</v>
      </c>
      <c r="M384" t="s">
        <v>21</v>
      </c>
    </row>
    <row r="385" spans="1:13" x14ac:dyDescent="0.35">
      <c r="A385" t="s">
        <v>819</v>
      </c>
      <c r="B385" t="s">
        <v>657</v>
      </c>
      <c r="C385" t="s">
        <v>820</v>
      </c>
      <c r="D385" t="s">
        <v>46</v>
      </c>
      <c r="E385" t="s">
        <v>70</v>
      </c>
      <c r="F385" t="s">
        <v>18</v>
      </c>
      <c r="G385" t="s">
        <v>59</v>
      </c>
      <c r="H385">
        <v>648</v>
      </c>
      <c r="I385">
        <v>40</v>
      </c>
      <c r="J385">
        <v>0</v>
      </c>
      <c r="K385" t="s">
        <v>29</v>
      </c>
      <c r="L385">
        <v>29</v>
      </c>
      <c r="M385" t="s">
        <v>21</v>
      </c>
    </row>
    <row r="386" spans="1:13" x14ac:dyDescent="0.35">
      <c r="A386" t="s">
        <v>821</v>
      </c>
      <c r="B386" t="s">
        <v>267</v>
      </c>
      <c r="C386" t="s">
        <v>822</v>
      </c>
      <c r="D386" t="s">
        <v>40</v>
      </c>
      <c r="E386" t="s">
        <v>111</v>
      </c>
      <c r="F386" t="s">
        <v>18</v>
      </c>
      <c r="G386" t="s">
        <v>19</v>
      </c>
      <c r="H386">
        <v>786</v>
      </c>
      <c r="I386">
        <v>40</v>
      </c>
      <c r="J386">
        <v>0</v>
      </c>
      <c r="K386" t="s">
        <v>36</v>
      </c>
      <c r="L386">
        <v>31</v>
      </c>
      <c r="M386" t="s">
        <v>21</v>
      </c>
    </row>
    <row r="387" spans="1:13" x14ac:dyDescent="0.35">
      <c r="A387" t="s">
        <v>823</v>
      </c>
      <c r="B387" t="s">
        <v>76</v>
      </c>
      <c r="C387" t="s">
        <v>824</v>
      </c>
      <c r="D387" t="s">
        <v>25</v>
      </c>
      <c r="E387" t="s">
        <v>26</v>
      </c>
      <c r="F387" t="s">
        <v>27</v>
      </c>
      <c r="G387" t="s">
        <v>19</v>
      </c>
      <c r="H387">
        <v>749</v>
      </c>
      <c r="I387">
        <v>50</v>
      </c>
      <c r="J387">
        <v>30</v>
      </c>
      <c r="K387" t="s">
        <v>20</v>
      </c>
      <c r="L387">
        <v>56</v>
      </c>
      <c r="M387" t="s">
        <v>21</v>
      </c>
    </row>
    <row r="388" spans="1:13" x14ac:dyDescent="0.35">
      <c r="A388" t="s">
        <v>825</v>
      </c>
      <c r="B388" t="s">
        <v>105</v>
      </c>
      <c r="C388" t="s">
        <v>826</v>
      </c>
      <c r="D388" t="s">
        <v>46</v>
      </c>
      <c r="E388" t="s">
        <v>47</v>
      </c>
      <c r="F388" t="s">
        <v>48</v>
      </c>
      <c r="G388" t="s">
        <v>35</v>
      </c>
      <c r="H388">
        <v>501</v>
      </c>
      <c r="I388">
        <v>40</v>
      </c>
      <c r="J388">
        <v>30</v>
      </c>
      <c r="K388" t="s">
        <v>20</v>
      </c>
      <c r="L388">
        <v>32</v>
      </c>
      <c r="M388" t="s">
        <v>21</v>
      </c>
    </row>
    <row r="389" spans="1:13" x14ac:dyDescent="0.35">
      <c r="A389" t="s">
        <v>827</v>
      </c>
      <c r="B389" t="s">
        <v>295</v>
      </c>
      <c r="C389" t="s">
        <v>828</v>
      </c>
      <c r="D389" t="s">
        <v>46</v>
      </c>
      <c r="E389" t="s">
        <v>70</v>
      </c>
      <c r="F389" t="s">
        <v>18</v>
      </c>
      <c r="G389" t="s">
        <v>19</v>
      </c>
      <c r="H389">
        <v>524</v>
      </c>
      <c r="I389">
        <v>30</v>
      </c>
      <c r="J389">
        <v>100</v>
      </c>
      <c r="K389" t="s">
        <v>36</v>
      </c>
      <c r="L389">
        <v>23</v>
      </c>
      <c r="M389" t="s">
        <v>21</v>
      </c>
    </row>
    <row r="390" spans="1:13" x14ac:dyDescent="0.35">
      <c r="A390" t="s">
        <v>829</v>
      </c>
      <c r="B390" t="s">
        <v>291</v>
      </c>
      <c r="C390" t="s">
        <v>830</v>
      </c>
      <c r="D390" t="s">
        <v>25</v>
      </c>
      <c r="E390" t="s">
        <v>78</v>
      </c>
      <c r="F390" t="s">
        <v>48</v>
      </c>
      <c r="G390" t="s">
        <v>63</v>
      </c>
      <c r="H390">
        <v>749</v>
      </c>
      <c r="I390">
        <v>50</v>
      </c>
      <c r="J390">
        <v>100</v>
      </c>
      <c r="K390" t="s">
        <v>20</v>
      </c>
      <c r="L390">
        <v>58</v>
      </c>
      <c r="M390" t="s">
        <v>21</v>
      </c>
    </row>
    <row r="391" spans="1:13" x14ac:dyDescent="0.35">
      <c r="A391" t="s">
        <v>831</v>
      </c>
      <c r="B391" t="s">
        <v>568</v>
      </c>
      <c r="C391" t="s">
        <v>134</v>
      </c>
      <c r="D391" t="s">
        <v>25</v>
      </c>
      <c r="E391" t="s">
        <v>78</v>
      </c>
      <c r="F391" t="s">
        <v>48</v>
      </c>
      <c r="G391" t="s">
        <v>107</v>
      </c>
      <c r="H391">
        <v>643</v>
      </c>
      <c r="I391">
        <v>30</v>
      </c>
      <c r="J391">
        <v>0</v>
      </c>
      <c r="K391" t="s">
        <v>29</v>
      </c>
      <c r="L391">
        <v>29</v>
      </c>
      <c r="M391" t="s">
        <v>21</v>
      </c>
    </row>
    <row r="392" spans="1:13" x14ac:dyDescent="0.35">
      <c r="A392" t="s">
        <v>832</v>
      </c>
      <c r="B392" t="s">
        <v>267</v>
      </c>
      <c r="C392" t="s">
        <v>659</v>
      </c>
      <c r="D392" t="s">
        <v>53</v>
      </c>
      <c r="E392" t="s">
        <v>84</v>
      </c>
      <c r="F392" t="s">
        <v>85</v>
      </c>
      <c r="G392" t="s">
        <v>35</v>
      </c>
      <c r="H392">
        <v>765</v>
      </c>
      <c r="I392">
        <v>50</v>
      </c>
      <c r="J392">
        <v>20</v>
      </c>
      <c r="K392" t="s">
        <v>36</v>
      </c>
      <c r="L392">
        <v>55</v>
      </c>
      <c r="M392" t="s">
        <v>21</v>
      </c>
    </row>
    <row r="393" spans="1:13" x14ac:dyDescent="0.35">
      <c r="A393" t="s">
        <v>833</v>
      </c>
      <c r="B393" t="s">
        <v>80</v>
      </c>
      <c r="C393" t="s">
        <v>834</v>
      </c>
      <c r="D393" t="s">
        <v>40</v>
      </c>
      <c r="E393" t="s">
        <v>41</v>
      </c>
      <c r="F393" t="s">
        <v>27</v>
      </c>
      <c r="G393" t="s">
        <v>74</v>
      </c>
      <c r="H393">
        <v>575</v>
      </c>
      <c r="I393">
        <v>50</v>
      </c>
      <c r="J393">
        <v>100</v>
      </c>
      <c r="K393" t="s">
        <v>29</v>
      </c>
      <c r="L393">
        <v>53</v>
      </c>
      <c r="M393" t="s">
        <v>21</v>
      </c>
    </row>
    <row r="394" spans="1:13" x14ac:dyDescent="0.35">
      <c r="A394" t="s">
        <v>835</v>
      </c>
      <c r="B394" t="s">
        <v>305</v>
      </c>
      <c r="C394" t="s">
        <v>269</v>
      </c>
      <c r="D394" t="s">
        <v>16</v>
      </c>
      <c r="E394" t="s">
        <v>131</v>
      </c>
      <c r="F394" t="s">
        <v>55</v>
      </c>
      <c r="G394" t="s">
        <v>59</v>
      </c>
      <c r="H394">
        <v>789</v>
      </c>
      <c r="I394">
        <v>50</v>
      </c>
      <c r="J394">
        <v>100</v>
      </c>
      <c r="K394" t="s">
        <v>20</v>
      </c>
      <c r="L394">
        <v>36</v>
      </c>
      <c r="M394" t="s">
        <v>21</v>
      </c>
    </row>
    <row r="395" spans="1:13" x14ac:dyDescent="0.35">
      <c r="A395" t="s">
        <v>836</v>
      </c>
      <c r="B395" t="s">
        <v>118</v>
      </c>
      <c r="C395" t="s">
        <v>698</v>
      </c>
      <c r="D395" t="s">
        <v>16</v>
      </c>
      <c r="E395" t="s">
        <v>131</v>
      </c>
      <c r="F395" t="s">
        <v>55</v>
      </c>
      <c r="G395" t="s">
        <v>176</v>
      </c>
      <c r="H395">
        <v>490</v>
      </c>
      <c r="I395">
        <v>30</v>
      </c>
      <c r="J395">
        <v>20</v>
      </c>
      <c r="K395" t="s">
        <v>29</v>
      </c>
      <c r="L395">
        <v>60</v>
      </c>
      <c r="M395" t="s">
        <v>21</v>
      </c>
    </row>
    <row r="396" spans="1:13" x14ac:dyDescent="0.35">
      <c r="A396" t="s">
        <v>837</v>
      </c>
      <c r="B396" t="s">
        <v>280</v>
      </c>
      <c r="C396" t="s">
        <v>838</v>
      </c>
      <c r="D396" t="s">
        <v>53</v>
      </c>
      <c r="E396" t="s">
        <v>152</v>
      </c>
      <c r="F396" t="s">
        <v>18</v>
      </c>
      <c r="G396" t="s">
        <v>63</v>
      </c>
      <c r="H396">
        <v>684</v>
      </c>
      <c r="I396">
        <v>40</v>
      </c>
      <c r="J396">
        <v>50</v>
      </c>
      <c r="K396" t="s">
        <v>36</v>
      </c>
      <c r="L396">
        <v>53</v>
      </c>
      <c r="M396" t="s">
        <v>21</v>
      </c>
    </row>
    <row r="397" spans="1:13" x14ac:dyDescent="0.35">
      <c r="A397" t="s">
        <v>839</v>
      </c>
      <c r="B397" t="s">
        <v>291</v>
      </c>
      <c r="C397" t="s">
        <v>840</v>
      </c>
      <c r="D397" t="s">
        <v>16</v>
      </c>
      <c r="E397" t="s">
        <v>89</v>
      </c>
      <c r="F397" t="s">
        <v>18</v>
      </c>
      <c r="G397" t="s">
        <v>42</v>
      </c>
      <c r="H397">
        <v>169</v>
      </c>
      <c r="I397">
        <v>30</v>
      </c>
      <c r="J397">
        <v>30</v>
      </c>
      <c r="K397" t="s">
        <v>36</v>
      </c>
      <c r="L397">
        <v>49</v>
      </c>
      <c r="M397" t="s">
        <v>21</v>
      </c>
    </row>
    <row r="398" spans="1:13" x14ac:dyDescent="0.35">
      <c r="A398" t="s">
        <v>841</v>
      </c>
      <c r="B398" t="s">
        <v>398</v>
      </c>
      <c r="C398" t="s">
        <v>842</v>
      </c>
      <c r="D398" t="s">
        <v>53</v>
      </c>
      <c r="E398" t="s">
        <v>152</v>
      </c>
      <c r="F398" t="s">
        <v>18</v>
      </c>
      <c r="G398" t="s">
        <v>28</v>
      </c>
      <c r="H398">
        <v>560</v>
      </c>
      <c r="I398">
        <v>20</v>
      </c>
      <c r="J398">
        <v>20</v>
      </c>
      <c r="K398" t="s">
        <v>36</v>
      </c>
      <c r="L398">
        <v>60</v>
      </c>
      <c r="M398" t="s">
        <v>21</v>
      </c>
    </row>
    <row r="399" spans="1:13" x14ac:dyDescent="0.35">
      <c r="A399" t="s">
        <v>843</v>
      </c>
      <c r="B399" t="s">
        <v>513</v>
      </c>
      <c r="C399" t="s">
        <v>844</v>
      </c>
      <c r="D399" t="s">
        <v>46</v>
      </c>
      <c r="E399" t="s">
        <v>47</v>
      </c>
      <c r="F399" t="s">
        <v>48</v>
      </c>
      <c r="G399" t="s">
        <v>42</v>
      </c>
      <c r="H399">
        <v>457</v>
      </c>
      <c r="I399">
        <v>30</v>
      </c>
      <c r="J399">
        <v>100</v>
      </c>
      <c r="K399" t="s">
        <v>36</v>
      </c>
      <c r="L399">
        <v>58</v>
      </c>
      <c r="M399" t="s">
        <v>21</v>
      </c>
    </row>
    <row r="400" spans="1:13" x14ac:dyDescent="0.35">
      <c r="A400" t="s">
        <v>845</v>
      </c>
      <c r="B400" t="s">
        <v>133</v>
      </c>
      <c r="C400" t="s">
        <v>592</v>
      </c>
      <c r="D400" t="s">
        <v>46</v>
      </c>
      <c r="E400" t="s">
        <v>148</v>
      </c>
      <c r="F400" t="s">
        <v>27</v>
      </c>
      <c r="G400" t="s">
        <v>74</v>
      </c>
      <c r="H400">
        <v>374</v>
      </c>
      <c r="I400">
        <v>20</v>
      </c>
      <c r="J400">
        <v>0</v>
      </c>
      <c r="K400" t="s">
        <v>36</v>
      </c>
      <c r="L400">
        <v>47</v>
      </c>
      <c r="M400" t="s">
        <v>21</v>
      </c>
    </row>
    <row r="401" spans="1:13" x14ac:dyDescent="0.35">
      <c r="A401" t="s">
        <v>846</v>
      </c>
      <c r="B401" t="s">
        <v>398</v>
      </c>
      <c r="C401" t="s">
        <v>311</v>
      </c>
      <c r="D401" t="s">
        <v>46</v>
      </c>
      <c r="E401" t="s">
        <v>47</v>
      </c>
      <c r="F401" t="s">
        <v>48</v>
      </c>
      <c r="G401" t="s">
        <v>42</v>
      </c>
      <c r="H401">
        <v>532</v>
      </c>
      <c r="I401">
        <v>40</v>
      </c>
      <c r="J401">
        <v>50</v>
      </c>
      <c r="K401" t="s">
        <v>20</v>
      </c>
      <c r="L401">
        <v>55</v>
      </c>
      <c r="M401" t="s">
        <v>21</v>
      </c>
    </row>
    <row r="402" spans="1:13" x14ac:dyDescent="0.35">
      <c r="A402" t="s">
        <v>847</v>
      </c>
      <c r="B402" t="s">
        <v>218</v>
      </c>
      <c r="C402" t="s">
        <v>459</v>
      </c>
      <c r="D402" t="s">
        <v>53</v>
      </c>
      <c r="E402" t="s">
        <v>54</v>
      </c>
      <c r="F402" t="s">
        <v>55</v>
      </c>
      <c r="G402" t="s">
        <v>59</v>
      </c>
      <c r="H402">
        <v>333</v>
      </c>
      <c r="I402">
        <v>40</v>
      </c>
      <c r="J402">
        <v>30</v>
      </c>
      <c r="K402" t="s">
        <v>36</v>
      </c>
      <c r="L402">
        <v>39</v>
      </c>
      <c r="M402" t="s">
        <v>21</v>
      </c>
    </row>
    <row r="403" spans="1:13" x14ac:dyDescent="0.35">
      <c r="A403" t="s">
        <v>848</v>
      </c>
      <c r="B403" t="s">
        <v>339</v>
      </c>
      <c r="C403" t="s">
        <v>849</v>
      </c>
      <c r="D403" t="s">
        <v>46</v>
      </c>
      <c r="E403" t="s">
        <v>70</v>
      </c>
      <c r="F403" t="s">
        <v>18</v>
      </c>
      <c r="G403" t="s">
        <v>59</v>
      </c>
      <c r="H403">
        <v>776</v>
      </c>
      <c r="I403">
        <v>20</v>
      </c>
      <c r="J403">
        <v>50</v>
      </c>
      <c r="K403" t="s">
        <v>29</v>
      </c>
      <c r="L403">
        <v>41</v>
      </c>
      <c r="M403" t="s">
        <v>21</v>
      </c>
    </row>
    <row r="404" spans="1:13" x14ac:dyDescent="0.35">
      <c r="A404" t="s">
        <v>850</v>
      </c>
      <c r="B404" t="s">
        <v>44</v>
      </c>
      <c r="C404" t="s">
        <v>208</v>
      </c>
      <c r="D404" t="s">
        <v>46</v>
      </c>
      <c r="E404" t="s">
        <v>70</v>
      </c>
      <c r="F404" t="s">
        <v>18</v>
      </c>
      <c r="G404" t="s">
        <v>74</v>
      </c>
      <c r="H404">
        <v>343</v>
      </c>
      <c r="I404">
        <v>30</v>
      </c>
      <c r="J404">
        <v>50</v>
      </c>
      <c r="K404" t="s">
        <v>36</v>
      </c>
      <c r="L404">
        <v>21</v>
      </c>
      <c r="M404" t="s">
        <v>21</v>
      </c>
    </row>
    <row r="405" spans="1:13" x14ac:dyDescent="0.35">
      <c r="A405" t="s">
        <v>851</v>
      </c>
      <c r="B405" t="s">
        <v>305</v>
      </c>
      <c r="C405" t="s">
        <v>401</v>
      </c>
      <c r="D405" t="s">
        <v>16</v>
      </c>
      <c r="E405" t="s">
        <v>89</v>
      </c>
      <c r="F405" t="s">
        <v>18</v>
      </c>
      <c r="G405" t="s">
        <v>63</v>
      </c>
      <c r="H405">
        <v>268</v>
      </c>
      <c r="I405">
        <v>30</v>
      </c>
      <c r="J405">
        <v>0</v>
      </c>
      <c r="K405" t="s">
        <v>29</v>
      </c>
      <c r="L405">
        <v>38</v>
      </c>
      <c r="M405" t="s">
        <v>21</v>
      </c>
    </row>
    <row r="406" spans="1:13" x14ac:dyDescent="0.35">
      <c r="A406" t="s">
        <v>852</v>
      </c>
      <c r="B406" t="s">
        <v>154</v>
      </c>
      <c r="C406" t="s">
        <v>830</v>
      </c>
      <c r="D406" t="s">
        <v>25</v>
      </c>
      <c r="E406" t="s">
        <v>26</v>
      </c>
      <c r="F406" t="s">
        <v>27</v>
      </c>
      <c r="G406" t="s">
        <v>35</v>
      </c>
      <c r="H406">
        <v>760</v>
      </c>
      <c r="I406">
        <v>50</v>
      </c>
      <c r="J406">
        <v>100</v>
      </c>
      <c r="K406" t="s">
        <v>36</v>
      </c>
      <c r="L406">
        <v>56</v>
      </c>
      <c r="M406" t="s">
        <v>21</v>
      </c>
    </row>
    <row r="407" spans="1:13" x14ac:dyDescent="0.35">
      <c r="A407" t="s">
        <v>853</v>
      </c>
      <c r="B407" t="s">
        <v>280</v>
      </c>
      <c r="C407" t="s">
        <v>854</v>
      </c>
      <c r="D407" t="s">
        <v>53</v>
      </c>
      <c r="E407" t="s">
        <v>152</v>
      </c>
      <c r="F407" t="s">
        <v>18</v>
      </c>
      <c r="G407" t="s">
        <v>42</v>
      </c>
      <c r="H407">
        <v>541</v>
      </c>
      <c r="I407">
        <v>50</v>
      </c>
      <c r="J407">
        <v>20</v>
      </c>
      <c r="K407" t="s">
        <v>36</v>
      </c>
      <c r="L407">
        <v>51</v>
      </c>
      <c r="M407" t="s">
        <v>21</v>
      </c>
    </row>
    <row r="408" spans="1:13" x14ac:dyDescent="0.35">
      <c r="A408" t="s">
        <v>855</v>
      </c>
      <c r="B408" t="s">
        <v>393</v>
      </c>
      <c r="C408" t="s">
        <v>856</v>
      </c>
      <c r="D408" t="s">
        <v>46</v>
      </c>
      <c r="E408" t="s">
        <v>47</v>
      </c>
      <c r="F408" t="s">
        <v>48</v>
      </c>
      <c r="G408" t="s">
        <v>59</v>
      </c>
      <c r="H408">
        <v>703</v>
      </c>
      <c r="I408">
        <v>20</v>
      </c>
      <c r="J408">
        <v>20</v>
      </c>
      <c r="K408" t="s">
        <v>29</v>
      </c>
      <c r="L408">
        <v>21</v>
      </c>
      <c r="M408" t="s">
        <v>21</v>
      </c>
    </row>
    <row r="409" spans="1:13" x14ac:dyDescent="0.35">
      <c r="A409" t="s">
        <v>857</v>
      </c>
      <c r="B409" t="s">
        <v>657</v>
      </c>
      <c r="C409" t="s">
        <v>858</v>
      </c>
      <c r="D409" t="s">
        <v>53</v>
      </c>
      <c r="E409" t="s">
        <v>84</v>
      </c>
      <c r="F409" t="s">
        <v>85</v>
      </c>
      <c r="G409" t="s">
        <v>74</v>
      </c>
      <c r="H409">
        <v>573</v>
      </c>
      <c r="I409">
        <v>30</v>
      </c>
      <c r="J409">
        <v>0</v>
      </c>
      <c r="K409" t="s">
        <v>20</v>
      </c>
      <c r="L409">
        <v>57</v>
      </c>
      <c r="M409" t="s">
        <v>30</v>
      </c>
    </row>
    <row r="410" spans="1:13" x14ac:dyDescent="0.35">
      <c r="A410" t="s">
        <v>859</v>
      </c>
      <c r="B410" t="s">
        <v>413</v>
      </c>
      <c r="C410" t="s">
        <v>860</v>
      </c>
      <c r="D410" t="s">
        <v>25</v>
      </c>
      <c r="E410" t="s">
        <v>26</v>
      </c>
      <c r="F410" t="s">
        <v>27</v>
      </c>
      <c r="G410" t="s">
        <v>28</v>
      </c>
      <c r="H410">
        <v>447</v>
      </c>
      <c r="I410">
        <v>50</v>
      </c>
      <c r="J410">
        <v>0</v>
      </c>
      <c r="K410" t="s">
        <v>20</v>
      </c>
      <c r="L410">
        <v>51</v>
      </c>
      <c r="M410" t="s">
        <v>21</v>
      </c>
    </row>
    <row r="411" spans="1:13" x14ac:dyDescent="0.35">
      <c r="A411" t="s">
        <v>861</v>
      </c>
      <c r="B411" t="s">
        <v>473</v>
      </c>
      <c r="C411" t="s">
        <v>441</v>
      </c>
      <c r="D411" t="s">
        <v>46</v>
      </c>
      <c r="E411" t="s">
        <v>148</v>
      </c>
      <c r="F411" t="s">
        <v>27</v>
      </c>
      <c r="G411" t="s">
        <v>42</v>
      </c>
      <c r="H411">
        <v>770</v>
      </c>
      <c r="I411">
        <v>40</v>
      </c>
      <c r="J411">
        <v>100</v>
      </c>
      <c r="K411" t="s">
        <v>29</v>
      </c>
      <c r="L411">
        <v>38</v>
      </c>
      <c r="M411" t="s">
        <v>21</v>
      </c>
    </row>
    <row r="412" spans="1:13" x14ac:dyDescent="0.35">
      <c r="A412" t="s">
        <v>862</v>
      </c>
      <c r="B412" t="s">
        <v>76</v>
      </c>
      <c r="C412" t="s">
        <v>278</v>
      </c>
      <c r="D412" t="s">
        <v>46</v>
      </c>
      <c r="E412" t="s">
        <v>47</v>
      </c>
      <c r="F412" t="s">
        <v>48</v>
      </c>
      <c r="G412" t="s">
        <v>63</v>
      </c>
      <c r="H412">
        <v>609</v>
      </c>
      <c r="I412">
        <v>40</v>
      </c>
      <c r="J412">
        <v>100</v>
      </c>
      <c r="K412" t="s">
        <v>29</v>
      </c>
      <c r="L412">
        <v>41</v>
      </c>
      <c r="M412" t="s">
        <v>21</v>
      </c>
    </row>
    <row r="413" spans="1:13" x14ac:dyDescent="0.35">
      <c r="A413" t="s">
        <v>863</v>
      </c>
      <c r="B413" t="s">
        <v>38</v>
      </c>
      <c r="C413" t="s">
        <v>864</v>
      </c>
      <c r="D413" t="s">
        <v>25</v>
      </c>
      <c r="E413" t="s">
        <v>78</v>
      </c>
      <c r="F413" t="s">
        <v>48</v>
      </c>
      <c r="G413" t="s">
        <v>63</v>
      </c>
      <c r="H413">
        <v>411</v>
      </c>
      <c r="I413">
        <v>40</v>
      </c>
      <c r="J413">
        <v>100</v>
      </c>
      <c r="K413" t="s">
        <v>20</v>
      </c>
      <c r="L413">
        <v>32</v>
      </c>
      <c r="M413" t="s">
        <v>21</v>
      </c>
    </row>
    <row r="414" spans="1:13" x14ac:dyDescent="0.35">
      <c r="A414" t="s">
        <v>865</v>
      </c>
      <c r="B414" t="s">
        <v>65</v>
      </c>
      <c r="C414" t="s">
        <v>313</v>
      </c>
      <c r="D414" t="s">
        <v>25</v>
      </c>
      <c r="E414" t="s">
        <v>78</v>
      </c>
      <c r="F414" t="s">
        <v>48</v>
      </c>
      <c r="G414" t="s">
        <v>28</v>
      </c>
      <c r="H414">
        <v>313</v>
      </c>
      <c r="I414">
        <v>40</v>
      </c>
      <c r="J414">
        <v>0</v>
      </c>
      <c r="K414" t="s">
        <v>36</v>
      </c>
      <c r="L414">
        <v>41</v>
      </c>
      <c r="M414" t="s">
        <v>21</v>
      </c>
    </row>
    <row r="415" spans="1:13" x14ac:dyDescent="0.35">
      <c r="A415" t="s">
        <v>866</v>
      </c>
      <c r="B415" t="s">
        <v>154</v>
      </c>
      <c r="C415" t="s">
        <v>690</v>
      </c>
      <c r="D415" t="s">
        <v>46</v>
      </c>
      <c r="E415" t="s">
        <v>148</v>
      </c>
      <c r="F415" t="s">
        <v>27</v>
      </c>
      <c r="G415" t="s">
        <v>107</v>
      </c>
      <c r="H415">
        <v>287</v>
      </c>
      <c r="I415">
        <v>30</v>
      </c>
      <c r="J415">
        <v>50</v>
      </c>
      <c r="K415" t="s">
        <v>36</v>
      </c>
      <c r="L415">
        <v>45</v>
      </c>
      <c r="M415" t="s">
        <v>21</v>
      </c>
    </row>
    <row r="416" spans="1:13" x14ac:dyDescent="0.35">
      <c r="A416" t="s">
        <v>867</v>
      </c>
      <c r="B416" t="s">
        <v>32</v>
      </c>
      <c r="C416" t="s">
        <v>868</v>
      </c>
      <c r="D416" t="s">
        <v>40</v>
      </c>
      <c r="E416" t="s">
        <v>111</v>
      </c>
      <c r="F416" t="s">
        <v>18</v>
      </c>
      <c r="G416" t="s">
        <v>35</v>
      </c>
      <c r="H416">
        <v>172</v>
      </c>
      <c r="I416">
        <v>20</v>
      </c>
      <c r="J416">
        <v>50</v>
      </c>
      <c r="K416" t="s">
        <v>20</v>
      </c>
      <c r="L416">
        <v>50</v>
      </c>
      <c r="M416" t="s">
        <v>21</v>
      </c>
    </row>
    <row r="417" spans="1:13" x14ac:dyDescent="0.35">
      <c r="A417" t="s">
        <v>869</v>
      </c>
      <c r="B417" t="s">
        <v>23</v>
      </c>
      <c r="C417" t="s">
        <v>797</v>
      </c>
      <c r="D417" t="s">
        <v>40</v>
      </c>
      <c r="E417" t="s">
        <v>67</v>
      </c>
      <c r="F417" t="s">
        <v>48</v>
      </c>
      <c r="G417" t="s">
        <v>42</v>
      </c>
      <c r="H417">
        <v>325</v>
      </c>
      <c r="I417">
        <v>30</v>
      </c>
      <c r="J417">
        <v>100</v>
      </c>
      <c r="K417" t="s">
        <v>20</v>
      </c>
      <c r="L417">
        <v>31</v>
      </c>
      <c r="M417" t="s">
        <v>21</v>
      </c>
    </row>
    <row r="418" spans="1:13" x14ac:dyDescent="0.35">
      <c r="A418" t="s">
        <v>870</v>
      </c>
      <c r="B418" t="s">
        <v>218</v>
      </c>
      <c r="C418" t="s">
        <v>871</v>
      </c>
      <c r="D418" t="s">
        <v>40</v>
      </c>
      <c r="E418" t="s">
        <v>67</v>
      </c>
      <c r="F418" t="s">
        <v>48</v>
      </c>
      <c r="G418" t="s">
        <v>59</v>
      </c>
      <c r="H418">
        <v>214</v>
      </c>
      <c r="I418">
        <v>40</v>
      </c>
      <c r="J418">
        <v>50</v>
      </c>
      <c r="K418" t="s">
        <v>36</v>
      </c>
      <c r="L418">
        <v>35</v>
      </c>
      <c r="M418" t="s">
        <v>21</v>
      </c>
    </row>
    <row r="419" spans="1:13" x14ac:dyDescent="0.35">
      <c r="A419" t="s">
        <v>872</v>
      </c>
      <c r="B419" t="s">
        <v>223</v>
      </c>
      <c r="C419" t="s">
        <v>873</v>
      </c>
      <c r="D419" t="s">
        <v>40</v>
      </c>
      <c r="E419" t="s">
        <v>67</v>
      </c>
      <c r="F419" t="s">
        <v>48</v>
      </c>
      <c r="G419" t="s">
        <v>49</v>
      </c>
      <c r="H419">
        <v>589</v>
      </c>
      <c r="I419">
        <v>40</v>
      </c>
      <c r="J419">
        <v>30</v>
      </c>
      <c r="K419" t="s">
        <v>20</v>
      </c>
      <c r="L419">
        <v>58</v>
      </c>
      <c r="M419" t="s">
        <v>21</v>
      </c>
    </row>
    <row r="420" spans="1:13" x14ac:dyDescent="0.35">
      <c r="A420" t="s">
        <v>874</v>
      </c>
      <c r="B420" t="s">
        <v>657</v>
      </c>
      <c r="C420" t="s">
        <v>503</v>
      </c>
      <c r="D420" t="s">
        <v>16</v>
      </c>
      <c r="E420" t="s">
        <v>131</v>
      </c>
      <c r="F420" t="s">
        <v>55</v>
      </c>
      <c r="G420" t="s">
        <v>35</v>
      </c>
      <c r="H420">
        <v>241</v>
      </c>
      <c r="I420">
        <v>20</v>
      </c>
      <c r="J420">
        <v>30</v>
      </c>
      <c r="K420" t="s">
        <v>20</v>
      </c>
      <c r="L420">
        <v>32</v>
      </c>
      <c r="M420" t="s">
        <v>21</v>
      </c>
    </row>
    <row r="421" spans="1:13" x14ac:dyDescent="0.35">
      <c r="A421" t="s">
        <v>875</v>
      </c>
      <c r="B421" t="s">
        <v>271</v>
      </c>
      <c r="C421" t="s">
        <v>340</v>
      </c>
      <c r="D421" t="s">
        <v>40</v>
      </c>
      <c r="E421" t="s">
        <v>111</v>
      </c>
      <c r="F421" t="s">
        <v>18</v>
      </c>
      <c r="G421" t="s">
        <v>176</v>
      </c>
      <c r="H421">
        <v>744</v>
      </c>
      <c r="I421">
        <v>50</v>
      </c>
      <c r="J421">
        <v>100</v>
      </c>
      <c r="K421" t="s">
        <v>29</v>
      </c>
      <c r="L421">
        <v>24</v>
      </c>
      <c r="M421" t="s">
        <v>21</v>
      </c>
    </row>
    <row r="422" spans="1:13" x14ac:dyDescent="0.35">
      <c r="A422" t="s">
        <v>876</v>
      </c>
      <c r="B422" t="s">
        <v>365</v>
      </c>
      <c r="C422" t="s">
        <v>151</v>
      </c>
      <c r="D422" t="s">
        <v>16</v>
      </c>
      <c r="E422" t="s">
        <v>89</v>
      </c>
      <c r="F422" t="s">
        <v>18</v>
      </c>
      <c r="G422" t="s">
        <v>176</v>
      </c>
      <c r="H422">
        <v>212</v>
      </c>
      <c r="I422">
        <v>50</v>
      </c>
      <c r="J422">
        <v>20</v>
      </c>
      <c r="K422" t="s">
        <v>29</v>
      </c>
      <c r="L422">
        <v>28</v>
      </c>
      <c r="M422" t="s">
        <v>21</v>
      </c>
    </row>
    <row r="423" spans="1:13" x14ac:dyDescent="0.35">
      <c r="A423" t="s">
        <v>877</v>
      </c>
      <c r="B423" t="s">
        <v>432</v>
      </c>
      <c r="C423" t="s">
        <v>137</v>
      </c>
      <c r="D423" t="s">
        <v>53</v>
      </c>
      <c r="E423" t="s">
        <v>84</v>
      </c>
      <c r="F423" t="s">
        <v>85</v>
      </c>
      <c r="G423" t="s">
        <v>42</v>
      </c>
      <c r="H423">
        <v>746</v>
      </c>
      <c r="I423">
        <v>40</v>
      </c>
      <c r="J423">
        <v>0</v>
      </c>
      <c r="K423" t="s">
        <v>29</v>
      </c>
      <c r="L423">
        <v>57</v>
      </c>
      <c r="M423" t="s">
        <v>21</v>
      </c>
    </row>
    <row r="424" spans="1:13" x14ac:dyDescent="0.35">
      <c r="A424" t="s">
        <v>878</v>
      </c>
      <c r="B424" t="s">
        <v>295</v>
      </c>
      <c r="C424" t="s">
        <v>879</v>
      </c>
      <c r="D424" t="s">
        <v>25</v>
      </c>
      <c r="E424" t="s">
        <v>78</v>
      </c>
      <c r="F424" t="s">
        <v>48</v>
      </c>
      <c r="G424" t="s">
        <v>28</v>
      </c>
      <c r="H424">
        <v>527</v>
      </c>
      <c r="I424">
        <v>40</v>
      </c>
      <c r="J424">
        <v>50</v>
      </c>
      <c r="K424" t="s">
        <v>20</v>
      </c>
      <c r="L424">
        <v>56</v>
      </c>
      <c r="M424" t="s">
        <v>21</v>
      </c>
    </row>
    <row r="425" spans="1:13" x14ac:dyDescent="0.35">
      <c r="A425" t="s">
        <v>880</v>
      </c>
      <c r="B425" t="s">
        <v>297</v>
      </c>
      <c r="C425" t="s">
        <v>323</v>
      </c>
      <c r="D425" t="s">
        <v>46</v>
      </c>
      <c r="E425" t="s">
        <v>148</v>
      </c>
      <c r="F425" t="s">
        <v>27</v>
      </c>
      <c r="G425" t="s">
        <v>74</v>
      </c>
      <c r="H425">
        <v>308</v>
      </c>
      <c r="I425">
        <v>50</v>
      </c>
      <c r="J425">
        <v>50</v>
      </c>
      <c r="K425" t="s">
        <v>29</v>
      </c>
      <c r="L425">
        <v>32</v>
      </c>
      <c r="M425" t="s">
        <v>21</v>
      </c>
    </row>
    <row r="426" spans="1:13" x14ac:dyDescent="0.35">
      <c r="A426" t="s">
        <v>881</v>
      </c>
      <c r="B426" t="s">
        <v>513</v>
      </c>
      <c r="C426" t="s">
        <v>882</v>
      </c>
      <c r="D426" t="s">
        <v>25</v>
      </c>
      <c r="E426" t="s">
        <v>26</v>
      </c>
      <c r="F426" t="s">
        <v>27</v>
      </c>
      <c r="G426" t="s">
        <v>176</v>
      </c>
      <c r="H426">
        <v>239</v>
      </c>
      <c r="I426">
        <v>20</v>
      </c>
      <c r="J426">
        <v>100</v>
      </c>
      <c r="K426" t="s">
        <v>36</v>
      </c>
      <c r="L426">
        <v>37</v>
      </c>
      <c r="M426" t="s">
        <v>21</v>
      </c>
    </row>
    <row r="427" spans="1:13" x14ac:dyDescent="0.35">
      <c r="A427" t="s">
        <v>883</v>
      </c>
      <c r="B427" t="s">
        <v>181</v>
      </c>
      <c r="C427" t="s">
        <v>884</v>
      </c>
      <c r="D427" t="s">
        <v>16</v>
      </c>
      <c r="E427" t="s">
        <v>131</v>
      </c>
      <c r="F427" t="s">
        <v>55</v>
      </c>
      <c r="G427" t="s">
        <v>63</v>
      </c>
      <c r="H427">
        <v>502</v>
      </c>
      <c r="I427">
        <v>20</v>
      </c>
      <c r="J427">
        <v>50</v>
      </c>
      <c r="K427" t="s">
        <v>20</v>
      </c>
      <c r="L427">
        <v>41</v>
      </c>
      <c r="M427" t="s">
        <v>21</v>
      </c>
    </row>
    <row r="428" spans="1:13" x14ac:dyDescent="0.35">
      <c r="A428" t="s">
        <v>885</v>
      </c>
      <c r="B428" t="s">
        <v>513</v>
      </c>
      <c r="C428" t="s">
        <v>886</v>
      </c>
      <c r="D428" t="s">
        <v>40</v>
      </c>
      <c r="E428" t="s">
        <v>41</v>
      </c>
      <c r="F428" t="s">
        <v>27</v>
      </c>
      <c r="G428" t="s">
        <v>28</v>
      </c>
      <c r="H428">
        <v>521</v>
      </c>
      <c r="I428">
        <v>50</v>
      </c>
      <c r="J428">
        <v>100</v>
      </c>
      <c r="K428" t="s">
        <v>36</v>
      </c>
      <c r="L428">
        <v>57</v>
      </c>
      <c r="M428" t="s">
        <v>21</v>
      </c>
    </row>
    <row r="429" spans="1:13" x14ac:dyDescent="0.35">
      <c r="A429" t="s">
        <v>887</v>
      </c>
      <c r="B429" t="s">
        <v>329</v>
      </c>
      <c r="C429" t="s">
        <v>545</v>
      </c>
      <c r="D429" t="s">
        <v>53</v>
      </c>
      <c r="E429" t="s">
        <v>152</v>
      </c>
      <c r="F429" t="s">
        <v>18</v>
      </c>
      <c r="G429" t="s">
        <v>35</v>
      </c>
      <c r="H429">
        <v>317</v>
      </c>
      <c r="I429">
        <v>30</v>
      </c>
      <c r="J429">
        <v>0</v>
      </c>
      <c r="K429" t="s">
        <v>36</v>
      </c>
      <c r="L429">
        <v>26</v>
      </c>
      <c r="M429" t="s">
        <v>21</v>
      </c>
    </row>
    <row r="430" spans="1:13" x14ac:dyDescent="0.35">
      <c r="A430" t="s">
        <v>888</v>
      </c>
      <c r="B430" t="s">
        <v>365</v>
      </c>
      <c r="C430" t="s">
        <v>889</v>
      </c>
      <c r="D430" t="s">
        <v>25</v>
      </c>
      <c r="E430" t="s">
        <v>78</v>
      </c>
      <c r="F430" t="s">
        <v>48</v>
      </c>
      <c r="G430" t="s">
        <v>176</v>
      </c>
      <c r="H430">
        <v>579</v>
      </c>
      <c r="I430">
        <v>20</v>
      </c>
      <c r="J430">
        <v>100</v>
      </c>
      <c r="K430" t="s">
        <v>20</v>
      </c>
      <c r="L430">
        <v>51</v>
      </c>
      <c r="M430" t="s">
        <v>21</v>
      </c>
    </row>
    <row r="431" spans="1:13" x14ac:dyDescent="0.35">
      <c r="A431" t="s">
        <v>890</v>
      </c>
      <c r="B431" t="s">
        <v>291</v>
      </c>
      <c r="C431" t="s">
        <v>891</v>
      </c>
      <c r="D431" t="s">
        <v>25</v>
      </c>
      <c r="E431" t="s">
        <v>78</v>
      </c>
      <c r="F431" t="s">
        <v>48</v>
      </c>
      <c r="G431" t="s">
        <v>19</v>
      </c>
      <c r="H431">
        <v>388</v>
      </c>
      <c r="I431">
        <v>30</v>
      </c>
      <c r="J431">
        <v>100</v>
      </c>
      <c r="K431" t="s">
        <v>29</v>
      </c>
      <c r="L431">
        <v>49</v>
      </c>
      <c r="M431" t="s">
        <v>21</v>
      </c>
    </row>
    <row r="432" spans="1:13" x14ac:dyDescent="0.35">
      <c r="A432" t="s">
        <v>892</v>
      </c>
      <c r="B432" t="s">
        <v>473</v>
      </c>
      <c r="C432" t="s">
        <v>233</v>
      </c>
      <c r="D432" t="s">
        <v>46</v>
      </c>
      <c r="E432" t="s">
        <v>148</v>
      </c>
      <c r="F432" t="s">
        <v>27</v>
      </c>
      <c r="G432" t="s">
        <v>63</v>
      </c>
      <c r="H432">
        <v>171</v>
      </c>
      <c r="I432">
        <v>30</v>
      </c>
      <c r="J432">
        <v>0</v>
      </c>
      <c r="K432" t="s">
        <v>29</v>
      </c>
      <c r="L432">
        <v>37</v>
      </c>
      <c r="M432" t="s">
        <v>21</v>
      </c>
    </row>
    <row r="433" spans="1:13" x14ac:dyDescent="0.35">
      <c r="A433" t="s">
        <v>893</v>
      </c>
      <c r="B433" t="s">
        <v>99</v>
      </c>
      <c r="C433" t="s">
        <v>537</v>
      </c>
      <c r="D433" t="s">
        <v>40</v>
      </c>
      <c r="E433" t="s">
        <v>41</v>
      </c>
      <c r="F433" t="s">
        <v>27</v>
      </c>
      <c r="G433" t="s">
        <v>59</v>
      </c>
      <c r="H433">
        <v>185</v>
      </c>
      <c r="I433">
        <v>30</v>
      </c>
      <c r="J433">
        <v>0</v>
      </c>
      <c r="K433" t="s">
        <v>29</v>
      </c>
      <c r="L433">
        <v>36</v>
      </c>
      <c r="M433" t="s">
        <v>30</v>
      </c>
    </row>
    <row r="434" spans="1:13" x14ac:dyDescent="0.35">
      <c r="A434" t="s">
        <v>894</v>
      </c>
      <c r="B434" t="s">
        <v>186</v>
      </c>
      <c r="C434" t="s">
        <v>895</v>
      </c>
      <c r="D434" t="s">
        <v>40</v>
      </c>
      <c r="E434" t="s">
        <v>67</v>
      </c>
      <c r="F434" t="s">
        <v>48</v>
      </c>
      <c r="G434" t="s">
        <v>107</v>
      </c>
      <c r="H434">
        <v>451</v>
      </c>
      <c r="I434">
        <v>50</v>
      </c>
      <c r="J434">
        <v>20</v>
      </c>
      <c r="K434" t="s">
        <v>36</v>
      </c>
      <c r="L434">
        <v>50</v>
      </c>
      <c r="M434" t="s">
        <v>21</v>
      </c>
    </row>
    <row r="435" spans="1:13" x14ac:dyDescent="0.35">
      <c r="A435" t="s">
        <v>896</v>
      </c>
      <c r="B435" t="s">
        <v>113</v>
      </c>
      <c r="C435" t="s">
        <v>897</v>
      </c>
      <c r="D435" t="s">
        <v>16</v>
      </c>
      <c r="E435" t="s">
        <v>89</v>
      </c>
      <c r="F435" t="s">
        <v>18</v>
      </c>
      <c r="G435" t="s">
        <v>107</v>
      </c>
      <c r="H435">
        <v>361</v>
      </c>
      <c r="I435">
        <v>40</v>
      </c>
      <c r="J435">
        <v>100</v>
      </c>
      <c r="K435" t="s">
        <v>36</v>
      </c>
      <c r="L435">
        <v>48</v>
      </c>
      <c r="M435" t="s">
        <v>21</v>
      </c>
    </row>
    <row r="436" spans="1:13" x14ac:dyDescent="0.35">
      <c r="A436" t="s">
        <v>898</v>
      </c>
      <c r="B436" t="s">
        <v>113</v>
      </c>
      <c r="C436" t="s">
        <v>899</v>
      </c>
      <c r="D436" t="s">
        <v>25</v>
      </c>
      <c r="E436" t="s">
        <v>34</v>
      </c>
      <c r="F436" t="s">
        <v>27</v>
      </c>
      <c r="G436" t="s">
        <v>35</v>
      </c>
      <c r="H436">
        <v>283</v>
      </c>
      <c r="I436">
        <v>20</v>
      </c>
      <c r="J436">
        <v>100</v>
      </c>
      <c r="K436" t="s">
        <v>36</v>
      </c>
      <c r="L436">
        <v>50</v>
      </c>
      <c r="M436" t="s">
        <v>21</v>
      </c>
    </row>
    <row r="437" spans="1:13" x14ac:dyDescent="0.35">
      <c r="A437" t="s">
        <v>900</v>
      </c>
      <c r="B437" t="s">
        <v>118</v>
      </c>
      <c r="C437" t="s">
        <v>437</v>
      </c>
      <c r="D437" t="s">
        <v>25</v>
      </c>
      <c r="E437" t="s">
        <v>78</v>
      </c>
      <c r="F437" t="s">
        <v>48</v>
      </c>
      <c r="G437" t="s">
        <v>59</v>
      </c>
      <c r="H437">
        <v>632</v>
      </c>
      <c r="I437">
        <v>50</v>
      </c>
      <c r="J437">
        <v>50</v>
      </c>
      <c r="K437" t="s">
        <v>20</v>
      </c>
      <c r="L437">
        <v>56</v>
      </c>
      <c r="M437" t="s">
        <v>21</v>
      </c>
    </row>
    <row r="438" spans="1:13" x14ac:dyDescent="0.35">
      <c r="A438" t="s">
        <v>901</v>
      </c>
      <c r="B438" t="s">
        <v>109</v>
      </c>
      <c r="C438" t="s">
        <v>902</v>
      </c>
      <c r="D438" t="s">
        <v>25</v>
      </c>
      <c r="E438" t="s">
        <v>34</v>
      </c>
      <c r="F438" t="s">
        <v>27</v>
      </c>
      <c r="G438" t="s">
        <v>74</v>
      </c>
      <c r="H438">
        <v>538</v>
      </c>
      <c r="I438">
        <v>50</v>
      </c>
      <c r="J438">
        <v>20</v>
      </c>
      <c r="K438" t="s">
        <v>36</v>
      </c>
      <c r="L438">
        <v>27</v>
      </c>
      <c r="M438" t="s">
        <v>21</v>
      </c>
    </row>
    <row r="439" spans="1:13" x14ac:dyDescent="0.35">
      <c r="A439" t="s">
        <v>903</v>
      </c>
      <c r="B439" t="s">
        <v>32</v>
      </c>
      <c r="C439" t="s">
        <v>527</v>
      </c>
      <c r="D439" t="s">
        <v>40</v>
      </c>
      <c r="E439" t="s">
        <v>67</v>
      </c>
      <c r="F439" t="s">
        <v>48</v>
      </c>
      <c r="G439" t="s">
        <v>59</v>
      </c>
      <c r="H439">
        <v>591</v>
      </c>
      <c r="I439">
        <v>40</v>
      </c>
      <c r="J439">
        <v>100</v>
      </c>
      <c r="K439" t="s">
        <v>20</v>
      </c>
      <c r="L439">
        <v>54</v>
      </c>
      <c r="M439" t="s">
        <v>21</v>
      </c>
    </row>
    <row r="440" spans="1:13" x14ac:dyDescent="0.35">
      <c r="A440" t="s">
        <v>904</v>
      </c>
      <c r="B440" t="s">
        <v>218</v>
      </c>
      <c r="C440" t="s">
        <v>905</v>
      </c>
      <c r="D440" t="s">
        <v>53</v>
      </c>
      <c r="E440" t="s">
        <v>54</v>
      </c>
      <c r="F440" t="s">
        <v>55</v>
      </c>
      <c r="G440" t="s">
        <v>35</v>
      </c>
      <c r="H440">
        <v>469</v>
      </c>
      <c r="I440">
        <v>40</v>
      </c>
      <c r="J440">
        <v>20</v>
      </c>
      <c r="K440" t="s">
        <v>36</v>
      </c>
      <c r="L440">
        <v>31</v>
      </c>
      <c r="M440" t="s">
        <v>21</v>
      </c>
    </row>
    <row r="441" spans="1:13" x14ac:dyDescent="0.35">
      <c r="A441" t="s">
        <v>906</v>
      </c>
      <c r="B441" t="s">
        <v>76</v>
      </c>
      <c r="C441" t="s">
        <v>907</v>
      </c>
      <c r="D441" t="s">
        <v>53</v>
      </c>
      <c r="E441" t="s">
        <v>152</v>
      </c>
      <c r="F441" t="s">
        <v>18</v>
      </c>
      <c r="G441" t="s">
        <v>28</v>
      </c>
      <c r="H441">
        <v>542</v>
      </c>
      <c r="I441">
        <v>40</v>
      </c>
      <c r="J441">
        <v>100</v>
      </c>
      <c r="K441" t="s">
        <v>29</v>
      </c>
      <c r="L441">
        <v>31</v>
      </c>
      <c r="M441" t="s">
        <v>21</v>
      </c>
    </row>
    <row r="442" spans="1:13" x14ac:dyDescent="0.35">
      <c r="A442" t="s">
        <v>908</v>
      </c>
      <c r="B442" t="s">
        <v>23</v>
      </c>
      <c r="C442" t="s">
        <v>909</v>
      </c>
      <c r="D442" t="s">
        <v>16</v>
      </c>
      <c r="E442" t="s">
        <v>89</v>
      </c>
      <c r="F442" t="s">
        <v>18</v>
      </c>
      <c r="G442" t="s">
        <v>63</v>
      </c>
      <c r="H442">
        <v>645</v>
      </c>
      <c r="I442">
        <v>30</v>
      </c>
      <c r="J442">
        <v>50</v>
      </c>
      <c r="K442" t="s">
        <v>29</v>
      </c>
      <c r="L442">
        <v>57</v>
      </c>
      <c r="M442" t="s">
        <v>21</v>
      </c>
    </row>
    <row r="443" spans="1:13" x14ac:dyDescent="0.35">
      <c r="A443" t="s">
        <v>910</v>
      </c>
      <c r="B443" t="s">
        <v>76</v>
      </c>
      <c r="C443" t="s">
        <v>911</v>
      </c>
      <c r="D443" t="s">
        <v>25</v>
      </c>
      <c r="E443" t="s">
        <v>34</v>
      </c>
      <c r="F443" t="s">
        <v>27</v>
      </c>
      <c r="G443" t="s">
        <v>19</v>
      </c>
      <c r="H443">
        <v>657</v>
      </c>
      <c r="I443">
        <v>20</v>
      </c>
      <c r="J443">
        <v>100</v>
      </c>
      <c r="K443" t="s">
        <v>29</v>
      </c>
      <c r="L443">
        <v>48</v>
      </c>
      <c r="M443" t="s">
        <v>21</v>
      </c>
    </row>
    <row r="444" spans="1:13" x14ac:dyDescent="0.35">
      <c r="A444" t="s">
        <v>912</v>
      </c>
      <c r="B444" t="s">
        <v>247</v>
      </c>
      <c r="C444" t="s">
        <v>810</v>
      </c>
      <c r="D444" t="s">
        <v>40</v>
      </c>
      <c r="E444" t="s">
        <v>111</v>
      </c>
      <c r="F444" t="s">
        <v>18</v>
      </c>
      <c r="G444" t="s">
        <v>74</v>
      </c>
      <c r="H444">
        <v>664</v>
      </c>
      <c r="I444">
        <v>50</v>
      </c>
      <c r="J444">
        <v>50</v>
      </c>
      <c r="K444" t="s">
        <v>29</v>
      </c>
      <c r="L444">
        <v>24</v>
      </c>
      <c r="M444" t="s">
        <v>30</v>
      </c>
    </row>
    <row r="445" spans="1:13" x14ac:dyDescent="0.35">
      <c r="A445" t="s">
        <v>913</v>
      </c>
      <c r="B445" t="s">
        <v>109</v>
      </c>
      <c r="C445" t="s">
        <v>914</v>
      </c>
      <c r="D445" t="s">
        <v>40</v>
      </c>
      <c r="E445" t="s">
        <v>111</v>
      </c>
      <c r="F445" t="s">
        <v>18</v>
      </c>
      <c r="G445" t="s">
        <v>19</v>
      </c>
      <c r="H445">
        <v>719</v>
      </c>
      <c r="I445">
        <v>30</v>
      </c>
      <c r="J445">
        <v>30</v>
      </c>
      <c r="K445" t="s">
        <v>20</v>
      </c>
      <c r="L445">
        <v>54</v>
      </c>
      <c r="M445" t="s">
        <v>21</v>
      </c>
    </row>
    <row r="446" spans="1:13" x14ac:dyDescent="0.35">
      <c r="A446" t="s">
        <v>915</v>
      </c>
      <c r="B446" t="s">
        <v>513</v>
      </c>
      <c r="C446" t="s">
        <v>916</v>
      </c>
      <c r="D446" t="s">
        <v>40</v>
      </c>
      <c r="E446" t="s">
        <v>111</v>
      </c>
      <c r="F446" t="s">
        <v>18</v>
      </c>
      <c r="G446" t="s">
        <v>176</v>
      </c>
      <c r="H446">
        <v>299</v>
      </c>
      <c r="I446">
        <v>50</v>
      </c>
      <c r="J446">
        <v>0</v>
      </c>
      <c r="K446" t="s">
        <v>20</v>
      </c>
      <c r="L446">
        <v>46</v>
      </c>
      <c r="M446" t="s">
        <v>21</v>
      </c>
    </row>
    <row r="447" spans="1:13" x14ac:dyDescent="0.35">
      <c r="A447" t="s">
        <v>917</v>
      </c>
      <c r="B447" t="s">
        <v>91</v>
      </c>
      <c r="C447" t="s">
        <v>918</v>
      </c>
      <c r="D447" t="s">
        <v>46</v>
      </c>
      <c r="E447" t="s">
        <v>47</v>
      </c>
      <c r="F447" t="s">
        <v>48</v>
      </c>
      <c r="G447" t="s">
        <v>59</v>
      </c>
      <c r="H447">
        <v>160</v>
      </c>
      <c r="I447">
        <v>30</v>
      </c>
      <c r="J447">
        <v>30</v>
      </c>
      <c r="K447" t="s">
        <v>20</v>
      </c>
      <c r="L447">
        <v>50</v>
      </c>
      <c r="M447" t="s">
        <v>21</v>
      </c>
    </row>
    <row r="448" spans="1:13" x14ac:dyDescent="0.35">
      <c r="A448" t="s">
        <v>919</v>
      </c>
      <c r="B448" t="s">
        <v>99</v>
      </c>
      <c r="C448" t="s">
        <v>623</v>
      </c>
      <c r="D448" t="s">
        <v>16</v>
      </c>
      <c r="E448" t="s">
        <v>131</v>
      </c>
      <c r="F448" t="s">
        <v>55</v>
      </c>
      <c r="G448" t="s">
        <v>176</v>
      </c>
      <c r="H448">
        <v>192</v>
      </c>
      <c r="I448">
        <v>50</v>
      </c>
      <c r="J448">
        <v>20</v>
      </c>
      <c r="K448" t="s">
        <v>20</v>
      </c>
      <c r="L448">
        <v>28</v>
      </c>
      <c r="M448" t="s">
        <v>21</v>
      </c>
    </row>
    <row r="449" spans="1:13" x14ac:dyDescent="0.35">
      <c r="A449" t="s">
        <v>920</v>
      </c>
      <c r="B449" t="s">
        <v>51</v>
      </c>
      <c r="C449" t="s">
        <v>629</v>
      </c>
      <c r="D449" t="s">
        <v>53</v>
      </c>
      <c r="E449" t="s">
        <v>84</v>
      </c>
      <c r="F449" t="s">
        <v>85</v>
      </c>
      <c r="G449" t="s">
        <v>28</v>
      </c>
      <c r="H449">
        <v>697</v>
      </c>
      <c r="I449">
        <v>20</v>
      </c>
      <c r="J449">
        <v>30</v>
      </c>
      <c r="K449" t="s">
        <v>36</v>
      </c>
      <c r="L449">
        <v>25</v>
      </c>
      <c r="M449" t="s">
        <v>21</v>
      </c>
    </row>
    <row r="450" spans="1:13" x14ac:dyDescent="0.35">
      <c r="A450" t="s">
        <v>921</v>
      </c>
      <c r="B450" t="s">
        <v>72</v>
      </c>
      <c r="C450" t="s">
        <v>922</v>
      </c>
      <c r="D450" t="s">
        <v>53</v>
      </c>
      <c r="E450" t="s">
        <v>84</v>
      </c>
      <c r="F450" t="s">
        <v>85</v>
      </c>
      <c r="G450" t="s">
        <v>74</v>
      </c>
      <c r="H450">
        <v>315</v>
      </c>
      <c r="I450">
        <v>50</v>
      </c>
      <c r="J450">
        <v>50</v>
      </c>
      <c r="K450" t="s">
        <v>29</v>
      </c>
      <c r="L450">
        <v>55</v>
      </c>
      <c r="M450" t="s">
        <v>21</v>
      </c>
    </row>
    <row r="451" spans="1:13" x14ac:dyDescent="0.35">
      <c r="A451" t="s">
        <v>923</v>
      </c>
      <c r="B451" t="s">
        <v>473</v>
      </c>
      <c r="C451" t="s">
        <v>924</v>
      </c>
      <c r="D451" t="s">
        <v>16</v>
      </c>
      <c r="E451" t="s">
        <v>17</v>
      </c>
      <c r="F451" t="s">
        <v>18</v>
      </c>
      <c r="G451" t="s">
        <v>49</v>
      </c>
      <c r="H451">
        <v>325</v>
      </c>
      <c r="I451">
        <v>40</v>
      </c>
      <c r="J451">
        <v>50</v>
      </c>
      <c r="K451" t="s">
        <v>29</v>
      </c>
      <c r="L451">
        <v>30</v>
      </c>
      <c r="M451" t="s">
        <v>21</v>
      </c>
    </row>
    <row r="452" spans="1:13" x14ac:dyDescent="0.35">
      <c r="A452" t="s">
        <v>925</v>
      </c>
      <c r="B452" t="s">
        <v>247</v>
      </c>
      <c r="C452" t="s">
        <v>926</v>
      </c>
      <c r="D452" t="s">
        <v>25</v>
      </c>
      <c r="E452" t="s">
        <v>26</v>
      </c>
      <c r="F452" t="s">
        <v>27</v>
      </c>
      <c r="G452" t="s">
        <v>49</v>
      </c>
      <c r="H452">
        <v>545</v>
      </c>
      <c r="I452">
        <v>50</v>
      </c>
      <c r="J452">
        <v>50</v>
      </c>
      <c r="K452" t="s">
        <v>36</v>
      </c>
      <c r="L452">
        <v>35</v>
      </c>
      <c r="M452" t="s">
        <v>21</v>
      </c>
    </row>
    <row r="453" spans="1:13" x14ac:dyDescent="0.35">
      <c r="A453" t="s">
        <v>927</v>
      </c>
      <c r="B453" t="s">
        <v>393</v>
      </c>
      <c r="C453" t="s">
        <v>928</v>
      </c>
      <c r="D453" t="s">
        <v>25</v>
      </c>
      <c r="E453" t="s">
        <v>26</v>
      </c>
      <c r="F453" t="s">
        <v>27</v>
      </c>
      <c r="G453" t="s">
        <v>107</v>
      </c>
      <c r="H453">
        <v>709</v>
      </c>
      <c r="I453">
        <v>20</v>
      </c>
      <c r="J453">
        <v>100</v>
      </c>
      <c r="K453" t="s">
        <v>29</v>
      </c>
      <c r="L453">
        <v>39</v>
      </c>
      <c r="M453" t="s">
        <v>21</v>
      </c>
    </row>
    <row r="454" spans="1:13" x14ac:dyDescent="0.35">
      <c r="A454" t="s">
        <v>929</v>
      </c>
      <c r="B454" t="s">
        <v>99</v>
      </c>
      <c r="C454" t="s">
        <v>930</v>
      </c>
      <c r="D454" t="s">
        <v>40</v>
      </c>
      <c r="E454" t="s">
        <v>41</v>
      </c>
      <c r="F454" t="s">
        <v>27</v>
      </c>
      <c r="G454" t="s">
        <v>19</v>
      </c>
      <c r="H454">
        <v>558</v>
      </c>
      <c r="I454">
        <v>20</v>
      </c>
      <c r="J454">
        <v>20</v>
      </c>
      <c r="K454" t="s">
        <v>36</v>
      </c>
      <c r="L454">
        <v>43</v>
      </c>
      <c r="M454" t="s">
        <v>21</v>
      </c>
    </row>
    <row r="455" spans="1:13" x14ac:dyDescent="0.35">
      <c r="A455" t="s">
        <v>931</v>
      </c>
      <c r="B455" t="s">
        <v>23</v>
      </c>
      <c r="C455" t="s">
        <v>363</v>
      </c>
      <c r="D455" t="s">
        <v>40</v>
      </c>
      <c r="E455" t="s">
        <v>111</v>
      </c>
      <c r="F455" t="s">
        <v>18</v>
      </c>
      <c r="G455" t="s">
        <v>74</v>
      </c>
      <c r="H455">
        <v>312</v>
      </c>
      <c r="I455">
        <v>20</v>
      </c>
      <c r="J455">
        <v>20</v>
      </c>
      <c r="K455" t="s">
        <v>36</v>
      </c>
      <c r="L455">
        <v>34</v>
      </c>
      <c r="M455" t="s">
        <v>21</v>
      </c>
    </row>
    <row r="456" spans="1:13" x14ac:dyDescent="0.35">
      <c r="A456" t="s">
        <v>932</v>
      </c>
      <c r="B456" t="s">
        <v>541</v>
      </c>
      <c r="C456" t="s">
        <v>926</v>
      </c>
      <c r="D456" t="s">
        <v>53</v>
      </c>
      <c r="E456" t="s">
        <v>54</v>
      </c>
      <c r="F456" t="s">
        <v>55</v>
      </c>
      <c r="G456" t="s">
        <v>176</v>
      </c>
      <c r="H456">
        <v>336</v>
      </c>
      <c r="I456">
        <v>20</v>
      </c>
      <c r="J456">
        <v>50</v>
      </c>
      <c r="K456" t="s">
        <v>36</v>
      </c>
      <c r="L456">
        <v>31</v>
      </c>
      <c r="M456" t="s">
        <v>21</v>
      </c>
    </row>
    <row r="457" spans="1:13" x14ac:dyDescent="0.35">
      <c r="A457" t="s">
        <v>933</v>
      </c>
      <c r="B457" t="s">
        <v>379</v>
      </c>
      <c r="C457" t="s">
        <v>934</v>
      </c>
      <c r="D457" t="s">
        <v>16</v>
      </c>
      <c r="E457" t="s">
        <v>131</v>
      </c>
      <c r="F457" t="s">
        <v>55</v>
      </c>
      <c r="G457" t="s">
        <v>35</v>
      </c>
      <c r="H457">
        <v>353</v>
      </c>
      <c r="I457">
        <v>50</v>
      </c>
      <c r="J457">
        <v>50</v>
      </c>
      <c r="K457" t="s">
        <v>20</v>
      </c>
      <c r="L457">
        <v>42</v>
      </c>
      <c r="M457" t="s">
        <v>21</v>
      </c>
    </row>
    <row r="458" spans="1:13" x14ac:dyDescent="0.35">
      <c r="A458" t="s">
        <v>935</v>
      </c>
      <c r="B458" t="s">
        <v>568</v>
      </c>
      <c r="C458" t="s">
        <v>860</v>
      </c>
      <c r="D458" t="s">
        <v>25</v>
      </c>
      <c r="E458" t="s">
        <v>26</v>
      </c>
      <c r="F458" t="s">
        <v>27</v>
      </c>
      <c r="G458" t="s">
        <v>28</v>
      </c>
      <c r="H458">
        <v>392</v>
      </c>
      <c r="I458">
        <v>40</v>
      </c>
      <c r="J458">
        <v>100</v>
      </c>
      <c r="K458" t="s">
        <v>36</v>
      </c>
      <c r="L458">
        <v>32</v>
      </c>
      <c r="M458" t="s">
        <v>21</v>
      </c>
    </row>
    <row r="459" spans="1:13" x14ac:dyDescent="0.35">
      <c r="A459" t="s">
        <v>936</v>
      </c>
      <c r="B459" t="s">
        <v>87</v>
      </c>
      <c r="C459" t="s">
        <v>937</v>
      </c>
      <c r="D459" t="s">
        <v>40</v>
      </c>
      <c r="E459" t="s">
        <v>41</v>
      </c>
      <c r="F459" t="s">
        <v>27</v>
      </c>
      <c r="G459" t="s">
        <v>59</v>
      </c>
      <c r="H459">
        <v>416</v>
      </c>
      <c r="I459">
        <v>30</v>
      </c>
      <c r="J459">
        <v>100</v>
      </c>
      <c r="K459" t="s">
        <v>20</v>
      </c>
      <c r="L459">
        <v>42</v>
      </c>
      <c r="M459" t="s">
        <v>21</v>
      </c>
    </row>
    <row r="460" spans="1:13" x14ac:dyDescent="0.35">
      <c r="A460" t="s">
        <v>938</v>
      </c>
      <c r="B460" t="s">
        <v>241</v>
      </c>
      <c r="C460" t="s">
        <v>471</v>
      </c>
      <c r="D460" t="s">
        <v>46</v>
      </c>
      <c r="E460" t="s">
        <v>70</v>
      </c>
      <c r="F460" t="s">
        <v>18</v>
      </c>
      <c r="G460" t="s">
        <v>49</v>
      </c>
      <c r="H460">
        <v>293</v>
      </c>
      <c r="I460">
        <v>50</v>
      </c>
      <c r="J460">
        <v>50</v>
      </c>
      <c r="K460" t="s">
        <v>20</v>
      </c>
      <c r="L460">
        <v>59</v>
      </c>
      <c r="M460" t="s">
        <v>21</v>
      </c>
    </row>
    <row r="461" spans="1:13" x14ac:dyDescent="0.35">
      <c r="A461" t="s">
        <v>939</v>
      </c>
      <c r="B461" t="s">
        <v>192</v>
      </c>
      <c r="C461" t="s">
        <v>940</v>
      </c>
      <c r="D461" t="s">
        <v>53</v>
      </c>
      <c r="E461" t="s">
        <v>84</v>
      </c>
      <c r="F461" t="s">
        <v>85</v>
      </c>
      <c r="G461" t="s">
        <v>63</v>
      </c>
      <c r="H461">
        <v>306</v>
      </c>
      <c r="I461">
        <v>20</v>
      </c>
      <c r="J461">
        <v>50</v>
      </c>
      <c r="K461" t="s">
        <v>20</v>
      </c>
      <c r="L461">
        <v>51</v>
      </c>
      <c r="M461" t="s">
        <v>21</v>
      </c>
    </row>
    <row r="462" spans="1:13" x14ac:dyDescent="0.35">
      <c r="A462" t="s">
        <v>941</v>
      </c>
      <c r="B462" t="s">
        <v>136</v>
      </c>
      <c r="C462" t="s">
        <v>942</v>
      </c>
      <c r="D462" t="s">
        <v>53</v>
      </c>
      <c r="E462" t="s">
        <v>84</v>
      </c>
      <c r="F462" t="s">
        <v>85</v>
      </c>
      <c r="G462" t="s">
        <v>28</v>
      </c>
      <c r="H462">
        <v>195</v>
      </c>
      <c r="I462">
        <v>30</v>
      </c>
      <c r="J462">
        <v>30</v>
      </c>
      <c r="K462" t="s">
        <v>29</v>
      </c>
      <c r="L462">
        <v>52</v>
      </c>
      <c r="M462" t="s">
        <v>21</v>
      </c>
    </row>
    <row r="463" spans="1:13" x14ac:dyDescent="0.35">
      <c r="A463" t="s">
        <v>943</v>
      </c>
      <c r="B463" t="s">
        <v>57</v>
      </c>
      <c r="C463" t="s">
        <v>944</v>
      </c>
      <c r="D463" t="s">
        <v>53</v>
      </c>
      <c r="E463" t="s">
        <v>84</v>
      </c>
      <c r="F463" t="s">
        <v>85</v>
      </c>
      <c r="G463" t="s">
        <v>63</v>
      </c>
      <c r="H463">
        <v>286</v>
      </c>
      <c r="I463">
        <v>50</v>
      </c>
      <c r="J463">
        <v>0</v>
      </c>
      <c r="K463" t="s">
        <v>29</v>
      </c>
      <c r="L463">
        <v>29</v>
      </c>
      <c r="M463" t="s">
        <v>30</v>
      </c>
    </row>
    <row r="464" spans="1:13" x14ac:dyDescent="0.35">
      <c r="A464" t="s">
        <v>945</v>
      </c>
      <c r="B464" t="s">
        <v>244</v>
      </c>
      <c r="C464" t="s">
        <v>371</v>
      </c>
      <c r="D464" t="s">
        <v>46</v>
      </c>
      <c r="E464" t="s">
        <v>70</v>
      </c>
      <c r="F464" t="s">
        <v>18</v>
      </c>
      <c r="G464" t="s">
        <v>59</v>
      </c>
      <c r="H464">
        <v>278</v>
      </c>
      <c r="I464">
        <v>50</v>
      </c>
      <c r="J464">
        <v>50</v>
      </c>
      <c r="K464" t="s">
        <v>36</v>
      </c>
      <c r="L464">
        <v>45</v>
      </c>
      <c r="M464" t="s">
        <v>30</v>
      </c>
    </row>
    <row r="465" spans="1:13" x14ac:dyDescent="0.35">
      <c r="A465" t="s">
        <v>946</v>
      </c>
      <c r="B465" t="s">
        <v>143</v>
      </c>
      <c r="C465" t="s">
        <v>899</v>
      </c>
      <c r="D465" t="s">
        <v>46</v>
      </c>
      <c r="E465" t="s">
        <v>70</v>
      </c>
      <c r="F465" t="s">
        <v>18</v>
      </c>
      <c r="G465" t="s">
        <v>35</v>
      </c>
      <c r="H465">
        <v>521</v>
      </c>
      <c r="I465">
        <v>40</v>
      </c>
      <c r="J465">
        <v>30</v>
      </c>
      <c r="K465" t="s">
        <v>36</v>
      </c>
      <c r="L465">
        <v>31</v>
      </c>
      <c r="M465" t="s">
        <v>30</v>
      </c>
    </row>
    <row r="466" spans="1:13" x14ac:dyDescent="0.35">
      <c r="A466" t="s">
        <v>947</v>
      </c>
      <c r="B466" t="s">
        <v>297</v>
      </c>
      <c r="C466" t="s">
        <v>948</v>
      </c>
      <c r="D466" t="s">
        <v>53</v>
      </c>
      <c r="E466" t="s">
        <v>84</v>
      </c>
      <c r="F466" t="s">
        <v>85</v>
      </c>
      <c r="G466" t="s">
        <v>107</v>
      </c>
      <c r="H466">
        <v>573</v>
      </c>
      <c r="I466">
        <v>50</v>
      </c>
      <c r="J466">
        <v>30</v>
      </c>
      <c r="K466" t="s">
        <v>36</v>
      </c>
      <c r="L466">
        <v>27</v>
      </c>
      <c r="M466" t="s">
        <v>21</v>
      </c>
    </row>
    <row r="467" spans="1:13" x14ac:dyDescent="0.35">
      <c r="A467" t="s">
        <v>949</v>
      </c>
      <c r="B467" t="s">
        <v>379</v>
      </c>
      <c r="C467" t="s">
        <v>706</v>
      </c>
      <c r="D467" t="s">
        <v>53</v>
      </c>
      <c r="E467" t="s">
        <v>54</v>
      </c>
      <c r="F467" t="s">
        <v>55</v>
      </c>
      <c r="G467" t="s">
        <v>28</v>
      </c>
      <c r="H467">
        <v>731</v>
      </c>
      <c r="I467">
        <v>40</v>
      </c>
      <c r="J467">
        <v>100</v>
      </c>
      <c r="K467" t="s">
        <v>29</v>
      </c>
      <c r="L467">
        <v>21</v>
      </c>
      <c r="M467" t="s">
        <v>30</v>
      </c>
    </row>
    <row r="468" spans="1:13" x14ac:dyDescent="0.35">
      <c r="A468" t="s">
        <v>950</v>
      </c>
      <c r="B468" t="s">
        <v>87</v>
      </c>
      <c r="C468" t="s">
        <v>100</v>
      </c>
      <c r="D468" t="s">
        <v>53</v>
      </c>
      <c r="E468" t="s">
        <v>84</v>
      </c>
      <c r="F468" t="s">
        <v>85</v>
      </c>
      <c r="G468" t="s">
        <v>19</v>
      </c>
      <c r="H468">
        <v>491</v>
      </c>
      <c r="I468">
        <v>20</v>
      </c>
      <c r="J468">
        <v>50</v>
      </c>
      <c r="K468" t="s">
        <v>36</v>
      </c>
      <c r="L468">
        <v>48</v>
      </c>
      <c r="M468" t="s">
        <v>21</v>
      </c>
    </row>
    <row r="469" spans="1:13" x14ac:dyDescent="0.35">
      <c r="A469" t="s">
        <v>951</v>
      </c>
      <c r="B469" t="s">
        <v>105</v>
      </c>
      <c r="C469" t="s">
        <v>952</v>
      </c>
      <c r="D469" t="s">
        <v>40</v>
      </c>
      <c r="E469" t="s">
        <v>67</v>
      </c>
      <c r="F469" t="s">
        <v>48</v>
      </c>
      <c r="G469" t="s">
        <v>19</v>
      </c>
      <c r="H469">
        <v>755</v>
      </c>
      <c r="I469">
        <v>30</v>
      </c>
      <c r="J469">
        <v>0</v>
      </c>
      <c r="K469" t="s">
        <v>29</v>
      </c>
      <c r="L469">
        <v>40</v>
      </c>
      <c r="M469" t="s">
        <v>21</v>
      </c>
    </row>
    <row r="470" spans="1:13" x14ac:dyDescent="0.35">
      <c r="A470" t="s">
        <v>953</v>
      </c>
      <c r="B470" t="s">
        <v>218</v>
      </c>
      <c r="C470" t="s">
        <v>954</v>
      </c>
      <c r="D470" t="s">
        <v>46</v>
      </c>
      <c r="E470" t="s">
        <v>47</v>
      </c>
      <c r="F470" t="s">
        <v>48</v>
      </c>
      <c r="G470" t="s">
        <v>49</v>
      </c>
      <c r="H470">
        <v>481</v>
      </c>
      <c r="I470">
        <v>30</v>
      </c>
      <c r="J470">
        <v>50</v>
      </c>
      <c r="K470" t="s">
        <v>29</v>
      </c>
      <c r="L470">
        <v>27</v>
      </c>
      <c r="M470" t="s">
        <v>21</v>
      </c>
    </row>
    <row r="471" spans="1:13" x14ac:dyDescent="0.35">
      <c r="A471" t="s">
        <v>955</v>
      </c>
      <c r="B471" t="s">
        <v>322</v>
      </c>
      <c r="C471" t="s">
        <v>956</v>
      </c>
      <c r="D471" t="s">
        <v>40</v>
      </c>
      <c r="E471" t="s">
        <v>111</v>
      </c>
      <c r="F471" t="s">
        <v>18</v>
      </c>
      <c r="G471" t="s">
        <v>35</v>
      </c>
      <c r="H471">
        <v>743</v>
      </c>
      <c r="I471">
        <v>30</v>
      </c>
      <c r="J471">
        <v>30</v>
      </c>
      <c r="K471" t="s">
        <v>36</v>
      </c>
      <c r="L471">
        <v>25</v>
      </c>
      <c r="M471" t="s">
        <v>30</v>
      </c>
    </row>
    <row r="472" spans="1:13" x14ac:dyDescent="0.35">
      <c r="A472" t="s">
        <v>957</v>
      </c>
      <c r="B472" t="s">
        <v>51</v>
      </c>
      <c r="C472" t="s">
        <v>455</v>
      </c>
      <c r="D472" t="s">
        <v>16</v>
      </c>
      <c r="E472" t="s">
        <v>89</v>
      </c>
      <c r="F472" t="s">
        <v>18</v>
      </c>
      <c r="G472" t="s">
        <v>28</v>
      </c>
      <c r="H472">
        <v>264</v>
      </c>
      <c r="I472">
        <v>20</v>
      </c>
      <c r="J472">
        <v>30</v>
      </c>
      <c r="K472" t="s">
        <v>29</v>
      </c>
      <c r="L472">
        <v>49</v>
      </c>
      <c r="M472" t="s">
        <v>21</v>
      </c>
    </row>
    <row r="473" spans="1:13" x14ac:dyDescent="0.35">
      <c r="A473" t="s">
        <v>958</v>
      </c>
      <c r="B473" t="s">
        <v>368</v>
      </c>
      <c r="C473" t="s">
        <v>531</v>
      </c>
      <c r="D473" t="s">
        <v>53</v>
      </c>
      <c r="E473" t="s">
        <v>84</v>
      </c>
      <c r="F473" t="s">
        <v>85</v>
      </c>
      <c r="G473" t="s">
        <v>63</v>
      </c>
      <c r="H473">
        <v>467</v>
      </c>
      <c r="I473">
        <v>50</v>
      </c>
      <c r="J473">
        <v>30</v>
      </c>
      <c r="K473" t="s">
        <v>20</v>
      </c>
      <c r="L473">
        <v>31</v>
      </c>
      <c r="M473" t="s">
        <v>21</v>
      </c>
    </row>
    <row r="474" spans="1:13" x14ac:dyDescent="0.35">
      <c r="A474" t="s">
        <v>959</v>
      </c>
      <c r="B474" t="s">
        <v>416</v>
      </c>
      <c r="C474" t="s">
        <v>960</v>
      </c>
      <c r="D474" t="s">
        <v>53</v>
      </c>
      <c r="E474" t="s">
        <v>54</v>
      </c>
      <c r="F474" t="s">
        <v>55</v>
      </c>
      <c r="G474" t="s">
        <v>42</v>
      </c>
      <c r="H474">
        <v>796</v>
      </c>
      <c r="I474">
        <v>20</v>
      </c>
      <c r="J474">
        <v>100</v>
      </c>
      <c r="K474" t="s">
        <v>36</v>
      </c>
      <c r="L474">
        <v>32</v>
      </c>
      <c r="M474" t="s">
        <v>21</v>
      </c>
    </row>
    <row r="475" spans="1:13" x14ac:dyDescent="0.35">
      <c r="A475" t="s">
        <v>961</v>
      </c>
      <c r="B475" t="s">
        <v>271</v>
      </c>
      <c r="C475" t="s">
        <v>962</v>
      </c>
      <c r="D475" t="s">
        <v>16</v>
      </c>
      <c r="E475" t="s">
        <v>17</v>
      </c>
      <c r="F475" t="s">
        <v>18</v>
      </c>
      <c r="G475" t="s">
        <v>59</v>
      </c>
      <c r="H475">
        <v>406</v>
      </c>
      <c r="I475">
        <v>20</v>
      </c>
      <c r="J475">
        <v>50</v>
      </c>
      <c r="K475" t="s">
        <v>20</v>
      </c>
      <c r="L475">
        <v>31</v>
      </c>
      <c r="M475" t="s">
        <v>21</v>
      </c>
    </row>
    <row r="476" spans="1:13" x14ac:dyDescent="0.35">
      <c r="A476" t="s">
        <v>963</v>
      </c>
      <c r="B476" t="s">
        <v>416</v>
      </c>
      <c r="C476" t="s">
        <v>964</v>
      </c>
      <c r="D476" t="s">
        <v>46</v>
      </c>
      <c r="E476" t="s">
        <v>148</v>
      </c>
      <c r="F476" t="s">
        <v>27</v>
      </c>
      <c r="G476" t="s">
        <v>74</v>
      </c>
      <c r="H476">
        <v>385</v>
      </c>
      <c r="I476">
        <v>30</v>
      </c>
      <c r="J476">
        <v>20</v>
      </c>
      <c r="K476" t="s">
        <v>29</v>
      </c>
      <c r="L476">
        <v>33</v>
      </c>
      <c r="M476" t="s">
        <v>21</v>
      </c>
    </row>
    <row r="477" spans="1:13" x14ac:dyDescent="0.35">
      <c r="A477" t="s">
        <v>965</v>
      </c>
      <c r="B477" t="s">
        <v>69</v>
      </c>
      <c r="C477" t="s">
        <v>292</v>
      </c>
      <c r="D477" t="s">
        <v>25</v>
      </c>
      <c r="E477" t="s">
        <v>26</v>
      </c>
      <c r="F477" t="s">
        <v>27</v>
      </c>
      <c r="G477" t="s">
        <v>107</v>
      </c>
      <c r="H477">
        <v>291</v>
      </c>
      <c r="I477">
        <v>50</v>
      </c>
      <c r="J477">
        <v>100</v>
      </c>
      <c r="K477" t="s">
        <v>36</v>
      </c>
      <c r="L477">
        <v>54</v>
      </c>
      <c r="M477" t="s">
        <v>21</v>
      </c>
    </row>
    <row r="478" spans="1:13" x14ac:dyDescent="0.35">
      <c r="A478" t="s">
        <v>966</v>
      </c>
      <c r="B478" t="s">
        <v>583</v>
      </c>
      <c r="C478" t="s">
        <v>967</v>
      </c>
      <c r="D478" t="s">
        <v>25</v>
      </c>
      <c r="E478" t="s">
        <v>26</v>
      </c>
      <c r="F478" t="s">
        <v>27</v>
      </c>
      <c r="G478" t="s">
        <v>19</v>
      </c>
      <c r="H478">
        <v>695</v>
      </c>
      <c r="I478">
        <v>30</v>
      </c>
      <c r="J478">
        <v>20</v>
      </c>
      <c r="K478" t="s">
        <v>20</v>
      </c>
      <c r="L478">
        <v>24</v>
      </c>
      <c r="M478" t="s">
        <v>21</v>
      </c>
    </row>
    <row r="479" spans="1:13" x14ac:dyDescent="0.35">
      <c r="A479" t="s">
        <v>968</v>
      </c>
      <c r="B479" t="s">
        <v>91</v>
      </c>
      <c r="C479" t="s">
        <v>545</v>
      </c>
      <c r="D479" t="s">
        <v>53</v>
      </c>
      <c r="E479" t="s">
        <v>152</v>
      </c>
      <c r="F479" t="s">
        <v>18</v>
      </c>
      <c r="G479" t="s">
        <v>59</v>
      </c>
      <c r="H479">
        <v>401</v>
      </c>
      <c r="I479">
        <v>20</v>
      </c>
      <c r="J479">
        <v>100</v>
      </c>
      <c r="K479" t="s">
        <v>29</v>
      </c>
      <c r="L479">
        <v>25</v>
      </c>
      <c r="M479" t="s">
        <v>21</v>
      </c>
    </row>
    <row r="480" spans="1:13" x14ac:dyDescent="0.35">
      <c r="A480" t="s">
        <v>969</v>
      </c>
      <c r="B480" t="s">
        <v>87</v>
      </c>
      <c r="C480" t="s">
        <v>496</v>
      </c>
      <c r="D480" t="s">
        <v>16</v>
      </c>
      <c r="E480" t="s">
        <v>89</v>
      </c>
      <c r="F480" t="s">
        <v>18</v>
      </c>
      <c r="G480" t="s">
        <v>176</v>
      </c>
      <c r="H480">
        <v>192</v>
      </c>
      <c r="I480">
        <v>50</v>
      </c>
      <c r="J480">
        <v>50</v>
      </c>
      <c r="K480" t="s">
        <v>29</v>
      </c>
      <c r="L480">
        <v>42</v>
      </c>
      <c r="M480" t="s">
        <v>21</v>
      </c>
    </row>
    <row r="481" spans="1:13" x14ac:dyDescent="0.35">
      <c r="A481" t="s">
        <v>970</v>
      </c>
      <c r="B481" t="s">
        <v>476</v>
      </c>
      <c r="C481" t="s">
        <v>734</v>
      </c>
      <c r="D481" t="s">
        <v>16</v>
      </c>
      <c r="E481" t="s">
        <v>17</v>
      </c>
      <c r="F481" t="s">
        <v>18</v>
      </c>
      <c r="G481" t="s">
        <v>63</v>
      </c>
      <c r="H481">
        <v>610</v>
      </c>
      <c r="I481">
        <v>30</v>
      </c>
      <c r="J481">
        <v>50</v>
      </c>
      <c r="K481" t="s">
        <v>29</v>
      </c>
      <c r="L481">
        <v>34</v>
      </c>
      <c r="M481" t="s">
        <v>30</v>
      </c>
    </row>
    <row r="482" spans="1:13" x14ac:dyDescent="0.35">
      <c r="A482" t="s">
        <v>971</v>
      </c>
      <c r="B482" t="s">
        <v>199</v>
      </c>
      <c r="C482" t="s">
        <v>924</v>
      </c>
      <c r="D482" t="s">
        <v>40</v>
      </c>
      <c r="E482" t="s">
        <v>41</v>
      </c>
      <c r="F482" t="s">
        <v>27</v>
      </c>
      <c r="G482" t="s">
        <v>176</v>
      </c>
      <c r="H482">
        <v>549</v>
      </c>
      <c r="I482">
        <v>30</v>
      </c>
      <c r="J482">
        <v>0</v>
      </c>
      <c r="K482" t="s">
        <v>29</v>
      </c>
      <c r="L482">
        <v>46</v>
      </c>
      <c r="M482" t="s">
        <v>21</v>
      </c>
    </row>
    <row r="483" spans="1:13" x14ac:dyDescent="0.35">
      <c r="A483" t="s">
        <v>972</v>
      </c>
      <c r="B483" t="s">
        <v>186</v>
      </c>
      <c r="C483" t="s">
        <v>134</v>
      </c>
      <c r="D483" t="s">
        <v>16</v>
      </c>
      <c r="E483" t="s">
        <v>89</v>
      </c>
      <c r="F483" t="s">
        <v>18</v>
      </c>
      <c r="G483" t="s">
        <v>35</v>
      </c>
      <c r="H483">
        <v>536</v>
      </c>
      <c r="I483">
        <v>30</v>
      </c>
      <c r="J483">
        <v>20</v>
      </c>
      <c r="K483" t="s">
        <v>20</v>
      </c>
      <c r="L483">
        <v>51</v>
      </c>
      <c r="M483" t="s">
        <v>21</v>
      </c>
    </row>
    <row r="484" spans="1:13" x14ac:dyDescent="0.35">
      <c r="A484" t="s">
        <v>973</v>
      </c>
      <c r="B484" t="s">
        <v>186</v>
      </c>
      <c r="C484" t="s">
        <v>799</v>
      </c>
      <c r="D484" t="s">
        <v>53</v>
      </c>
      <c r="E484" t="s">
        <v>84</v>
      </c>
      <c r="F484" t="s">
        <v>85</v>
      </c>
      <c r="G484" t="s">
        <v>63</v>
      </c>
      <c r="H484">
        <v>649</v>
      </c>
      <c r="I484">
        <v>30</v>
      </c>
      <c r="J484">
        <v>20</v>
      </c>
      <c r="K484" t="s">
        <v>20</v>
      </c>
      <c r="L484">
        <v>34</v>
      </c>
      <c r="M484" t="s">
        <v>21</v>
      </c>
    </row>
    <row r="485" spans="1:13" x14ac:dyDescent="0.35">
      <c r="A485" t="s">
        <v>974</v>
      </c>
      <c r="B485" t="s">
        <v>69</v>
      </c>
      <c r="C485" t="s">
        <v>547</v>
      </c>
      <c r="D485" t="s">
        <v>25</v>
      </c>
      <c r="E485" t="s">
        <v>34</v>
      </c>
      <c r="F485" t="s">
        <v>27</v>
      </c>
      <c r="G485" t="s">
        <v>42</v>
      </c>
      <c r="H485">
        <v>657</v>
      </c>
      <c r="I485">
        <v>20</v>
      </c>
      <c r="J485">
        <v>30</v>
      </c>
      <c r="K485" t="s">
        <v>29</v>
      </c>
      <c r="L485">
        <v>41</v>
      </c>
      <c r="M485" t="s">
        <v>21</v>
      </c>
    </row>
    <row r="486" spans="1:13" x14ac:dyDescent="0.35">
      <c r="A486" t="s">
        <v>975</v>
      </c>
      <c r="B486" t="s">
        <v>199</v>
      </c>
      <c r="C486" t="s">
        <v>976</v>
      </c>
      <c r="D486" t="s">
        <v>46</v>
      </c>
      <c r="E486" t="s">
        <v>47</v>
      </c>
      <c r="F486" t="s">
        <v>48</v>
      </c>
      <c r="G486" t="s">
        <v>19</v>
      </c>
      <c r="H486">
        <v>677</v>
      </c>
      <c r="I486">
        <v>30</v>
      </c>
      <c r="J486">
        <v>0</v>
      </c>
      <c r="K486" t="s">
        <v>29</v>
      </c>
      <c r="L486">
        <v>31</v>
      </c>
      <c r="M486" t="s">
        <v>30</v>
      </c>
    </row>
    <row r="487" spans="1:13" x14ac:dyDescent="0.35">
      <c r="A487" t="s">
        <v>977</v>
      </c>
      <c r="B487" t="s">
        <v>38</v>
      </c>
      <c r="C487" t="s">
        <v>952</v>
      </c>
      <c r="D487" t="s">
        <v>40</v>
      </c>
      <c r="E487" t="s">
        <v>41</v>
      </c>
      <c r="F487" t="s">
        <v>27</v>
      </c>
      <c r="G487" t="s">
        <v>35</v>
      </c>
      <c r="H487">
        <v>372</v>
      </c>
      <c r="I487">
        <v>50</v>
      </c>
      <c r="J487">
        <v>0</v>
      </c>
      <c r="K487" t="s">
        <v>20</v>
      </c>
      <c r="L487">
        <v>55</v>
      </c>
      <c r="M487" t="s">
        <v>21</v>
      </c>
    </row>
    <row r="488" spans="1:13" x14ac:dyDescent="0.35">
      <c r="A488" t="s">
        <v>978</v>
      </c>
      <c r="B488" t="s">
        <v>247</v>
      </c>
      <c r="C488" t="s">
        <v>979</v>
      </c>
      <c r="D488" t="s">
        <v>40</v>
      </c>
      <c r="E488" t="s">
        <v>41</v>
      </c>
      <c r="F488" t="s">
        <v>27</v>
      </c>
      <c r="G488" t="s">
        <v>35</v>
      </c>
      <c r="H488">
        <v>575</v>
      </c>
      <c r="I488">
        <v>40</v>
      </c>
      <c r="J488">
        <v>50</v>
      </c>
      <c r="K488" t="s">
        <v>29</v>
      </c>
      <c r="L488">
        <v>22</v>
      </c>
      <c r="M488" t="s">
        <v>21</v>
      </c>
    </row>
    <row r="489" spans="1:13" x14ac:dyDescent="0.35">
      <c r="A489" t="s">
        <v>980</v>
      </c>
      <c r="B489" t="s">
        <v>388</v>
      </c>
      <c r="C489" t="s">
        <v>417</v>
      </c>
      <c r="D489" t="s">
        <v>46</v>
      </c>
      <c r="E489" t="s">
        <v>148</v>
      </c>
      <c r="F489" t="s">
        <v>27</v>
      </c>
      <c r="G489" t="s">
        <v>74</v>
      </c>
      <c r="H489">
        <v>194</v>
      </c>
      <c r="I489">
        <v>40</v>
      </c>
      <c r="J489">
        <v>100</v>
      </c>
      <c r="K489" t="s">
        <v>36</v>
      </c>
      <c r="L489">
        <v>45</v>
      </c>
      <c r="M489" t="s">
        <v>21</v>
      </c>
    </row>
    <row r="490" spans="1:13" x14ac:dyDescent="0.35">
      <c r="A490" t="s">
        <v>981</v>
      </c>
      <c r="B490" t="s">
        <v>657</v>
      </c>
      <c r="C490" t="s">
        <v>982</v>
      </c>
      <c r="D490" t="s">
        <v>40</v>
      </c>
      <c r="E490" t="s">
        <v>41</v>
      </c>
      <c r="F490" t="s">
        <v>27</v>
      </c>
      <c r="G490" t="s">
        <v>63</v>
      </c>
      <c r="H490">
        <v>676</v>
      </c>
      <c r="I490">
        <v>50</v>
      </c>
      <c r="J490">
        <v>100</v>
      </c>
      <c r="K490" t="s">
        <v>20</v>
      </c>
      <c r="L490">
        <v>31</v>
      </c>
      <c r="M490" t="s">
        <v>21</v>
      </c>
    </row>
    <row r="491" spans="1:13" x14ac:dyDescent="0.35">
      <c r="A491" t="s">
        <v>983</v>
      </c>
      <c r="B491" t="s">
        <v>32</v>
      </c>
      <c r="C491" t="s">
        <v>984</v>
      </c>
      <c r="D491" t="s">
        <v>40</v>
      </c>
      <c r="E491" t="s">
        <v>111</v>
      </c>
      <c r="F491" t="s">
        <v>18</v>
      </c>
      <c r="G491" t="s">
        <v>42</v>
      </c>
      <c r="H491">
        <v>373</v>
      </c>
      <c r="I491">
        <v>50</v>
      </c>
      <c r="J491">
        <v>30</v>
      </c>
      <c r="K491" t="s">
        <v>36</v>
      </c>
      <c r="L491">
        <v>36</v>
      </c>
      <c r="M491" t="s">
        <v>30</v>
      </c>
    </row>
    <row r="492" spans="1:13" x14ac:dyDescent="0.35">
      <c r="A492" t="s">
        <v>985</v>
      </c>
      <c r="B492" t="s">
        <v>393</v>
      </c>
      <c r="C492" t="s">
        <v>219</v>
      </c>
      <c r="D492" t="s">
        <v>16</v>
      </c>
      <c r="E492" t="s">
        <v>89</v>
      </c>
      <c r="F492" t="s">
        <v>18</v>
      </c>
      <c r="G492" t="s">
        <v>63</v>
      </c>
      <c r="H492">
        <v>164</v>
      </c>
      <c r="I492">
        <v>20</v>
      </c>
      <c r="J492">
        <v>0</v>
      </c>
      <c r="K492" t="s">
        <v>29</v>
      </c>
      <c r="L492">
        <v>47</v>
      </c>
      <c r="M492" t="s">
        <v>21</v>
      </c>
    </row>
    <row r="493" spans="1:13" x14ac:dyDescent="0.35">
      <c r="A493" t="s">
        <v>986</v>
      </c>
      <c r="B493" t="s">
        <v>57</v>
      </c>
      <c r="C493" t="s">
        <v>650</v>
      </c>
      <c r="D493" t="s">
        <v>25</v>
      </c>
      <c r="E493" t="s">
        <v>78</v>
      </c>
      <c r="F493" t="s">
        <v>48</v>
      </c>
      <c r="G493" t="s">
        <v>176</v>
      </c>
      <c r="H493">
        <v>489</v>
      </c>
      <c r="I493">
        <v>30</v>
      </c>
      <c r="J493">
        <v>100</v>
      </c>
      <c r="K493" t="s">
        <v>36</v>
      </c>
      <c r="L493">
        <v>43</v>
      </c>
      <c r="M493" t="s">
        <v>21</v>
      </c>
    </row>
    <row r="494" spans="1:13" x14ac:dyDescent="0.35">
      <c r="A494" t="s">
        <v>987</v>
      </c>
      <c r="B494" t="s">
        <v>44</v>
      </c>
      <c r="C494" t="s">
        <v>988</v>
      </c>
      <c r="D494" t="s">
        <v>25</v>
      </c>
      <c r="E494" t="s">
        <v>26</v>
      </c>
      <c r="F494" t="s">
        <v>27</v>
      </c>
      <c r="G494" t="s">
        <v>63</v>
      </c>
      <c r="H494">
        <v>295</v>
      </c>
      <c r="I494">
        <v>50</v>
      </c>
      <c r="J494">
        <v>100</v>
      </c>
      <c r="K494" t="s">
        <v>20</v>
      </c>
      <c r="L494">
        <v>26</v>
      </c>
      <c r="M494" t="s">
        <v>21</v>
      </c>
    </row>
    <row r="495" spans="1:13" x14ac:dyDescent="0.35">
      <c r="A495" t="s">
        <v>989</v>
      </c>
      <c r="B495" t="s">
        <v>379</v>
      </c>
      <c r="C495" t="s">
        <v>765</v>
      </c>
      <c r="D495" t="s">
        <v>53</v>
      </c>
      <c r="E495" t="s">
        <v>84</v>
      </c>
      <c r="F495" t="s">
        <v>85</v>
      </c>
      <c r="G495" t="s">
        <v>35</v>
      </c>
      <c r="H495">
        <v>298</v>
      </c>
      <c r="I495">
        <v>40</v>
      </c>
      <c r="J495">
        <v>0</v>
      </c>
      <c r="K495" t="s">
        <v>36</v>
      </c>
      <c r="L495">
        <v>31</v>
      </c>
      <c r="M495" t="s">
        <v>21</v>
      </c>
    </row>
    <row r="496" spans="1:13" x14ac:dyDescent="0.35">
      <c r="A496" t="s">
        <v>990</v>
      </c>
      <c r="B496" t="s">
        <v>365</v>
      </c>
      <c r="C496" t="s">
        <v>991</v>
      </c>
      <c r="D496" t="s">
        <v>25</v>
      </c>
      <c r="E496" t="s">
        <v>34</v>
      </c>
      <c r="F496" t="s">
        <v>27</v>
      </c>
      <c r="G496" t="s">
        <v>42</v>
      </c>
      <c r="H496">
        <v>685</v>
      </c>
      <c r="I496">
        <v>30</v>
      </c>
      <c r="J496">
        <v>100</v>
      </c>
      <c r="K496" t="s">
        <v>20</v>
      </c>
      <c r="L496">
        <v>28</v>
      </c>
      <c r="M496" t="s">
        <v>21</v>
      </c>
    </row>
    <row r="497" spans="1:13" x14ac:dyDescent="0.35">
      <c r="A497" t="s">
        <v>992</v>
      </c>
      <c r="B497" t="s">
        <v>329</v>
      </c>
      <c r="C497" t="s">
        <v>993</v>
      </c>
      <c r="D497" t="s">
        <v>25</v>
      </c>
      <c r="E497" t="s">
        <v>78</v>
      </c>
      <c r="F497" t="s">
        <v>48</v>
      </c>
      <c r="G497" t="s">
        <v>107</v>
      </c>
      <c r="H497">
        <v>533</v>
      </c>
      <c r="I497">
        <v>20</v>
      </c>
      <c r="J497">
        <v>20</v>
      </c>
      <c r="K497" t="s">
        <v>36</v>
      </c>
      <c r="L497">
        <v>36</v>
      </c>
      <c r="M497" t="s">
        <v>21</v>
      </c>
    </row>
    <row r="498" spans="1:13" x14ac:dyDescent="0.35">
      <c r="A498" t="s">
        <v>994</v>
      </c>
      <c r="B498" t="s">
        <v>657</v>
      </c>
      <c r="C498" t="s">
        <v>686</v>
      </c>
      <c r="D498" t="s">
        <v>25</v>
      </c>
      <c r="E498" t="s">
        <v>34</v>
      </c>
      <c r="F498" t="s">
        <v>27</v>
      </c>
      <c r="G498" t="s">
        <v>49</v>
      </c>
      <c r="H498">
        <v>217</v>
      </c>
      <c r="I498">
        <v>20</v>
      </c>
      <c r="J498">
        <v>50</v>
      </c>
      <c r="K498" t="s">
        <v>36</v>
      </c>
      <c r="L498">
        <v>55</v>
      </c>
      <c r="M498" t="s">
        <v>21</v>
      </c>
    </row>
    <row r="499" spans="1:13" x14ac:dyDescent="0.35">
      <c r="A499" t="s">
        <v>995</v>
      </c>
      <c r="B499" t="s">
        <v>435</v>
      </c>
      <c r="C499" t="s">
        <v>996</v>
      </c>
      <c r="D499" t="s">
        <v>46</v>
      </c>
      <c r="E499" t="s">
        <v>70</v>
      </c>
      <c r="F499" t="s">
        <v>18</v>
      </c>
      <c r="G499" t="s">
        <v>107</v>
      </c>
      <c r="H499">
        <v>254</v>
      </c>
      <c r="I499">
        <v>50</v>
      </c>
      <c r="J499">
        <v>30</v>
      </c>
      <c r="K499" t="s">
        <v>36</v>
      </c>
      <c r="L499">
        <v>45</v>
      </c>
      <c r="M499" t="s">
        <v>21</v>
      </c>
    </row>
    <row r="500" spans="1:13" x14ac:dyDescent="0.35">
      <c r="A500" t="s">
        <v>997</v>
      </c>
      <c r="B500" t="s">
        <v>44</v>
      </c>
      <c r="C500" t="s">
        <v>781</v>
      </c>
      <c r="D500" t="s">
        <v>46</v>
      </c>
      <c r="E500" t="s">
        <v>47</v>
      </c>
      <c r="F500" t="s">
        <v>48</v>
      </c>
      <c r="G500" t="s">
        <v>42</v>
      </c>
      <c r="H500">
        <v>744</v>
      </c>
      <c r="I500">
        <v>50</v>
      </c>
      <c r="J500">
        <v>100</v>
      </c>
      <c r="K500" t="s">
        <v>20</v>
      </c>
      <c r="L500">
        <v>56</v>
      </c>
      <c r="M500" t="s">
        <v>21</v>
      </c>
    </row>
    <row r="501" spans="1:13" x14ac:dyDescent="0.35">
      <c r="A501" t="s">
        <v>998</v>
      </c>
      <c r="B501" t="s">
        <v>65</v>
      </c>
      <c r="C501" t="s">
        <v>967</v>
      </c>
      <c r="D501" t="s">
        <v>53</v>
      </c>
      <c r="E501" t="s">
        <v>152</v>
      </c>
      <c r="F501" t="s">
        <v>18</v>
      </c>
      <c r="G501" t="s">
        <v>176</v>
      </c>
      <c r="H501">
        <v>329</v>
      </c>
      <c r="I501">
        <v>50</v>
      </c>
      <c r="J501">
        <v>50</v>
      </c>
      <c r="K501" t="s">
        <v>29</v>
      </c>
      <c r="L501">
        <v>57</v>
      </c>
      <c r="M501" t="s">
        <v>21</v>
      </c>
    </row>
    <row r="502" spans="1:13" x14ac:dyDescent="0.35">
      <c r="A502" t="s">
        <v>999</v>
      </c>
      <c r="B502" t="s">
        <v>252</v>
      </c>
      <c r="C502" t="s">
        <v>1000</v>
      </c>
      <c r="D502" t="s">
        <v>25</v>
      </c>
      <c r="E502" t="s">
        <v>78</v>
      </c>
      <c r="F502" t="s">
        <v>48</v>
      </c>
      <c r="G502" t="s">
        <v>35</v>
      </c>
      <c r="H502">
        <v>666</v>
      </c>
      <c r="I502">
        <v>30</v>
      </c>
      <c r="J502">
        <v>20</v>
      </c>
      <c r="K502" t="s">
        <v>20</v>
      </c>
      <c r="L502">
        <v>42</v>
      </c>
      <c r="M502" t="s">
        <v>21</v>
      </c>
    </row>
    <row r="503" spans="1:13" x14ac:dyDescent="0.35">
      <c r="A503" t="s">
        <v>1001</v>
      </c>
      <c r="B503" t="s">
        <v>76</v>
      </c>
      <c r="C503" t="s">
        <v>879</v>
      </c>
      <c r="D503" t="s">
        <v>16</v>
      </c>
      <c r="E503" t="s">
        <v>17</v>
      </c>
      <c r="F503" t="s">
        <v>18</v>
      </c>
      <c r="G503" t="s">
        <v>74</v>
      </c>
      <c r="H503">
        <v>646</v>
      </c>
      <c r="I503">
        <v>30</v>
      </c>
      <c r="J503">
        <v>20</v>
      </c>
      <c r="K503" t="s">
        <v>20</v>
      </c>
      <c r="L503">
        <v>29</v>
      </c>
      <c r="M503" t="s">
        <v>21</v>
      </c>
    </row>
    <row r="504" spans="1:13" x14ac:dyDescent="0.35">
      <c r="A504" t="s">
        <v>1002</v>
      </c>
      <c r="B504" t="s">
        <v>305</v>
      </c>
      <c r="C504" t="s">
        <v>307</v>
      </c>
      <c r="D504" t="s">
        <v>16</v>
      </c>
      <c r="E504" t="s">
        <v>89</v>
      </c>
      <c r="F504" t="s">
        <v>18</v>
      </c>
      <c r="G504" t="s">
        <v>19</v>
      </c>
      <c r="H504">
        <v>595</v>
      </c>
      <c r="I504">
        <v>30</v>
      </c>
      <c r="J504">
        <v>50</v>
      </c>
      <c r="K504" t="s">
        <v>29</v>
      </c>
      <c r="L504">
        <v>22</v>
      </c>
      <c r="M504" t="s">
        <v>21</v>
      </c>
    </row>
    <row r="505" spans="1:13" x14ac:dyDescent="0.35">
      <c r="A505" t="s">
        <v>1003</v>
      </c>
      <c r="B505" t="s">
        <v>368</v>
      </c>
      <c r="C505" t="s">
        <v>259</v>
      </c>
      <c r="D505" t="s">
        <v>40</v>
      </c>
      <c r="E505" t="s">
        <v>41</v>
      </c>
      <c r="F505" t="s">
        <v>27</v>
      </c>
      <c r="G505" t="s">
        <v>42</v>
      </c>
      <c r="H505">
        <v>258</v>
      </c>
      <c r="I505">
        <v>50</v>
      </c>
      <c r="J505">
        <v>20</v>
      </c>
      <c r="K505" t="s">
        <v>29</v>
      </c>
      <c r="L505">
        <v>31</v>
      </c>
      <c r="M505" t="s">
        <v>21</v>
      </c>
    </row>
    <row r="506" spans="1:13" x14ac:dyDescent="0.35">
      <c r="A506" t="s">
        <v>1004</v>
      </c>
      <c r="B506" t="s">
        <v>192</v>
      </c>
      <c r="C506" t="s">
        <v>529</v>
      </c>
      <c r="D506" t="s">
        <v>16</v>
      </c>
      <c r="E506" t="s">
        <v>89</v>
      </c>
      <c r="F506" t="s">
        <v>18</v>
      </c>
      <c r="G506" t="s">
        <v>107</v>
      </c>
      <c r="H506">
        <v>669</v>
      </c>
      <c r="I506">
        <v>30</v>
      </c>
      <c r="J506">
        <v>30</v>
      </c>
      <c r="K506" t="s">
        <v>20</v>
      </c>
      <c r="L506">
        <v>41</v>
      </c>
      <c r="M506" t="s">
        <v>21</v>
      </c>
    </row>
    <row r="507" spans="1:13" x14ac:dyDescent="0.35">
      <c r="A507" t="s">
        <v>1005</v>
      </c>
      <c r="B507" t="s">
        <v>449</v>
      </c>
      <c r="C507" t="s">
        <v>1006</v>
      </c>
      <c r="D507" t="s">
        <v>16</v>
      </c>
      <c r="E507" t="s">
        <v>131</v>
      </c>
      <c r="F507" t="s">
        <v>55</v>
      </c>
      <c r="G507" t="s">
        <v>42</v>
      </c>
      <c r="H507">
        <v>308</v>
      </c>
      <c r="I507">
        <v>20</v>
      </c>
      <c r="J507">
        <v>30</v>
      </c>
      <c r="K507" t="s">
        <v>29</v>
      </c>
      <c r="L507">
        <v>50</v>
      </c>
      <c r="M507" t="s">
        <v>21</v>
      </c>
    </row>
    <row r="508" spans="1:13" x14ac:dyDescent="0.35">
      <c r="A508" t="s">
        <v>1007</v>
      </c>
      <c r="B508" t="s">
        <v>65</v>
      </c>
      <c r="C508" t="s">
        <v>478</v>
      </c>
      <c r="D508" t="s">
        <v>40</v>
      </c>
      <c r="E508" t="s">
        <v>67</v>
      </c>
      <c r="F508" t="s">
        <v>48</v>
      </c>
      <c r="G508" t="s">
        <v>59</v>
      </c>
      <c r="H508">
        <v>745</v>
      </c>
      <c r="I508">
        <v>30</v>
      </c>
      <c r="J508">
        <v>50</v>
      </c>
      <c r="K508" t="s">
        <v>36</v>
      </c>
      <c r="L508">
        <v>57</v>
      </c>
      <c r="M508" t="s">
        <v>21</v>
      </c>
    </row>
    <row r="509" spans="1:13" x14ac:dyDescent="0.35">
      <c r="A509" t="s">
        <v>1008</v>
      </c>
      <c r="B509" t="s">
        <v>133</v>
      </c>
      <c r="C509" t="s">
        <v>409</v>
      </c>
      <c r="D509" t="s">
        <v>40</v>
      </c>
      <c r="E509" t="s">
        <v>67</v>
      </c>
      <c r="F509" t="s">
        <v>48</v>
      </c>
      <c r="G509" t="s">
        <v>107</v>
      </c>
      <c r="H509">
        <v>262</v>
      </c>
      <c r="I509">
        <v>40</v>
      </c>
      <c r="J509">
        <v>30</v>
      </c>
      <c r="K509" t="s">
        <v>29</v>
      </c>
      <c r="L509">
        <v>26</v>
      </c>
      <c r="M509" t="s">
        <v>21</v>
      </c>
    </row>
    <row r="510" spans="1:13" x14ac:dyDescent="0.35">
      <c r="A510" t="s">
        <v>1009</v>
      </c>
      <c r="B510" t="s">
        <v>218</v>
      </c>
      <c r="C510" t="s">
        <v>640</v>
      </c>
      <c r="D510" t="s">
        <v>53</v>
      </c>
      <c r="E510" t="s">
        <v>84</v>
      </c>
      <c r="F510" t="s">
        <v>85</v>
      </c>
      <c r="G510" t="s">
        <v>49</v>
      </c>
      <c r="H510">
        <v>346</v>
      </c>
      <c r="I510">
        <v>20</v>
      </c>
      <c r="J510">
        <v>50</v>
      </c>
      <c r="K510" t="s">
        <v>36</v>
      </c>
      <c r="L510">
        <v>50</v>
      </c>
      <c r="M510" t="s">
        <v>21</v>
      </c>
    </row>
    <row r="511" spans="1:13" x14ac:dyDescent="0.35">
      <c r="A511" t="s">
        <v>1010</v>
      </c>
      <c r="B511" t="s">
        <v>310</v>
      </c>
      <c r="C511" t="s">
        <v>187</v>
      </c>
      <c r="D511" t="s">
        <v>25</v>
      </c>
      <c r="E511" t="s">
        <v>26</v>
      </c>
      <c r="F511" t="s">
        <v>27</v>
      </c>
      <c r="G511" t="s">
        <v>42</v>
      </c>
      <c r="H511">
        <v>465</v>
      </c>
      <c r="I511">
        <v>50</v>
      </c>
      <c r="J511">
        <v>0</v>
      </c>
      <c r="K511" t="s">
        <v>20</v>
      </c>
      <c r="L511">
        <v>44</v>
      </c>
      <c r="M511" t="s">
        <v>21</v>
      </c>
    </row>
    <row r="512" spans="1:13" x14ac:dyDescent="0.35">
      <c r="A512" t="s">
        <v>1011</v>
      </c>
      <c r="B512" t="s">
        <v>473</v>
      </c>
      <c r="C512" t="s">
        <v>1012</v>
      </c>
      <c r="D512" t="s">
        <v>46</v>
      </c>
      <c r="E512" t="s">
        <v>47</v>
      </c>
      <c r="F512" t="s">
        <v>48</v>
      </c>
      <c r="G512" t="s">
        <v>59</v>
      </c>
      <c r="H512">
        <v>634</v>
      </c>
      <c r="I512">
        <v>20</v>
      </c>
      <c r="J512">
        <v>20</v>
      </c>
      <c r="K512" t="s">
        <v>36</v>
      </c>
      <c r="L512">
        <v>49</v>
      </c>
      <c r="M512" t="s">
        <v>21</v>
      </c>
    </row>
    <row r="513" spans="1:13" x14ac:dyDescent="0.35">
      <c r="A513" t="s">
        <v>1013</v>
      </c>
      <c r="B513" t="s">
        <v>126</v>
      </c>
      <c r="C513" t="s">
        <v>1014</v>
      </c>
      <c r="D513" t="s">
        <v>46</v>
      </c>
      <c r="E513" t="s">
        <v>47</v>
      </c>
      <c r="F513" t="s">
        <v>48</v>
      </c>
      <c r="G513" t="s">
        <v>63</v>
      </c>
      <c r="H513">
        <v>625</v>
      </c>
      <c r="I513">
        <v>30</v>
      </c>
      <c r="J513">
        <v>50</v>
      </c>
      <c r="K513" t="s">
        <v>20</v>
      </c>
      <c r="L513">
        <v>24</v>
      </c>
      <c r="M513" t="s">
        <v>21</v>
      </c>
    </row>
    <row r="514" spans="1:13" x14ac:dyDescent="0.35">
      <c r="A514" t="s">
        <v>1015</v>
      </c>
      <c r="B514" t="s">
        <v>61</v>
      </c>
      <c r="C514" t="s">
        <v>1016</v>
      </c>
      <c r="D514" t="s">
        <v>40</v>
      </c>
      <c r="E514" t="s">
        <v>111</v>
      </c>
      <c r="F514" t="s">
        <v>18</v>
      </c>
      <c r="G514" t="s">
        <v>59</v>
      </c>
      <c r="H514">
        <v>768</v>
      </c>
      <c r="I514">
        <v>40</v>
      </c>
      <c r="J514">
        <v>20</v>
      </c>
      <c r="K514" t="s">
        <v>20</v>
      </c>
      <c r="L514">
        <v>40</v>
      </c>
      <c r="M514" t="s">
        <v>21</v>
      </c>
    </row>
    <row r="515" spans="1:13" x14ac:dyDescent="0.35">
      <c r="A515" t="s">
        <v>1017</v>
      </c>
      <c r="B515" t="s">
        <v>368</v>
      </c>
      <c r="C515" t="s">
        <v>407</v>
      </c>
      <c r="D515" t="s">
        <v>40</v>
      </c>
      <c r="E515" t="s">
        <v>67</v>
      </c>
      <c r="F515" t="s">
        <v>48</v>
      </c>
      <c r="G515" t="s">
        <v>49</v>
      </c>
      <c r="H515">
        <v>339</v>
      </c>
      <c r="I515">
        <v>40</v>
      </c>
      <c r="J515">
        <v>50</v>
      </c>
      <c r="K515" t="s">
        <v>36</v>
      </c>
      <c r="L515">
        <v>34</v>
      </c>
      <c r="M515" t="s">
        <v>21</v>
      </c>
    </row>
    <row r="516" spans="1:13" x14ac:dyDescent="0.35">
      <c r="A516" t="s">
        <v>1018</v>
      </c>
      <c r="B516" t="s">
        <v>223</v>
      </c>
      <c r="C516" t="s">
        <v>58</v>
      </c>
      <c r="D516" t="s">
        <v>40</v>
      </c>
      <c r="E516" t="s">
        <v>67</v>
      </c>
      <c r="F516" t="s">
        <v>48</v>
      </c>
      <c r="G516" t="s">
        <v>74</v>
      </c>
      <c r="H516">
        <v>154</v>
      </c>
      <c r="I516">
        <v>20</v>
      </c>
      <c r="J516">
        <v>100</v>
      </c>
      <c r="K516" t="s">
        <v>36</v>
      </c>
      <c r="L516">
        <v>21</v>
      </c>
      <c r="M516" t="s">
        <v>21</v>
      </c>
    </row>
    <row r="517" spans="1:13" x14ac:dyDescent="0.35">
      <c r="A517" t="s">
        <v>1019</v>
      </c>
      <c r="B517" t="s">
        <v>218</v>
      </c>
      <c r="C517" t="s">
        <v>478</v>
      </c>
      <c r="D517" t="s">
        <v>25</v>
      </c>
      <c r="E517" t="s">
        <v>78</v>
      </c>
      <c r="F517" t="s">
        <v>48</v>
      </c>
      <c r="G517" t="s">
        <v>49</v>
      </c>
      <c r="H517">
        <v>671</v>
      </c>
      <c r="I517">
        <v>50</v>
      </c>
      <c r="J517">
        <v>0</v>
      </c>
      <c r="K517" t="s">
        <v>36</v>
      </c>
      <c r="L517">
        <v>44</v>
      </c>
      <c r="M517" t="s">
        <v>21</v>
      </c>
    </row>
    <row r="518" spans="1:13" x14ac:dyDescent="0.35">
      <c r="A518" t="s">
        <v>1020</v>
      </c>
      <c r="B518" t="s">
        <v>297</v>
      </c>
      <c r="C518" t="s">
        <v>979</v>
      </c>
      <c r="D518" t="s">
        <v>40</v>
      </c>
      <c r="E518" t="s">
        <v>111</v>
      </c>
      <c r="F518" t="s">
        <v>18</v>
      </c>
      <c r="G518" t="s">
        <v>19</v>
      </c>
      <c r="H518">
        <v>752</v>
      </c>
      <c r="I518">
        <v>30</v>
      </c>
      <c r="J518">
        <v>30</v>
      </c>
      <c r="K518" t="s">
        <v>20</v>
      </c>
      <c r="L518">
        <v>58</v>
      </c>
      <c r="M518" t="s">
        <v>21</v>
      </c>
    </row>
    <row r="519" spans="1:13" x14ac:dyDescent="0.35">
      <c r="A519" t="s">
        <v>1021</v>
      </c>
      <c r="B519" t="s">
        <v>76</v>
      </c>
      <c r="C519" t="s">
        <v>1022</v>
      </c>
      <c r="D519" t="s">
        <v>46</v>
      </c>
      <c r="E519" t="s">
        <v>70</v>
      </c>
      <c r="F519" t="s">
        <v>18</v>
      </c>
      <c r="G519" t="s">
        <v>63</v>
      </c>
      <c r="H519">
        <v>531</v>
      </c>
      <c r="I519">
        <v>40</v>
      </c>
      <c r="J519">
        <v>20</v>
      </c>
      <c r="K519" t="s">
        <v>20</v>
      </c>
      <c r="L519">
        <v>45</v>
      </c>
      <c r="M519" t="s">
        <v>21</v>
      </c>
    </row>
    <row r="520" spans="1:13" x14ac:dyDescent="0.35">
      <c r="A520" t="s">
        <v>1023</v>
      </c>
      <c r="B520" t="s">
        <v>105</v>
      </c>
      <c r="C520" t="s">
        <v>1024</v>
      </c>
      <c r="D520" t="s">
        <v>46</v>
      </c>
      <c r="E520" t="s">
        <v>148</v>
      </c>
      <c r="F520" t="s">
        <v>27</v>
      </c>
      <c r="G520" t="s">
        <v>49</v>
      </c>
      <c r="H520">
        <v>419</v>
      </c>
      <c r="I520">
        <v>50</v>
      </c>
      <c r="J520">
        <v>50</v>
      </c>
      <c r="K520" t="s">
        <v>36</v>
      </c>
      <c r="L520">
        <v>20</v>
      </c>
      <c r="M520" t="s">
        <v>21</v>
      </c>
    </row>
    <row r="521" spans="1:13" x14ac:dyDescent="0.35">
      <c r="A521" t="s">
        <v>1025</v>
      </c>
      <c r="B521" t="s">
        <v>118</v>
      </c>
      <c r="C521" t="s">
        <v>1026</v>
      </c>
      <c r="D521" t="s">
        <v>25</v>
      </c>
      <c r="E521" t="s">
        <v>78</v>
      </c>
      <c r="F521" t="s">
        <v>48</v>
      </c>
      <c r="G521" t="s">
        <v>42</v>
      </c>
      <c r="H521">
        <v>697</v>
      </c>
      <c r="I521">
        <v>30</v>
      </c>
      <c r="J521">
        <v>0</v>
      </c>
      <c r="K521" t="s">
        <v>36</v>
      </c>
      <c r="L521">
        <v>34</v>
      </c>
      <c r="M521" t="s">
        <v>21</v>
      </c>
    </row>
    <row r="522" spans="1:13" x14ac:dyDescent="0.35">
      <c r="A522" t="s">
        <v>1027</v>
      </c>
      <c r="B522" t="s">
        <v>218</v>
      </c>
      <c r="C522" t="s">
        <v>487</v>
      </c>
      <c r="D522" t="s">
        <v>25</v>
      </c>
      <c r="E522" t="s">
        <v>26</v>
      </c>
      <c r="F522" t="s">
        <v>27</v>
      </c>
      <c r="G522" t="s">
        <v>42</v>
      </c>
      <c r="H522">
        <v>443</v>
      </c>
      <c r="I522">
        <v>50</v>
      </c>
      <c r="J522">
        <v>30</v>
      </c>
      <c r="K522" t="s">
        <v>29</v>
      </c>
      <c r="L522">
        <v>24</v>
      </c>
      <c r="M522" t="s">
        <v>21</v>
      </c>
    </row>
    <row r="523" spans="1:13" x14ac:dyDescent="0.35">
      <c r="A523" t="s">
        <v>1028</v>
      </c>
      <c r="B523" t="s">
        <v>121</v>
      </c>
      <c r="C523" t="s">
        <v>361</v>
      </c>
      <c r="D523" t="s">
        <v>16</v>
      </c>
      <c r="E523" t="s">
        <v>17</v>
      </c>
      <c r="F523" t="s">
        <v>18</v>
      </c>
      <c r="G523" t="s">
        <v>28</v>
      </c>
      <c r="H523">
        <v>581</v>
      </c>
      <c r="I523">
        <v>40</v>
      </c>
      <c r="J523">
        <v>100</v>
      </c>
      <c r="K523" t="s">
        <v>36</v>
      </c>
      <c r="L523">
        <v>32</v>
      </c>
      <c r="M523" t="s">
        <v>21</v>
      </c>
    </row>
    <row r="524" spans="1:13" x14ac:dyDescent="0.35">
      <c r="A524" t="s">
        <v>1029</v>
      </c>
      <c r="B524" t="s">
        <v>136</v>
      </c>
      <c r="C524" t="s">
        <v>668</v>
      </c>
      <c r="D524" t="s">
        <v>46</v>
      </c>
      <c r="E524" t="s">
        <v>70</v>
      </c>
      <c r="F524" t="s">
        <v>18</v>
      </c>
      <c r="G524" t="s">
        <v>35</v>
      </c>
      <c r="H524">
        <v>538</v>
      </c>
      <c r="I524">
        <v>40</v>
      </c>
      <c r="J524">
        <v>50</v>
      </c>
      <c r="K524" t="s">
        <v>29</v>
      </c>
      <c r="L524">
        <v>40</v>
      </c>
      <c r="M524" t="s">
        <v>21</v>
      </c>
    </row>
    <row r="525" spans="1:13" x14ac:dyDescent="0.35">
      <c r="A525" t="s">
        <v>1030</v>
      </c>
      <c r="B525" t="s">
        <v>72</v>
      </c>
      <c r="C525" t="s">
        <v>1031</v>
      </c>
      <c r="D525" t="s">
        <v>46</v>
      </c>
      <c r="E525" t="s">
        <v>47</v>
      </c>
      <c r="F525" t="s">
        <v>48</v>
      </c>
      <c r="G525" t="s">
        <v>49</v>
      </c>
      <c r="H525">
        <v>156</v>
      </c>
      <c r="I525">
        <v>40</v>
      </c>
      <c r="J525">
        <v>20</v>
      </c>
      <c r="K525" t="s">
        <v>20</v>
      </c>
      <c r="L525">
        <v>25</v>
      </c>
      <c r="M525" t="s">
        <v>21</v>
      </c>
    </row>
    <row r="526" spans="1:13" x14ac:dyDescent="0.35">
      <c r="A526" t="s">
        <v>1032</v>
      </c>
      <c r="B526" t="s">
        <v>271</v>
      </c>
      <c r="C526" t="s">
        <v>487</v>
      </c>
      <c r="D526" t="s">
        <v>25</v>
      </c>
      <c r="E526" t="s">
        <v>26</v>
      </c>
      <c r="F526" t="s">
        <v>27</v>
      </c>
      <c r="G526" t="s">
        <v>63</v>
      </c>
      <c r="H526">
        <v>670</v>
      </c>
      <c r="I526">
        <v>40</v>
      </c>
      <c r="J526">
        <v>30</v>
      </c>
      <c r="K526" t="s">
        <v>36</v>
      </c>
      <c r="L526">
        <v>58</v>
      </c>
      <c r="M526" t="s">
        <v>21</v>
      </c>
    </row>
    <row r="527" spans="1:13" x14ac:dyDescent="0.35">
      <c r="A527" t="s">
        <v>1033</v>
      </c>
      <c r="B527" t="s">
        <v>223</v>
      </c>
      <c r="C527" t="s">
        <v>1034</v>
      </c>
      <c r="D527" t="s">
        <v>53</v>
      </c>
      <c r="E527" t="s">
        <v>54</v>
      </c>
      <c r="F527" t="s">
        <v>55</v>
      </c>
      <c r="G527" t="s">
        <v>42</v>
      </c>
      <c r="H527">
        <v>402</v>
      </c>
      <c r="I527">
        <v>40</v>
      </c>
      <c r="J527">
        <v>30</v>
      </c>
      <c r="K527" t="s">
        <v>20</v>
      </c>
      <c r="L527">
        <v>60</v>
      </c>
      <c r="M527" t="s">
        <v>21</v>
      </c>
    </row>
    <row r="528" spans="1:13" x14ac:dyDescent="0.35">
      <c r="A528" t="s">
        <v>1035</v>
      </c>
      <c r="B528" t="s">
        <v>435</v>
      </c>
      <c r="C528" t="s">
        <v>208</v>
      </c>
      <c r="D528" t="s">
        <v>46</v>
      </c>
      <c r="E528" t="s">
        <v>47</v>
      </c>
      <c r="F528" t="s">
        <v>48</v>
      </c>
      <c r="G528" t="s">
        <v>63</v>
      </c>
      <c r="H528">
        <v>310</v>
      </c>
      <c r="I528">
        <v>30</v>
      </c>
      <c r="J528">
        <v>20</v>
      </c>
      <c r="K528" t="s">
        <v>20</v>
      </c>
      <c r="L528">
        <v>23</v>
      </c>
      <c r="M528" t="s">
        <v>21</v>
      </c>
    </row>
    <row r="529" spans="1:13" x14ac:dyDescent="0.35">
      <c r="A529" t="s">
        <v>1036</v>
      </c>
      <c r="B529" t="s">
        <v>379</v>
      </c>
      <c r="C529" t="s">
        <v>1037</v>
      </c>
      <c r="D529" t="s">
        <v>53</v>
      </c>
      <c r="E529" t="s">
        <v>84</v>
      </c>
      <c r="F529" t="s">
        <v>85</v>
      </c>
      <c r="G529" t="s">
        <v>35</v>
      </c>
      <c r="H529">
        <v>190</v>
      </c>
      <c r="I529">
        <v>50</v>
      </c>
      <c r="J529">
        <v>0</v>
      </c>
      <c r="K529" t="s">
        <v>36</v>
      </c>
      <c r="L529">
        <v>29</v>
      </c>
      <c r="M529" t="s">
        <v>21</v>
      </c>
    </row>
    <row r="530" spans="1:13" x14ac:dyDescent="0.35">
      <c r="A530" t="s">
        <v>1038</v>
      </c>
      <c r="B530" t="s">
        <v>192</v>
      </c>
      <c r="C530" t="s">
        <v>557</v>
      </c>
      <c r="D530" t="s">
        <v>25</v>
      </c>
      <c r="E530" t="s">
        <v>26</v>
      </c>
      <c r="F530" t="s">
        <v>27</v>
      </c>
      <c r="G530" t="s">
        <v>176</v>
      </c>
      <c r="H530">
        <v>750</v>
      </c>
      <c r="I530">
        <v>20</v>
      </c>
      <c r="J530">
        <v>50</v>
      </c>
      <c r="K530" t="s">
        <v>20</v>
      </c>
      <c r="L530">
        <v>22</v>
      </c>
      <c r="M530" t="s">
        <v>21</v>
      </c>
    </row>
    <row r="531" spans="1:13" x14ac:dyDescent="0.35">
      <c r="A531" t="s">
        <v>1039</v>
      </c>
      <c r="B531" t="s">
        <v>178</v>
      </c>
      <c r="C531" t="s">
        <v>902</v>
      </c>
      <c r="D531" t="s">
        <v>46</v>
      </c>
      <c r="E531" t="s">
        <v>47</v>
      </c>
      <c r="F531" t="s">
        <v>48</v>
      </c>
      <c r="G531" t="s">
        <v>35</v>
      </c>
      <c r="H531">
        <v>649</v>
      </c>
      <c r="I531">
        <v>40</v>
      </c>
      <c r="J531">
        <v>20</v>
      </c>
      <c r="K531" t="s">
        <v>29</v>
      </c>
      <c r="L531">
        <v>30</v>
      </c>
      <c r="M531" t="s">
        <v>21</v>
      </c>
    </row>
    <row r="532" spans="1:13" x14ac:dyDescent="0.35">
      <c r="A532" t="s">
        <v>1040</v>
      </c>
      <c r="B532" t="s">
        <v>189</v>
      </c>
      <c r="C532" t="s">
        <v>849</v>
      </c>
      <c r="D532" t="s">
        <v>25</v>
      </c>
      <c r="E532" t="s">
        <v>26</v>
      </c>
      <c r="F532" t="s">
        <v>27</v>
      </c>
      <c r="G532" t="s">
        <v>28</v>
      </c>
      <c r="H532">
        <v>752</v>
      </c>
      <c r="I532">
        <v>40</v>
      </c>
      <c r="J532">
        <v>50</v>
      </c>
      <c r="K532" t="s">
        <v>20</v>
      </c>
      <c r="L532">
        <v>33</v>
      </c>
      <c r="M532" t="s">
        <v>21</v>
      </c>
    </row>
    <row r="533" spans="1:13" x14ac:dyDescent="0.35">
      <c r="A533" t="s">
        <v>1041</v>
      </c>
      <c r="B533" t="s">
        <v>44</v>
      </c>
      <c r="C533" t="s">
        <v>842</v>
      </c>
      <c r="D533" t="s">
        <v>16</v>
      </c>
      <c r="E533" t="s">
        <v>131</v>
      </c>
      <c r="F533" t="s">
        <v>55</v>
      </c>
      <c r="G533" t="s">
        <v>59</v>
      </c>
      <c r="H533">
        <v>700</v>
      </c>
      <c r="I533">
        <v>50</v>
      </c>
      <c r="J533">
        <v>30</v>
      </c>
      <c r="K533" t="s">
        <v>29</v>
      </c>
      <c r="L533">
        <v>54</v>
      </c>
      <c r="M533" t="s">
        <v>21</v>
      </c>
    </row>
    <row r="534" spans="1:13" x14ac:dyDescent="0.35">
      <c r="A534" t="s">
        <v>1042</v>
      </c>
      <c r="B534" t="s">
        <v>61</v>
      </c>
      <c r="C534" t="s">
        <v>1043</v>
      </c>
      <c r="D534" t="s">
        <v>40</v>
      </c>
      <c r="E534" t="s">
        <v>41</v>
      </c>
      <c r="F534" t="s">
        <v>27</v>
      </c>
      <c r="G534" t="s">
        <v>59</v>
      </c>
      <c r="H534">
        <v>792</v>
      </c>
      <c r="I534">
        <v>50</v>
      </c>
      <c r="J534">
        <v>20</v>
      </c>
      <c r="K534" t="s">
        <v>29</v>
      </c>
      <c r="L534">
        <v>39</v>
      </c>
      <c r="M534" t="s">
        <v>21</v>
      </c>
    </row>
    <row r="535" spans="1:13" x14ac:dyDescent="0.35">
      <c r="A535" t="s">
        <v>1044</v>
      </c>
      <c r="B535" t="s">
        <v>57</v>
      </c>
      <c r="C535" t="s">
        <v>1045</v>
      </c>
      <c r="D535" t="s">
        <v>40</v>
      </c>
      <c r="E535" t="s">
        <v>41</v>
      </c>
      <c r="F535" t="s">
        <v>27</v>
      </c>
      <c r="G535" t="s">
        <v>42</v>
      </c>
      <c r="H535">
        <v>279</v>
      </c>
      <c r="I535">
        <v>30</v>
      </c>
      <c r="J535">
        <v>0</v>
      </c>
      <c r="K535" t="s">
        <v>29</v>
      </c>
      <c r="L535">
        <v>48</v>
      </c>
      <c r="M535" t="s">
        <v>21</v>
      </c>
    </row>
    <row r="536" spans="1:13" x14ac:dyDescent="0.35">
      <c r="A536" t="s">
        <v>1046</v>
      </c>
      <c r="B536" t="s">
        <v>273</v>
      </c>
      <c r="C536" t="s">
        <v>967</v>
      </c>
      <c r="D536" t="s">
        <v>16</v>
      </c>
      <c r="E536" t="s">
        <v>131</v>
      </c>
      <c r="F536" t="s">
        <v>55</v>
      </c>
      <c r="G536" t="s">
        <v>59</v>
      </c>
      <c r="H536">
        <v>404</v>
      </c>
      <c r="I536">
        <v>20</v>
      </c>
      <c r="J536">
        <v>50</v>
      </c>
      <c r="K536" t="s">
        <v>36</v>
      </c>
      <c r="L536">
        <v>59</v>
      </c>
      <c r="M536" t="s">
        <v>21</v>
      </c>
    </row>
    <row r="537" spans="1:13" x14ac:dyDescent="0.35">
      <c r="A537" t="s">
        <v>1047</v>
      </c>
      <c r="B537" t="s">
        <v>365</v>
      </c>
      <c r="C537" t="s">
        <v>916</v>
      </c>
      <c r="D537" t="s">
        <v>25</v>
      </c>
      <c r="E537" t="s">
        <v>26</v>
      </c>
      <c r="F537" t="s">
        <v>27</v>
      </c>
      <c r="G537" t="s">
        <v>19</v>
      </c>
      <c r="H537">
        <v>323</v>
      </c>
      <c r="I537">
        <v>20</v>
      </c>
      <c r="J537">
        <v>100</v>
      </c>
      <c r="K537" t="s">
        <v>20</v>
      </c>
      <c r="L537">
        <v>53</v>
      </c>
      <c r="M537" t="s">
        <v>21</v>
      </c>
    </row>
    <row r="538" spans="1:13" x14ac:dyDescent="0.35">
      <c r="A538" t="s">
        <v>1048</v>
      </c>
      <c r="B538" t="s">
        <v>342</v>
      </c>
      <c r="C538" t="s">
        <v>719</v>
      </c>
      <c r="D538" t="s">
        <v>46</v>
      </c>
      <c r="E538" t="s">
        <v>47</v>
      </c>
      <c r="F538" t="s">
        <v>48</v>
      </c>
      <c r="G538" t="s">
        <v>19</v>
      </c>
      <c r="H538">
        <v>675</v>
      </c>
      <c r="I538">
        <v>40</v>
      </c>
      <c r="J538">
        <v>30</v>
      </c>
      <c r="K538" t="s">
        <v>20</v>
      </c>
      <c r="L538">
        <v>52</v>
      </c>
      <c r="M538" t="s">
        <v>21</v>
      </c>
    </row>
    <row r="539" spans="1:13" x14ac:dyDescent="0.35">
      <c r="A539" t="s">
        <v>1049</v>
      </c>
      <c r="B539" t="s">
        <v>51</v>
      </c>
      <c r="C539" t="s">
        <v>648</v>
      </c>
      <c r="D539" t="s">
        <v>25</v>
      </c>
      <c r="E539" t="s">
        <v>78</v>
      </c>
      <c r="F539" t="s">
        <v>48</v>
      </c>
      <c r="G539" t="s">
        <v>74</v>
      </c>
      <c r="H539">
        <v>515</v>
      </c>
      <c r="I539">
        <v>40</v>
      </c>
      <c r="J539">
        <v>20</v>
      </c>
      <c r="K539" t="s">
        <v>36</v>
      </c>
      <c r="L539">
        <v>28</v>
      </c>
      <c r="M539" t="s">
        <v>30</v>
      </c>
    </row>
    <row r="540" spans="1:13" x14ac:dyDescent="0.35">
      <c r="A540" t="s">
        <v>1050</v>
      </c>
      <c r="B540" t="s">
        <v>199</v>
      </c>
      <c r="C540" t="s">
        <v>1051</v>
      </c>
      <c r="D540" t="s">
        <v>53</v>
      </c>
      <c r="E540" t="s">
        <v>84</v>
      </c>
      <c r="F540" t="s">
        <v>85</v>
      </c>
      <c r="G540" t="s">
        <v>49</v>
      </c>
      <c r="H540">
        <v>603</v>
      </c>
      <c r="I540">
        <v>20</v>
      </c>
      <c r="J540">
        <v>20</v>
      </c>
      <c r="K540" t="s">
        <v>36</v>
      </c>
      <c r="L540">
        <v>59</v>
      </c>
      <c r="M540" t="s">
        <v>21</v>
      </c>
    </row>
    <row r="541" spans="1:13" x14ac:dyDescent="0.35">
      <c r="A541" t="s">
        <v>1052</v>
      </c>
      <c r="B541" t="s">
        <v>526</v>
      </c>
      <c r="C541" t="s">
        <v>168</v>
      </c>
      <c r="D541" t="s">
        <v>25</v>
      </c>
      <c r="E541" t="s">
        <v>34</v>
      </c>
      <c r="F541" t="s">
        <v>27</v>
      </c>
      <c r="G541" t="s">
        <v>28</v>
      </c>
      <c r="H541">
        <v>522</v>
      </c>
      <c r="I541">
        <v>20</v>
      </c>
      <c r="J541">
        <v>30</v>
      </c>
      <c r="K541" t="s">
        <v>20</v>
      </c>
      <c r="L541">
        <v>25</v>
      </c>
      <c r="M541" t="s">
        <v>21</v>
      </c>
    </row>
    <row r="542" spans="1:13" x14ac:dyDescent="0.35">
      <c r="A542" t="s">
        <v>1053</v>
      </c>
      <c r="B542" t="s">
        <v>51</v>
      </c>
      <c r="C542" t="s">
        <v>763</v>
      </c>
      <c r="D542" t="s">
        <v>46</v>
      </c>
      <c r="E542" t="s">
        <v>70</v>
      </c>
      <c r="F542" t="s">
        <v>18</v>
      </c>
      <c r="G542" t="s">
        <v>42</v>
      </c>
      <c r="H542">
        <v>690</v>
      </c>
      <c r="I542">
        <v>40</v>
      </c>
      <c r="J542">
        <v>20</v>
      </c>
      <c r="K542" t="s">
        <v>29</v>
      </c>
      <c r="L542">
        <v>31</v>
      </c>
      <c r="M542" t="s">
        <v>21</v>
      </c>
    </row>
    <row r="543" spans="1:13" x14ac:dyDescent="0.35">
      <c r="A543" t="s">
        <v>1054</v>
      </c>
      <c r="B543" t="s">
        <v>51</v>
      </c>
      <c r="C543" t="s">
        <v>527</v>
      </c>
      <c r="D543" t="s">
        <v>40</v>
      </c>
      <c r="E543" t="s">
        <v>41</v>
      </c>
      <c r="F543" t="s">
        <v>27</v>
      </c>
      <c r="G543" t="s">
        <v>28</v>
      </c>
      <c r="H543">
        <v>695</v>
      </c>
      <c r="I543">
        <v>30</v>
      </c>
      <c r="J543">
        <v>30</v>
      </c>
      <c r="K543" t="s">
        <v>36</v>
      </c>
      <c r="L543">
        <v>43</v>
      </c>
      <c r="M543" t="s">
        <v>21</v>
      </c>
    </row>
    <row r="544" spans="1:13" x14ac:dyDescent="0.35">
      <c r="A544" t="s">
        <v>1055</v>
      </c>
      <c r="B544" t="s">
        <v>213</v>
      </c>
      <c r="C544" t="s">
        <v>721</v>
      </c>
      <c r="D544" t="s">
        <v>25</v>
      </c>
      <c r="E544" t="s">
        <v>34</v>
      </c>
      <c r="F544" t="s">
        <v>27</v>
      </c>
      <c r="G544" t="s">
        <v>42</v>
      </c>
      <c r="H544">
        <v>669</v>
      </c>
      <c r="I544">
        <v>50</v>
      </c>
      <c r="J544">
        <v>30</v>
      </c>
      <c r="K544" t="s">
        <v>36</v>
      </c>
      <c r="L544">
        <v>20</v>
      </c>
      <c r="M544" t="s">
        <v>21</v>
      </c>
    </row>
    <row r="545" spans="1:13" x14ac:dyDescent="0.35">
      <c r="A545" t="s">
        <v>1056</v>
      </c>
      <c r="B545" t="s">
        <v>113</v>
      </c>
      <c r="C545" t="s">
        <v>1057</v>
      </c>
      <c r="D545" t="s">
        <v>16</v>
      </c>
      <c r="E545" t="s">
        <v>131</v>
      </c>
      <c r="F545" t="s">
        <v>55</v>
      </c>
      <c r="G545" t="s">
        <v>42</v>
      </c>
      <c r="H545">
        <v>597</v>
      </c>
      <c r="I545">
        <v>40</v>
      </c>
      <c r="J545">
        <v>20</v>
      </c>
      <c r="K545" t="s">
        <v>36</v>
      </c>
      <c r="L545">
        <v>24</v>
      </c>
      <c r="M545" t="s">
        <v>21</v>
      </c>
    </row>
    <row r="546" spans="1:13" x14ac:dyDescent="0.35">
      <c r="A546" t="s">
        <v>1058</v>
      </c>
      <c r="B546" t="s">
        <v>329</v>
      </c>
      <c r="C546" t="s">
        <v>170</v>
      </c>
      <c r="D546" t="s">
        <v>16</v>
      </c>
      <c r="E546" t="s">
        <v>89</v>
      </c>
      <c r="F546" t="s">
        <v>18</v>
      </c>
      <c r="G546" t="s">
        <v>107</v>
      </c>
      <c r="H546">
        <v>796</v>
      </c>
      <c r="I546">
        <v>30</v>
      </c>
      <c r="J546">
        <v>30</v>
      </c>
      <c r="K546" t="s">
        <v>20</v>
      </c>
      <c r="L546">
        <v>45</v>
      </c>
      <c r="M546" t="s">
        <v>21</v>
      </c>
    </row>
    <row r="547" spans="1:13" x14ac:dyDescent="0.35">
      <c r="A547" t="s">
        <v>1059</v>
      </c>
      <c r="B547" t="s">
        <v>339</v>
      </c>
      <c r="C547" t="s">
        <v>594</v>
      </c>
      <c r="D547" t="s">
        <v>25</v>
      </c>
      <c r="E547" t="s">
        <v>78</v>
      </c>
      <c r="F547" t="s">
        <v>48</v>
      </c>
      <c r="G547" t="s">
        <v>74</v>
      </c>
      <c r="H547">
        <v>583</v>
      </c>
      <c r="I547">
        <v>30</v>
      </c>
      <c r="J547">
        <v>0</v>
      </c>
      <c r="K547" t="s">
        <v>29</v>
      </c>
      <c r="L547">
        <v>21</v>
      </c>
      <c r="M547" t="s">
        <v>21</v>
      </c>
    </row>
    <row r="548" spans="1:13" x14ac:dyDescent="0.35">
      <c r="A548" t="s">
        <v>1060</v>
      </c>
      <c r="B548" t="s">
        <v>454</v>
      </c>
      <c r="C548" t="s">
        <v>1061</v>
      </c>
      <c r="D548" t="s">
        <v>46</v>
      </c>
      <c r="E548" t="s">
        <v>148</v>
      </c>
      <c r="F548" t="s">
        <v>27</v>
      </c>
      <c r="G548" t="s">
        <v>35</v>
      </c>
      <c r="H548">
        <v>607</v>
      </c>
      <c r="I548">
        <v>20</v>
      </c>
      <c r="J548">
        <v>20</v>
      </c>
      <c r="K548" t="s">
        <v>36</v>
      </c>
      <c r="L548">
        <v>48</v>
      </c>
      <c r="M548" t="s">
        <v>21</v>
      </c>
    </row>
    <row r="549" spans="1:13" x14ac:dyDescent="0.35">
      <c r="A549" t="s">
        <v>1062</v>
      </c>
      <c r="B549" t="s">
        <v>388</v>
      </c>
      <c r="C549" t="s">
        <v>1063</v>
      </c>
      <c r="D549" t="s">
        <v>46</v>
      </c>
      <c r="E549" t="s">
        <v>148</v>
      </c>
      <c r="F549" t="s">
        <v>27</v>
      </c>
      <c r="G549" t="s">
        <v>176</v>
      </c>
      <c r="H549">
        <v>308</v>
      </c>
      <c r="I549">
        <v>20</v>
      </c>
      <c r="J549">
        <v>20</v>
      </c>
      <c r="K549" t="s">
        <v>36</v>
      </c>
      <c r="L549">
        <v>25</v>
      </c>
      <c r="M549" t="s">
        <v>21</v>
      </c>
    </row>
    <row r="550" spans="1:13" x14ac:dyDescent="0.35">
      <c r="A550" t="s">
        <v>1064</v>
      </c>
      <c r="B550" t="s">
        <v>38</v>
      </c>
      <c r="C550" t="s">
        <v>292</v>
      </c>
      <c r="D550" t="s">
        <v>25</v>
      </c>
      <c r="E550" t="s">
        <v>34</v>
      </c>
      <c r="F550" t="s">
        <v>27</v>
      </c>
      <c r="G550" t="s">
        <v>176</v>
      </c>
      <c r="H550">
        <v>421</v>
      </c>
      <c r="I550">
        <v>20</v>
      </c>
      <c r="J550">
        <v>30</v>
      </c>
      <c r="K550" t="s">
        <v>20</v>
      </c>
      <c r="L550">
        <v>46</v>
      </c>
      <c r="M550" t="s">
        <v>21</v>
      </c>
    </row>
    <row r="551" spans="1:13" x14ac:dyDescent="0.35">
      <c r="A551" t="s">
        <v>1065</v>
      </c>
      <c r="B551" t="s">
        <v>113</v>
      </c>
      <c r="C551" t="s">
        <v>139</v>
      </c>
      <c r="D551" t="s">
        <v>46</v>
      </c>
      <c r="E551" t="s">
        <v>47</v>
      </c>
      <c r="F551" t="s">
        <v>48</v>
      </c>
      <c r="G551" t="s">
        <v>63</v>
      </c>
      <c r="H551">
        <v>614</v>
      </c>
      <c r="I551">
        <v>30</v>
      </c>
      <c r="J551">
        <v>20</v>
      </c>
      <c r="K551" t="s">
        <v>36</v>
      </c>
      <c r="L551">
        <v>41</v>
      </c>
      <c r="M551" t="s">
        <v>21</v>
      </c>
    </row>
    <row r="552" spans="1:13" x14ac:dyDescent="0.35">
      <c r="A552" t="s">
        <v>1066</v>
      </c>
      <c r="B552" t="s">
        <v>113</v>
      </c>
      <c r="C552" t="s">
        <v>1067</v>
      </c>
      <c r="D552" t="s">
        <v>25</v>
      </c>
      <c r="E552" t="s">
        <v>78</v>
      </c>
      <c r="F552" t="s">
        <v>48</v>
      </c>
      <c r="G552" t="s">
        <v>35</v>
      </c>
      <c r="H552">
        <v>752</v>
      </c>
      <c r="I552">
        <v>50</v>
      </c>
      <c r="J552">
        <v>30</v>
      </c>
      <c r="K552" t="s">
        <v>36</v>
      </c>
      <c r="L552">
        <v>25</v>
      </c>
      <c r="M552" t="s">
        <v>21</v>
      </c>
    </row>
    <row r="553" spans="1:13" x14ac:dyDescent="0.35">
      <c r="A553" t="s">
        <v>1068</v>
      </c>
      <c r="B553" t="s">
        <v>23</v>
      </c>
      <c r="C553" t="s">
        <v>1069</v>
      </c>
      <c r="D553" t="s">
        <v>46</v>
      </c>
      <c r="E553" t="s">
        <v>70</v>
      </c>
      <c r="F553" t="s">
        <v>18</v>
      </c>
      <c r="G553" t="s">
        <v>107</v>
      </c>
      <c r="H553">
        <v>555</v>
      </c>
      <c r="I553">
        <v>40</v>
      </c>
      <c r="J553">
        <v>30</v>
      </c>
      <c r="K553" t="s">
        <v>29</v>
      </c>
      <c r="L553">
        <v>44</v>
      </c>
      <c r="M553" t="s">
        <v>21</v>
      </c>
    </row>
    <row r="554" spans="1:13" x14ac:dyDescent="0.35">
      <c r="A554" t="s">
        <v>1070</v>
      </c>
      <c r="B554" t="s">
        <v>205</v>
      </c>
      <c r="C554" t="s">
        <v>1071</v>
      </c>
      <c r="D554" t="s">
        <v>25</v>
      </c>
      <c r="E554" t="s">
        <v>34</v>
      </c>
      <c r="F554" t="s">
        <v>27</v>
      </c>
      <c r="G554" t="s">
        <v>42</v>
      </c>
      <c r="H554">
        <v>471</v>
      </c>
      <c r="I554">
        <v>50</v>
      </c>
      <c r="J554">
        <v>100</v>
      </c>
      <c r="K554" t="s">
        <v>20</v>
      </c>
      <c r="L554">
        <v>21</v>
      </c>
      <c r="M554" t="s">
        <v>21</v>
      </c>
    </row>
    <row r="555" spans="1:13" x14ac:dyDescent="0.35">
      <c r="A555" t="s">
        <v>1072</v>
      </c>
      <c r="B555" t="s">
        <v>580</v>
      </c>
      <c r="C555" t="s">
        <v>1073</v>
      </c>
      <c r="D555" t="s">
        <v>16</v>
      </c>
      <c r="E555" t="s">
        <v>17</v>
      </c>
      <c r="F555" t="s">
        <v>18</v>
      </c>
      <c r="G555" t="s">
        <v>42</v>
      </c>
      <c r="H555">
        <v>343</v>
      </c>
      <c r="I555">
        <v>20</v>
      </c>
      <c r="J555">
        <v>0</v>
      </c>
      <c r="K555" t="s">
        <v>20</v>
      </c>
      <c r="L555">
        <v>35</v>
      </c>
      <c r="M555" t="s">
        <v>21</v>
      </c>
    </row>
    <row r="556" spans="1:13" x14ac:dyDescent="0.35">
      <c r="A556" t="s">
        <v>1074</v>
      </c>
      <c r="B556" t="s">
        <v>167</v>
      </c>
      <c r="C556" t="s">
        <v>317</v>
      </c>
      <c r="D556" t="s">
        <v>46</v>
      </c>
      <c r="E556" t="s">
        <v>148</v>
      </c>
      <c r="F556" t="s">
        <v>27</v>
      </c>
      <c r="G556" t="s">
        <v>74</v>
      </c>
      <c r="H556">
        <v>640</v>
      </c>
      <c r="I556">
        <v>20</v>
      </c>
      <c r="J556">
        <v>50</v>
      </c>
      <c r="K556" t="s">
        <v>20</v>
      </c>
      <c r="L556">
        <v>38</v>
      </c>
      <c r="M556" t="s">
        <v>21</v>
      </c>
    </row>
    <row r="557" spans="1:13" x14ac:dyDescent="0.35">
      <c r="A557" t="s">
        <v>1075</v>
      </c>
      <c r="B557" t="s">
        <v>113</v>
      </c>
      <c r="C557" t="s">
        <v>97</v>
      </c>
      <c r="D557" t="s">
        <v>40</v>
      </c>
      <c r="E557" t="s">
        <v>67</v>
      </c>
      <c r="F557" t="s">
        <v>48</v>
      </c>
      <c r="G557" t="s">
        <v>49</v>
      </c>
      <c r="H557">
        <v>347</v>
      </c>
      <c r="I557">
        <v>40</v>
      </c>
      <c r="J557">
        <v>20</v>
      </c>
      <c r="K557" t="s">
        <v>20</v>
      </c>
      <c r="L557">
        <v>53</v>
      </c>
      <c r="M557" t="s">
        <v>21</v>
      </c>
    </row>
    <row r="558" spans="1:13" x14ac:dyDescent="0.35">
      <c r="A558" t="s">
        <v>1076</v>
      </c>
      <c r="B558" t="s">
        <v>247</v>
      </c>
      <c r="C558" t="s">
        <v>1077</v>
      </c>
      <c r="D558" t="s">
        <v>46</v>
      </c>
      <c r="E558" t="s">
        <v>148</v>
      </c>
      <c r="F558" t="s">
        <v>27</v>
      </c>
      <c r="G558" t="s">
        <v>35</v>
      </c>
      <c r="H558">
        <v>563</v>
      </c>
      <c r="I558">
        <v>40</v>
      </c>
      <c r="J558">
        <v>0</v>
      </c>
      <c r="K558" t="s">
        <v>29</v>
      </c>
      <c r="L558">
        <v>30</v>
      </c>
      <c r="M558" t="s">
        <v>21</v>
      </c>
    </row>
    <row r="559" spans="1:13" x14ac:dyDescent="0.35">
      <c r="A559" t="s">
        <v>1078</v>
      </c>
      <c r="B559" t="s">
        <v>174</v>
      </c>
      <c r="C559" t="s">
        <v>553</v>
      </c>
      <c r="D559" t="s">
        <v>25</v>
      </c>
      <c r="E559" t="s">
        <v>78</v>
      </c>
      <c r="F559" t="s">
        <v>48</v>
      </c>
      <c r="G559" t="s">
        <v>19</v>
      </c>
      <c r="H559">
        <v>558</v>
      </c>
      <c r="I559">
        <v>40</v>
      </c>
      <c r="J559">
        <v>50</v>
      </c>
      <c r="K559" t="s">
        <v>36</v>
      </c>
      <c r="L559">
        <v>38</v>
      </c>
      <c r="M559" t="s">
        <v>21</v>
      </c>
    </row>
    <row r="560" spans="1:13" x14ac:dyDescent="0.35">
      <c r="A560" t="s">
        <v>1079</v>
      </c>
      <c r="B560" t="s">
        <v>310</v>
      </c>
      <c r="C560" t="s">
        <v>200</v>
      </c>
      <c r="D560" t="s">
        <v>16</v>
      </c>
      <c r="E560" t="s">
        <v>89</v>
      </c>
      <c r="F560" t="s">
        <v>18</v>
      </c>
      <c r="G560" t="s">
        <v>74</v>
      </c>
      <c r="H560">
        <v>300</v>
      </c>
      <c r="I560">
        <v>30</v>
      </c>
      <c r="J560">
        <v>30</v>
      </c>
      <c r="K560" t="s">
        <v>29</v>
      </c>
      <c r="L560">
        <v>36</v>
      </c>
      <c r="M560" t="s">
        <v>21</v>
      </c>
    </row>
    <row r="561" spans="1:13" x14ac:dyDescent="0.35">
      <c r="A561" t="s">
        <v>1080</v>
      </c>
      <c r="B561" t="s">
        <v>186</v>
      </c>
      <c r="C561" t="s">
        <v>1081</v>
      </c>
      <c r="D561" t="s">
        <v>46</v>
      </c>
      <c r="E561" t="s">
        <v>148</v>
      </c>
      <c r="F561" t="s">
        <v>27</v>
      </c>
      <c r="G561" t="s">
        <v>42</v>
      </c>
      <c r="H561">
        <v>259</v>
      </c>
      <c r="I561">
        <v>20</v>
      </c>
      <c r="J561">
        <v>0</v>
      </c>
      <c r="K561" t="s">
        <v>20</v>
      </c>
      <c r="L561">
        <v>30</v>
      </c>
      <c r="M561" t="s">
        <v>21</v>
      </c>
    </row>
    <row r="562" spans="1:13" x14ac:dyDescent="0.35">
      <c r="A562" t="s">
        <v>1082</v>
      </c>
      <c r="B562" t="s">
        <v>273</v>
      </c>
      <c r="C562" t="s">
        <v>1083</v>
      </c>
      <c r="D562" t="s">
        <v>53</v>
      </c>
      <c r="E562" t="s">
        <v>152</v>
      </c>
      <c r="F562" t="s">
        <v>18</v>
      </c>
      <c r="G562" t="s">
        <v>49</v>
      </c>
      <c r="H562">
        <v>288</v>
      </c>
      <c r="I562">
        <v>30</v>
      </c>
      <c r="J562">
        <v>100</v>
      </c>
      <c r="K562" t="s">
        <v>20</v>
      </c>
      <c r="L562">
        <v>25</v>
      </c>
      <c r="M562" t="s">
        <v>21</v>
      </c>
    </row>
    <row r="563" spans="1:13" x14ac:dyDescent="0.35">
      <c r="A563" t="s">
        <v>1084</v>
      </c>
      <c r="B563" t="s">
        <v>167</v>
      </c>
      <c r="C563" t="s">
        <v>1085</v>
      </c>
      <c r="D563" t="s">
        <v>16</v>
      </c>
      <c r="E563" t="s">
        <v>17</v>
      </c>
      <c r="F563" t="s">
        <v>18</v>
      </c>
      <c r="G563" t="s">
        <v>35</v>
      </c>
      <c r="H563">
        <v>704</v>
      </c>
      <c r="I563">
        <v>40</v>
      </c>
      <c r="J563">
        <v>0</v>
      </c>
      <c r="K563" t="s">
        <v>20</v>
      </c>
      <c r="L563">
        <v>25</v>
      </c>
      <c r="M563" t="s">
        <v>21</v>
      </c>
    </row>
    <row r="564" spans="1:13" x14ac:dyDescent="0.35">
      <c r="A564" t="s">
        <v>1086</v>
      </c>
      <c r="B564" t="s">
        <v>51</v>
      </c>
      <c r="C564" t="s">
        <v>197</v>
      </c>
      <c r="D564" t="s">
        <v>40</v>
      </c>
      <c r="E564" t="s">
        <v>41</v>
      </c>
      <c r="F564" t="s">
        <v>27</v>
      </c>
      <c r="G564" t="s">
        <v>176</v>
      </c>
      <c r="H564">
        <v>193</v>
      </c>
      <c r="I564">
        <v>50</v>
      </c>
      <c r="J564">
        <v>100</v>
      </c>
      <c r="K564" t="s">
        <v>36</v>
      </c>
      <c r="L564">
        <v>45</v>
      </c>
      <c r="M564" t="s">
        <v>21</v>
      </c>
    </row>
    <row r="565" spans="1:13" x14ac:dyDescent="0.35">
      <c r="A565" t="s">
        <v>1087</v>
      </c>
      <c r="B565" t="s">
        <v>329</v>
      </c>
      <c r="C565" t="s">
        <v>1088</v>
      </c>
      <c r="D565" t="s">
        <v>46</v>
      </c>
      <c r="E565" t="s">
        <v>70</v>
      </c>
      <c r="F565" t="s">
        <v>18</v>
      </c>
      <c r="G565" t="s">
        <v>28</v>
      </c>
      <c r="H565">
        <v>540</v>
      </c>
      <c r="I565">
        <v>50</v>
      </c>
      <c r="J565">
        <v>100</v>
      </c>
      <c r="K565" t="s">
        <v>36</v>
      </c>
      <c r="L565">
        <v>56</v>
      </c>
      <c r="M565" t="s">
        <v>21</v>
      </c>
    </row>
    <row r="566" spans="1:13" x14ac:dyDescent="0.35">
      <c r="A566" t="s">
        <v>1089</v>
      </c>
      <c r="B566" t="s">
        <v>213</v>
      </c>
      <c r="C566" t="s">
        <v>77</v>
      </c>
      <c r="D566" t="s">
        <v>16</v>
      </c>
      <c r="E566" t="s">
        <v>131</v>
      </c>
      <c r="F566" t="s">
        <v>55</v>
      </c>
      <c r="G566" t="s">
        <v>42</v>
      </c>
      <c r="H566">
        <v>584</v>
      </c>
      <c r="I566">
        <v>20</v>
      </c>
      <c r="J566">
        <v>0</v>
      </c>
      <c r="K566" t="s">
        <v>29</v>
      </c>
      <c r="L566">
        <v>45</v>
      </c>
      <c r="M566" t="s">
        <v>21</v>
      </c>
    </row>
    <row r="567" spans="1:13" x14ac:dyDescent="0.35">
      <c r="A567" t="s">
        <v>1090</v>
      </c>
      <c r="B567" t="s">
        <v>449</v>
      </c>
      <c r="C567" t="s">
        <v>141</v>
      </c>
      <c r="D567" t="s">
        <v>46</v>
      </c>
      <c r="E567" t="s">
        <v>70</v>
      </c>
      <c r="F567" t="s">
        <v>18</v>
      </c>
      <c r="G567" t="s">
        <v>49</v>
      </c>
      <c r="H567">
        <v>686</v>
      </c>
      <c r="I567">
        <v>40</v>
      </c>
      <c r="J567">
        <v>50</v>
      </c>
      <c r="K567" t="s">
        <v>36</v>
      </c>
      <c r="L567">
        <v>33</v>
      </c>
      <c r="M567" t="s">
        <v>21</v>
      </c>
    </row>
    <row r="568" spans="1:13" x14ac:dyDescent="0.35">
      <c r="A568" t="s">
        <v>1091</v>
      </c>
      <c r="B568" t="s">
        <v>226</v>
      </c>
      <c r="C568" t="s">
        <v>1092</v>
      </c>
      <c r="D568" t="s">
        <v>46</v>
      </c>
      <c r="E568" t="s">
        <v>47</v>
      </c>
      <c r="F568" t="s">
        <v>48</v>
      </c>
      <c r="G568" t="s">
        <v>49</v>
      </c>
      <c r="H568">
        <v>640</v>
      </c>
      <c r="I568">
        <v>30</v>
      </c>
      <c r="J568">
        <v>30</v>
      </c>
      <c r="K568" t="s">
        <v>29</v>
      </c>
      <c r="L568">
        <v>24</v>
      </c>
      <c r="M568" t="s">
        <v>21</v>
      </c>
    </row>
    <row r="569" spans="1:13" x14ac:dyDescent="0.35">
      <c r="A569" t="s">
        <v>1093</v>
      </c>
      <c r="B569" t="s">
        <v>526</v>
      </c>
      <c r="C569" t="s">
        <v>1085</v>
      </c>
      <c r="D569" t="s">
        <v>53</v>
      </c>
      <c r="E569" t="s">
        <v>54</v>
      </c>
      <c r="F569" t="s">
        <v>55</v>
      </c>
      <c r="G569" t="s">
        <v>74</v>
      </c>
      <c r="H569">
        <v>493</v>
      </c>
      <c r="I569">
        <v>40</v>
      </c>
      <c r="J569">
        <v>50</v>
      </c>
      <c r="K569" t="s">
        <v>36</v>
      </c>
      <c r="L569">
        <v>44</v>
      </c>
      <c r="M569" t="s">
        <v>21</v>
      </c>
    </row>
    <row r="570" spans="1:13" x14ac:dyDescent="0.35">
      <c r="A570" t="s">
        <v>1094</v>
      </c>
      <c r="B570" t="s">
        <v>133</v>
      </c>
      <c r="C570" t="s">
        <v>313</v>
      </c>
      <c r="D570" t="s">
        <v>46</v>
      </c>
      <c r="E570" t="s">
        <v>70</v>
      </c>
      <c r="F570" t="s">
        <v>18</v>
      </c>
      <c r="G570" t="s">
        <v>176</v>
      </c>
      <c r="H570">
        <v>615</v>
      </c>
      <c r="I570">
        <v>50</v>
      </c>
      <c r="J570">
        <v>30</v>
      </c>
      <c r="K570" t="s">
        <v>29</v>
      </c>
      <c r="L570">
        <v>35</v>
      </c>
      <c r="M570" t="s">
        <v>21</v>
      </c>
    </row>
    <row r="571" spans="1:13" x14ac:dyDescent="0.35">
      <c r="A571" t="s">
        <v>1095</v>
      </c>
      <c r="B571" t="s">
        <v>186</v>
      </c>
      <c r="C571" t="s">
        <v>24</v>
      </c>
      <c r="D571" t="s">
        <v>16</v>
      </c>
      <c r="E571" t="s">
        <v>89</v>
      </c>
      <c r="F571" t="s">
        <v>18</v>
      </c>
      <c r="G571" t="s">
        <v>74</v>
      </c>
      <c r="H571">
        <v>724</v>
      </c>
      <c r="I571">
        <v>40</v>
      </c>
      <c r="J571">
        <v>0</v>
      </c>
      <c r="K571" t="s">
        <v>29</v>
      </c>
      <c r="L571">
        <v>28</v>
      </c>
      <c r="M571" t="s">
        <v>21</v>
      </c>
    </row>
    <row r="572" spans="1:13" x14ac:dyDescent="0.35">
      <c r="A572" t="s">
        <v>1096</v>
      </c>
      <c r="B572" t="s">
        <v>280</v>
      </c>
      <c r="C572" t="s">
        <v>589</v>
      </c>
      <c r="D572" t="s">
        <v>16</v>
      </c>
      <c r="E572" t="s">
        <v>89</v>
      </c>
      <c r="F572" t="s">
        <v>18</v>
      </c>
      <c r="G572" t="s">
        <v>42</v>
      </c>
      <c r="H572">
        <v>792</v>
      </c>
      <c r="I572">
        <v>50</v>
      </c>
      <c r="J572">
        <v>50</v>
      </c>
      <c r="K572" t="s">
        <v>20</v>
      </c>
      <c r="L572">
        <v>41</v>
      </c>
      <c r="M572" t="s">
        <v>21</v>
      </c>
    </row>
    <row r="573" spans="1:13" x14ac:dyDescent="0.35">
      <c r="A573" t="s">
        <v>1097</v>
      </c>
      <c r="B573" t="s">
        <v>413</v>
      </c>
      <c r="C573" t="s">
        <v>1098</v>
      </c>
      <c r="D573" t="s">
        <v>53</v>
      </c>
      <c r="E573" t="s">
        <v>84</v>
      </c>
      <c r="F573" t="s">
        <v>85</v>
      </c>
      <c r="G573" t="s">
        <v>59</v>
      </c>
      <c r="H573">
        <v>283</v>
      </c>
      <c r="I573">
        <v>40</v>
      </c>
      <c r="J573">
        <v>100</v>
      </c>
      <c r="K573" t="s">
        <v>36</v>
      </c>
      <c r="L573">
        <v>28</v>
      </c>
      <c r="M573" t="s">
        <v>21</v>
      </c>
    </row>
    <row r="574" spans="1:13" x14ac:dyDescent="0.35">
      <c r="A574" t="s">
        <v>1099</v>
      </c>
      <c r="B574" t="s">
        <v>271</v>
      </c>
      <c r="C574" t="s">
        <v>1100</v>
      </c>
      <c r="D574" t="s">
        <v>25</v>
      </c>
      <c r="E574" t="s">
        <v>34</v>
      </c>
      <c r="F574" t="s">
        <v>27</v>
      </c>
      <c r="G574" t="s">
        <v>35</v>
      </c>
      <c r="H574">
        <v>187</v>
      </c>
      <c r="I574">
        <v>50</v>
      </c>
      <c r="J574">
        <v>20</v>
      </c>
      <c r="K574" t="s">
        <v>29</v>
      </c>
      <c r="L574">
        <v>23</v>
      </c>
      <c r="M574" t="s">
        <v>21</v>
      </c>
    </row>
    <row r="575" spans="1:13" x14ac:dyDescent="0.35">
      <c r="A575" t="s">
        <v>1101</v>
      </c>
      <c r="B575" t="s">
        <v>271</v>
      </c>
      <c r="C575" t="s">
        <v>195</v>
      </c>
      <c r="D575" t="s">
        <v>40</v>
      </c>
      <c r="E575" t="s">
        <v>41</v>
      </c>
      <c r="F575" t="s">
        <v>27</v>
      </c>
      <c r="G575" t="s">
        <v>19</v>
      </c>
      <c r="H575">
        <v>707</v>
      </c>
      <c r="I575">
        <v>50</v>
      </c>
      <c r="J575">
        <v>20</v>
      </c>
      <c r="K575" t="s">
        <v>29</v>
      </c>
      <c r="L575">
        <v>56</v>
      </c>
      <c r="M575" t="s">
        <v>21</v>
      </c>
    </row>
    <row r="576" spans="1:13" x14ac:dyDescent="0.35">
      <c r="A576" t="s">
        <v>1102</v>
      </c>
      <c r="B576" t="s">
        <v>291</v>
      </c>
      <c r="C576" t="s">
        <v>759</v>
      </c>
      <c r="D576" t="s">
        <v>46</v>
      </c>
      <c r="E576" t="s">
        <v>47</v>
      </c>
      <c r="F576" t="s">
        <v>48</v>
      </c>
      <c r="G576" t="s">
        <v>107</v>
      </c>
      <c r="H576">
        <v>288</v>
      </c>
      <c r="I576">
        <v>30</v>
      </c>
      <c r="J576">
        <v>20</v>
      </c>
      <c r="K576" t="s">
        <v>36</v>
      </c>
      <c r="L576">
        <v>49</v>
      </c>
      <c r="M576" t="s">
        <v>21</v>
      </c>
    </row>
    <row r="577" spans="1:13" x14ac:dyDescent="0.35">
      <c r="A577" t="s">
        <v>1103</v>
      </c>
      <c r="B577" t="s">
        <v>218</v>
      </c>
      <c r="C577" t="s">
        <v>211</v>
      </c>
      <c r="D577" t="s">
        <v>25</v>
      </c>
      <c r="E577" t="s">
        <v>34</v>
      </c>
      <c r="F577" t="s">
        <v>27</v>
      </c>
      <c r="G577" t="s">
        <v>28</v>
      </c>
      <c r="H577">
        <v>747</v>
      </c>
      <c r="I577">
        <v>30</v>
      </c>
      <c r="J577">
        <v>0</v>
      </c>
      <c r="K577" t="s">
        <v>29</v>
      </c>
      <c r="L577">
        <v>25</v>
      </c>
      <c r="M577" t="s">
        <v>21</v>
      </c>
    </row>
    <row r="578" spans="1:13" x14ac:dyDescent="0.35">
      <c r="A578" t="s">
        <v>1104</v>
      </c>
      <c r="B578" t="s">
        <v>513</v>
      </c>
      <c r="C578" t="s">
        <v>334</v>
      </c>
      <c r="D578" t="s">
        <v>46</v>
      </c>
      <c r="E578" t="s">
        <v>148</v>
      </c>
      <c r="F578" t="s">
        <v>27</v>
      </c>
      <c r="G578" t="s">
        <v>28</v>
      </c>
      <c r="H578">
        <v>696</v>
      </c>
      <c r="I578">
        <v>50</v>
      </c>
      <c r="J578">
        <v>20</v>
      </c>
      <c r="K578" t="s">
        <v>29</v>
      </c>
      <c r="L578">
        <v>38</v>
      </c>
      <c r="M578" t="s">
        <v>21</v>
      </c>
    </row>
    <row r="579" spans="1:13" x14ac:dyDescent="0.35">
      <c r="A579" t="s">
        <v>1105</v>
      </c>
      <c r="B579" t="s">
        <v>562</v>
      </c>
      <c r="C579" t="s">
        <v>907</v>
      </c>
      <c r="D579" t="s">
        <v>40</v>
      </c>
      <c r="E579" t="s">
        <v>67</v>
      </c>
      <c r="F579" t="s">
        <v>48</v>
      </c>
      <c r="G579" t="s">
        <v>176</v>
      </c>
      <c r="H579">
        <v>418</v>
      </c>
      <c r="I579">
        <v>40</v>
      </c>
      <c r="J579">
        <v>50</v>
      </c>
      <c r="K579" t="s">
        <v>36</v>
      </c>
      <c r="L579">
        <v>48</v>
      </c>
      <c r="M579" t="s">
        <v>21</v>
      </c>
    </row>
    <row r="580" spans="1:13" x14ac:dyDescent="0.35">
      <c r="A580" t="s">
        <v>1106</v>
      </c>
      <c r="B580" t="s">
        <v>218</v>
      </c>
      <c r="C580" t="s">
        <v>359</v>
      </c>
      <c r="D580" t="s">
        <v>53</v>
      </c>
      <c r="E580" t="s">
        <v>152</v>
      </c>
      <c r="F580" t="s">
        <v>18</v>
      </c>
      <c r="G580" t="s">
        <v>19</v>
      </c>
      <c r="H580">
        <v>702</v>
      </c>
      <c r="I580">
        <v>30</v>
      </c>
      <c r="J580">
        <v>30</v>
      </c>
      <c r="K580" t="s">
        <v>20</v>
      </c>
      <c r="L580">
        <v>54</v>
      </c>
      <c r="M580" t="s">
        <v>21</v>
      </c>
    </row>
    <row r="581" spans="1:13" x14ac:dyDescent="0.35">
      <c r="A581" t="s">
        <v>1107</v>
      </c>
      <c r="B581" t="s">
        <v>476</v>
      </c>
      <c r="C581" t="s">
        <v>1108</v>
      </c>
      <c r="D581" t="s">
        <v>40</v>
      </c>
      <c r="E581" t="s">
        <v>111</v>
      </c>
      <c r="F581" t="s">
        <v>18</v>
      </c>
      <c r="G581" t="s">
        <v>107</v>
      </c>
      <c r="H581">
        <v>510</v>
      </c>
      <c r="I581">
        <v>30</v>
      </c>
      <c r="J581">
        <v>0</v>
      </c>
      <c r="K581" t="s">
        <v>29</v>
      </c>
      <c r="L581">
        <v>43</v>
      </c>
      <c r="M581" t="s">
        <v>21</v>
      </c>
    </row>
    <row r="582" spans="1:13" x14ac:dyDescent="0.35">
      <c r="A582" t="s">
        <v>1109</v>
      </c>
      <c r="B582" t="s">
        <v>226</v>
      </c>
      <c r="C582" t="s">
        <v>88</v>
      </c>
      <c r="D582" t="s">
        <v>53</v>
      </c>
      <c r="E582" t="s">
        <v>152</v>
      </c>
      <c r="F582" t="s">
        <v>18</v>
      </c>
      <c r="G582" t="s">
        <v>49</v>
      </c>
      <c r="H582">
        <v>389</v>
      </c>
      <c r="I582">
        <v>20</v>
      </c>
      <c r="J582">
        <v>20</v>
      </c>
      <c r="K582" t="s">
        <v>29</v>
      </c>
      <c r="L582">
        <v>28</v>
      </c>
      <c r="M582" t="s">
        <v>21</v>
      </c>
    </row>
    <row r="583" spans="1:13" x14ac:dyDescent="0.35">
      <c r="A583" t="s">
        <v>1110</v>
      </c>
      <c r="B583" t="s">
        <v>72</v>
      </c>
      <c r="C583" t="s">
        <v>1111</v>
      </c>
      <c r="D583" t="s">
        <v>16</v>
      </c>
      <c r="E583" t="s">
        <v>89</v>
      </c>
      <c r="F583" t="s">
        <v>18</v>
      </c>
      <c r="G583" t="s">
        <v>107</v>
      </c>
      <c r="H583">
        <v>531</v>
      </c>
      <c r="I583">
        <v>30</v>
      </c>
      <c r="J583">
        <v>100</v>
      </c>
      <c r="K583" t="s">
        <v>29</v>
      </c>
      <c r="L583">
        <v>55</v>
      </c>
      <c r="M583" t="s">
        <v>21</v>
      </c>
    </row>
    <row r="584" spans="1:13" x14ac:dyDescent="0.35">
      <c r="A584" t="s">
        <v>1112</v>
      </c>
      <c r="B584" t="s">
        <v>473</v>
      </c>
      <c r="C584" t="s">
        <v>182</v>
      </c>
      <c r="D584" t="s">
        <v>40</v>
      </c>
      <c r="E584" t="s">
        <v>41</v>
      </c>
      <c r="F584" t="s">
        <v>27</v>
      </c>
      <c r="G584" t="s">
        <v>74</v>
      </c>
      <c r="H584">
        <v>365</v>
      </c>
      <c r="I584">
        <v>40</v>
      </c>
      <c r="J584">
        <v>30</v>
      </c>
      <c r="K584" t="s">
        <v>29</v>
      </c>
      <c r="L584">
        <v>56</v>
      </c>
      <c r="M584" t="s">
        <v>21</v>
      </c>
    </row>
    <row r="585" spans="1:13" x14ac:dyDescent="0.35">
      <c r="A585" t="s">
        <v>1113</v>
      </c>
      <c r="B585" t="s">
        <v>449</v>
      </c>
      <c r="C585" t="s">
        <v>1114</v>
      </c>
      <c r="D585" t="s">
        <v>25</v>
      </c>
      <c r="E585" t="s">
        <v>78</v>
      </c>
      <c r="F585" t="s">
        <v>48</v>
      </c>
      <c r="G585" t="s">
        <v>28</v>
      </c>
      <c r="H585">
        <v>590</v>
      </c>
      <c r="I585">
        <v>30</v>
      </c>
      <c r="J585">
        <v>50</v>
      </c>
      <c r="K585" t="s">
        <v>20</v>
      </c>
      <c r="L585">
        <v>41</v>
      </c>
      <c r="M585" t="s">
        <v>21</v>
      </c>
    </row>
    <row r="586" spans="1:13" x14ac:dyDescent="0.35">
      <c r="A586" t="s">
        <v>1115</v>
      </c>
      <c r="B586" t="s">
        <v>513</v>
      </c>
      <c r="C586" t="s">
        <v>1116</v>
      </c>
      <c r="D586" t="s">
        <v>40</v>
      </c>
      <c r="E586" t="s">
        <v>67</v>
      </c>
      <c r="F586" t="s">
        <v>48</v>
      </c>
      <c r="G586" t="s">
        <v>107</v>
      </c>
      <c r="H586">
        <v>608</v>
      </c>
      <c r="I586">
        <v>30</v>
      </c>
      <c r="J586">
        <v>20</v>
      </c>
      <c r="K586" t="s">
        <v>29</v>
      </c>
      <c r="L586">
        <v>42</v>
      </c>
      <c r="M586" t="s">
        <v>21</v>
      </c>
    </row>
    <row r="587" spans="1:13" x14ac:dyDescent="0.35">
      <c r="A587" t="s">
        <v>1117</v>
      </c>
      <c r="B587" t="s">
        <v>189</v>
      </c>
      <c r="C587" t="s">
        <v>682</v>
      </c>
      <c r="D587" t="s">
        <v>46</v>
      </c>
      <c r="E587" t="s">
        <v>148</v>
      </c>
      <c r="F587" t="s">
        <v>27</v>
      </c>
      <c r="G587" t="s">
        <v>28</v>
      </c>
      <c r="H587">
        <v>207</v>
      </c>
      <c r="I587">
        <v>50</v>
      </c>
      <c r="J587">
        <v>0</v>
      </c>
      <c r="K587" t="s">
        <v>20</v>
      </c>
      <c r="L587">
        <v>21</v>
      </c>
      <c r="M587" t="s">
        <v>21</v>
      </c>
    </row>
    <row r="588" spans="1:13" x14ac:dyDescent="0.35">
      <c r="A588" t="s">
        <v>1118</v>
      </c>
      <c r="B588" t="s">
        <v>44</v>
      </c>
      <c r="C588" t="s">
        <v>403</v>
      </c>
      <c r="D588" t="s">
        <v>25</v>
      </c>
      <c r="E588" t="s">
        <v>34</v>
      </c>
      <c r="F588" t="s">
        <v>27</v>
      </c>
      <c r="G588" t="s">
        <v>59</v>
      </c>
      <c r="H588">
        <v>640</v>
      </c>
      <c r="I588">
        <v>50</v>
      </c>
      <c r="J588">
        <v>100</v>
      </c>
      <c r="K588" t="s">
        <v>20</v>
      </c>
      <c r="L588">
        <v>41</v>
      </c>
      <c r="M588" t="s">
        <v>21</v>
      </c>
    </row>
    <row r="589" spans="1:13" x14ac:dyDescent="0.35">
      <c r="A589" t="s">
        <v>1119</v>
      </c>
      <c r="B589" t="s">
        <v>205</v>
      </c>
      <c r="C589" t="s">
        <v>1026</v>
      </c>
      <c r="D589" t="s">
        <v>46</v>
      </c>
      <c r="E589" t="s">
        <v>70</v>
      </c>
      <c r="F589" t="s">
        <v>18</v>
      </c>
      <c r="G589" t="s">
        <v>42</v>
      </c>
      <c r="H589">
        <v>213</v>
      </c>
      <c r="I589">
        <v>30</v>
      </c>
      <c r="J589">
        <v>20</v>
      </c>
      <c r="K589" t="s">
        <v>29</v>
      </c>
      <c r="L589">
        <v>30</v>
      </c>
      <c r="M589" t="s">
        <v>21</v>
      </c>
    </row>
    <row r="590" spans="1:13" x14ac:dyDescent="0.35">
      <c r="A590" t="s">
        <v>1120</v>
      </c>
      <c r="B590" t="s">
        <v>44</v>
      </c>
      <c r="C590" t="s">
        <v>668</v>
      </c>
      <c r="D590" t="s">
        <v>16</v>
      </c>
      <c r="E590" t="s">
        <v>17</v>
      </c>
      <c r="F590" t="s">
        <v>18</v>
      </c>
      <c r="G590" t="s">
        <v>28</v>
      </c>
      <c r="H590">
        <v>243</v>
      </c>
      <c r="I590">
        <v>20</v>
      </c>
      <c r="J590">
        <v>50</v>
      </c>
      <c r="K590" t="s">
        <v>20</v>
      </c>
      <c r="L590">
        <v>48</v>
      </c>
      <c r="M590" t="s">
        <v>21</v>
      </c>
    </row>
    <row r="591" spans="1:13" x14ac:dyDescent="0.35">
      <c r="A591" t="s">
        <v>1121</v>
      </c>
      <c r="B591" t="s">
        <v>657</v>
      </c>
      <c r="C591" t="s">
        <v>575</v>
      </c>
      <c r="D591" t="s">
        <v>25</v>
      </c>
      <c r="E591" t="s">
        <v>26</v>
      </c>
      <c r="F591" t="s">
        <v>27</v>
      </c>
      <c r="G591" t="s">
        <v>176</v>
      </c>
      <c r="H591">
        <v>771</v>
      </c>
      <c r="I591">
        <v>40</v>
      </c>
      <c r="J591">
        <v>50</v>
      </c>
      <c r="K591" t="s">
        <v>29</v>
      </c>
      <c r="L591">
        <v>24</v>
      </c>
      <c r="M591" t="s">
        <v>21</v>
      </c>
    </row>
    <row r="592" spans="1:13" x14ac:dyDescent="0.35">
      <c r="A592" t="s">
        <v>1122</v>
      </c>
      <c r="B592" t="s">
        <v>435</v>
      </c>
      <c r="C592" t="s">
        <v>712</v>
      </c>
      <c r="D592" t="s">
        <v>40</v>
      </c>
      <c r="E592" t="s">
        <v>41</v>
      </c>
      <c r="F592" t="s">
        <v>27</v>
      </c>
      <c r="G592" t="s">
        <v>42</v>
      </c>
      <c r="H592">
        <v>392</v>
      </c>
      <c r="I592">
        <v>20</v>
      </c>
      <c r="J592">
        <v>20</v>
      </c>
      <c r="K592" t="s">
        <v>29</v>
      </c>
      <c r="L592">
        <v>29</v>
      </c>
      <c r="M592" t="s">
        <v>21</v>
      </c>
    </row>
    <row r="593" spans="1:13" x14ac:dyDescent="0.35">
      <c r="A593" t="s">
        <v>1123</v>
      </c>
      <c r="B593" t="s">
        <v>379</v>
      </c>
      <c r="C593" t="s">
        <v>1124</v>
      </c>
      <c r="D593" t="s">
        <v>16</v>
      </c>
      <c r="E593" t="s">
        <v>17</v>
      </c>
      <c r="F593" t="s">
        <v>18</v>
      </c>
      <c r="G593" t="s">
        <v>74</v>
      </c>
      <c r="H593">
        <v>384</v>
      </c>
      <c r="I593">
        <v>50</v>
      </c>
      <c r="J593">
        <v>0</v>
      </c>
      <c r="K593" t="s">
        <v>29</v>
      </c>
      <c r="L593">
        <v>53</v>
      </c>
      <c r="M593" t="s">
        <v>21</v>
      </c>
    </row>
    <row r="594" spans="1:13" x14ac:dyDescent="0.35">
      <c r="A594" t="s">
        <v>1125</v>
      </c>
      <c r="B594" t="s">
        <v>57</v>
      </c>
      <c r="C594" t="s">
        <v>1126</v>
      </c>
      <c r="D594" t="s">
        <v>25</v>
      </c>
      <c r="E594" t="s">
        <v>34</v>
      </c>
      <c r="F594" t="s">
        <v>27</v>
      </c>
      <c r="G594" t="s">
        <v>74</v>
      </c>
      <c r="H594">
        <v>638</v>
      </c>
      <c r="I594">
        <v>20</v>
      </c>
      <c r="J594">
        <v>20</v>
      </c>
      <c r="K594" t="s">
        <v>29</v>
      </c>
      <c r="L594">
        <v>58</v>
      </c>
      <c r="M594" t="s">
        <v>21</v>
      </c>
    </row>
    <row r="595" spans="1:13" x14ac:dyDescent="0.35">
      <c r="A595" t="s">
        <v>1127</v>
      </c>
      <c r="B595" t="s">
        <v>449</v>
      </c>
      <c r="C595" t="s">
        <v>1128</v>
      </c>
      <c r="D595" t="s">
        <v>46</v>
      </c>
      <c r="E595" t="s">
        <v>47</v>
      </c>
      <c r="F595" t="s">
        <v>48</v>
      </c>
      <c r="G595" t="s">
        <v>63</v>
      </c>
      <c r="H595">
        <v>340</v>
      </c>
      <c r="I595">
        <v>40</v>
      </c>
      <c r="J595">
        <v>0</v>
      </c>
      <c r="K595" t="s">
        <v>29</v>
      </c>
      <c r="L595">
        <v>48</v>
      </c>
      <c r="M595" t="s">
        <v>21</v>
      </c>
    </row>
    <row r="596" spans="1:13" x14ac:dyDescent="0.35">
      <c r="A596" t="s">
        <v>1129</v>
      </c>
      <c r="B596" t="s">
        <v>207</v>
      </c>
      <c r="C596" t="s">
        <v>634</v>
      </c>
      <c r="D596" t="s">
        <v>25</v>
      </c>
      <c r="E596" t="s">
        <v>34</v>
      </c>
      <c r="F596" t="s">
        <v>27</v>
      </c>
      <c r="G596" t="s">
        <v>42</v>
      </c>
      <c r="H596">
        <v>453</v>
      </c>
      <c r="I596">
        <v>40</v>
      </c>
      <c r="J596">
        <v>20</v>
      </c>
      <c r="K596" t="s">
        <v>36</v>
      </c>
      <c r="L596">
        <v>29</v>
      </c>
      <c r="M596" t="s">
        <v>21</v>
      </c>
    </row>
    <row r="597" spans="1:13" x14ac:dyDescent="0.35">
      <c r="A597" t="s">
        <v>1130</v>
      </c>
      <c r="B597" t="s">
        <v>178</v>
      </c>
      <c r="C597" t="s">
        <v>405</v>
      </c>
      <c r="D597" t="s">
        <v>25</v>
      </c>
      <c r="E597" t="s">
        <v>34</v>
      </c>
      <c r="F597" t="s">
        <v>27</v>
      </c>
      <c r="G597" t="s">
        <v>59</v>
      </c>
      <c r="H597">
        <v>399</v>
      </c>
      <c r="I597">
        <v>40</v>
      </c>
      <c r="J597">
        <v>20</v>
      </c>
      <c r="K597" t="s">
        <v>29</v>
      </c>
      <c r="L597">
        <v>28</v>
      </c>
      <c r="M597" t="s">
        <v>21</v>
      </c>
    </row>
    <row r="598" spans="1:13" x14ac:dyDescent="0.35">
      <c r="A598" t="s">
        <v>1131</v>
      </c>
      <c r="B598" t="s">
        <v>568</v>
      </c>
      <c r="C598" t="s">
        <v>439</v>
      </c>
      <c r="D598" t="s">
        <v>46</v>
      </c>
      <c r="E598" t="s">
        <v>47</v>
      </c>
      <c r="F598" t="s">
        <v>48</v>
      </c>
      <c r="G598" t="s">
        <v>74</v>
      </c>
      <c r="H598">
        <v>632</v>
      </c>
      <c r="I598">
        <v>40</v>
      </c>
      <c r="J598">
        <v>30</v>
      </c>
      <c r="K598" t="s">
        <v>20</v>
      </c>
      <c r="L598">
        <v>48</v>
      </c>
      <c r="M598" t="s">
        <v>21</v>
      </c>
    </row>
    <row r="599" spans="1:13" x14ac:dyDescent="0.35">
      <c r="A599" t="s">
        <v>1132</v>
      </c>
      <c r="B599" t="s">
        <v>300</v>
      </c>
      <c r="C599" t="s">
        <v>1133</v>
      </c>
      <c r="D599" t="s">
        <v>16</v>
      </c>
      <c r="E599" t="s">
        <v>89</v>
      </c>
      <c r="F599" t="s">
        <v>18</v>
      </c>
      <c r="G599" t="s">
        <v>176</v>
      </c>
      <c r="H599">
        <v>529</v>
      </c>
      <c r="I599">
        <v>20</v>
      </c>
      <c r="J599">
        <v>100</v>
      </c>
      <c r="K599" t="s">
        <v>20</v>
      </c>
      <c r="L599">
        <v>32</v>
      </c>
      <c r="M599" t="s">
        <v>21</v>
      </c>
    </row>
    <row r="600" spans="1:13" x14ac:dyDescent="0.35">
      <c r="A600" t="s">
        <v>1134</v>
      </c>
      <c r="B600" t="s">
        <v>192</v>
      </c>
      <c r="C600" t="s">
        <v>712</v>
      </c>
      <c r="D600" t="s">
        <v>25</v>
      </c>
      <c r="E600" t="s">
        <v>26</v>
      </c>
      <c r="F600" t="s">
        <v>27</v>
      </c>
      <c r="G600" t="s">
        <v>49</v>
      </c>
      <c r="H600">
        <v>547</v>
      </c>
      <c r="I600">
        <v>30</v>
      </c>
      <c r="J600">
        <v>100</v>
      </c>
      <c r="K600" t="s">
        <v>36</v>
      </c>
      <c r="L600">
        <v>59</v>
      </c>
      <c r="M600" t="s">
        <v>21</v>
      </c>
    </row>
    <row r="601" spans="1:13" x14ac:dyDescent="0.35">
      <c r="A601" t="s">
        <v>1135</v>
      </c>
      <c r="B601" t="s">
        <v>568</v>
      </c>
      <c r="C601" t="s">
        <v>1016</v>
      </c>
      <c r="D601" t="s">
        <v>16</v>
      </c>
      <c r="E601" t="s">
        <v>89</v>
      </c>
      <c r="F601" t="s">
        <v>18</v>
      </c>
      <c r="G601" t="s">
        <v>49</v>
      </c>
      <c r="H601">
        <v>699</v>
      </c>
      <c r="I601">
        <v>20</v>
      </c>
      <c r="J601">
        <v>100</v>
      </c>
      <c r="K601" t="s">
        <v>20</v>
      </c>
      <c r="L601">
        <v>25</v>
      </c>
      <c r="M601" t="s">
        <v>21</v>
      </c>
    </row>
    <row r="602" spans="1:13" x14ac:dyDescent="0.35">
      <c r="A602" t="s">
        <v>1136</v>
      </c>
      <c r="B602" t="s">
        <v>329</v>
      </c>
      <c r="C602" t="s">
        <v>250</v>
      </c>
      <c r="D602" t="s">
        <v>53</v>
      </c>
      <c r="E602" t="s">
        <v>84</v>
      </c>
      <c r="F602" t="s">
        <v>85</v>
      </c>
      <c r="G602" t="s">
        <v>19</v>
      </c>
      <c r="H602">
        <v>465</v>
      </c>
      <c r="I602">
        <v>30</v>
      </c>
      <c r="J602">
        <v>100</v>
      </c>
      <c r="K602" t="s">
        <v>36</v>
      </c>
      <c r="L602">
        <v>52</v>
      </c>
      <c r="M602" t="s">
        <v>21</v>
      </c>
    </row>
    <row r="603" spans="1:13" x14ac:dyDescent="0.35">
      <c r="A603" t="s">
        <v>1137</v>
      </c>
      <c r="B603" t="s">
        <v>186</v>
      </c>
      <c r="C603" t="s">
        <v>1138</v>
      </c>
      <c r="D603" t="s">
        <v>16</v>
      </c>
      <c r="E603" t="s">
        <v>131</v>
      </c>
      <c r="F603" t="s">
        <v>55</v>
      </c>
      <c r="G603" t="s">
        <v>107</v>
      </c>
      <c r="H603">
        <v>201</v>
      </c>
      <c r="I603">
        <v>50</v>
      </c>
      <c r="J603">
        <v>20</v>
      </c>
      <c r="K603" t="s">
        <v>20</v>
      </c>
      <c r="L603">
        <v>23</v>
      </c>
      <c r="M603" t="s">
        <v>21</v>
      </c>
    </row>
    <row r="604" spans="1:13" x14ac:dyDescent="0.35">
      <c r="A604" t="s">
        <v>1139</v>
      </c>
      <c r="B604" t="s">
        <v>513</v>
      </c>
      <c r="C604" t="s">
        <v>106</v>
      </c>
      <c r="D604" t="s">
        <v>25</v>
      </c>
      <c r="E604" t="s">
        <v>26</v>
      </c>
      <c r="F604" t="s">
        <v>27</v>
      </c>
      <c r="G604" t="s">
        <v>28</v>
      </c>
      <c r="H604">
        <v>181</v>
      </c>
      <c r="I604">
        <v>20</v>
      </c>
      <c r="J604">
        <v>100</v>
      </c>
      <c r="K604" t="s">
        <v>29</v>
      </c>
      <c r="L604">
        <v>58</v>
      </c>
      <c r="M604" t="s">
        <v>21</v>
      </c>
    </row>
    <row r="605" spans="1:13" x14ac:dyDescent="0.35">
      <c r="A605" t="s">
        <v>1140</v>
      </c>
      <c r="B605" t="s">
        <v>583</v>
      </c>
      <c r="C605" t="s">
        <v>1141</v>
      </c>
      <c r="D605" t="s">
        <v>40</v>
      </c>
      <c r="E605" t="s">
        <v>41</v>
      </c>
      <c r="F605" t="s">
        <v>27</v>
      </c>
      <c r="G605" t="s">
        <v>49</v>
      </c>
      <c r="H605">
        <v>710</v>
      </c>
      <c r="I605">
        <v>50</v>
      </c>
      <c r="J605">
        <v>0</v>
      </c>
      <c r="K605" t="s">
        <v>29</v>
      </c>
      <c r="L605">
        <v>41</v>
      </c>
      <c r="M605" t="s">
        <v>21</v>
      </c>
    </row>
    <row r="606" spans="1:13" x14ac:dyDescent="0.35">
      <c r="A606" t="s">
        <v>1142</v>
      </c>
      <c r="B606" t="s">
        <v>23</v>
      </c>
      <c r="C606" t="s">
        <v>569</v>
      </c>
      <c r="D606" t="s">
        <v>53</v>
      </c>
      <c r="E606" t="s">
        <v>152</v>
      </c>
      <c r="F606" t="s">
        <v>18</v>
      </c>
      <c r="G606" t="s">
        <v>19</v>
      </c>
      <c r="H606">
        <v>739</v>
      </c>
      <c r="I606">
        <v>30</v>
      </c>
      <c r="J606">
        <v>0</v>
      </c>
      <c r="K606" t="s">
        <v>36</v>
      </c>
      <c r="L606">
        <v>56</v>
      </c>
      <c r="M606" t="s">
        <v>21</v>
      </c>
    </row>
    <row r="607" spans="1:13" x14ac:dyDescent="0.35">
      <c r="A607" t="s">
        <v>1143</v>
      </c>
      <c r="B607" t="s">
        <v>96</v>
      </c>
      <c r="C607" t="s">
        <v>1144</v>
      </c>
      <c r="D607" t="s">
        <v>40</v>
      </c>
      <c r="E607" t="s">
        <v>111</v>
      </c>
      <c r="F607" t="s">
        <v>18</v>
      </c>
      <c r="G607" t="s">
        <v>28</v>
      </c>
      <c r="H607">
        <v>203</v>
      </c>
      <c r="I607">
        <v>30</v>
      </c>
      <c r="J607">
        <v>0</v>
      </c>
      <c r="K607" t="s">
        <v>36</v>
      </c>
      <c r="L607">
        <v>37</v>
      </c>
      <c r="M607" t="s">
        <v>21</v>
      </c>
    </row>
    <row r="608" spans="1:13" x14ac:dyDescent="0.35">
      <c r="A608" t="s">
        <v>1145</v>
      </c>
      <c r="B608" t="s">
        <v>72</v>
      </c>
      <c r="C608" t="s">
        <v>380</v>
      </c>
      <c r="D608" t="s">
        <v>25</v>
      </c>
      <c r="E608" t="s">
        <v>34</v>
      </c>
      <c r="F608" t="s">
        <v>27</v>
      </c>
      <c r="G608" t="s">
        <v>176</v>
      </c>
      <c r="H608">
        <v>175</v>
      </c>
      <c r="I608">
        <v>30</v>
      </c>
      <c r="J608">
        <v>30</v>
      </c>
      <c r="K608" t="s">
        <v>36</v>
      </c>
      <c r="L608">
        <v>56</v>
      </c>
      <c r="M608" t="s">
        <v>21</v>
      </c>
    </row>
    <row r="609" spans="1:13" x14ac:dyDescent="0.35">
      <c r="A609" t="s">
        <v>1146</v>
      </c>
      <c r="B609" t="s">
        <v>541</v>
      </c>
      <c r="C609" t="s">
        <v>1147</v>
      </c>
      <c r="D609" t="s">
        <v>40</v>
      </c>
      <c r="E609" t="s">
        <v>111</v>
      </c>
      <c r="F609" t="s">
        <v>18</v>
      </c>
      <c r="G609" t="s">
        <v>176</v>
      </c>
      <c r="H609">
        <v>563</v>
      </c>
      <c r="I609">
        <v>30</v>
      </c>
      <c r="J609">
        <v>100</v>
      </c>
      <c r="K609" t="s">
        <v>36</v>
      </c>
      <c r="L609">
        <v>29</v>
      </c>
      <c r="M609" t="s">
        <v>21</v>
      </c>
    </row>
    <row r="610" spans="1:13" x14ac:dyDescent="0.35">
      <c r="A610" t="s">
        <v>1148</v>
      </c>
      <c r="B610" t="s">
        <v>300</v>
      </c>
      <c r="C610" t="s">
        <v>1149</v>
      </c>
      <c r="D610" t="s">
        <v>46</v>
      </c>
      <c r="E610" t="s">
        <v>47</v>
      </c>
      <c r="F610" t="s">
        <v>48</v>
      </c>
      <c r="G610" t="s">
        <v>35</v>
      </c>
      <c r="H610">
        <v>334</v>
      </c>
      <c r="I610">
        <v>50</v>
      </c>
      <c r="J610">
        <v>20</v>
      </c>
      <c r="K610" t="s">
        <v>29</v>
      </c>
      <c r="L610">
        <v>38</v>
      </c>
      <c r="M610" t="s">
        <v>21</v>
      </c>
    </row>
    <row r="611" spans="1:13" x14ac:dyDescent="0.35">
      <c r="A611" t="s">
        <v>1150</v>
      </c>
      <c r="B611" t="s">
        <v>226</v>
      </c>
      <c r="C611" t="s">
        <v>482</v>
      </c>
      <c r="D611" t="s">
        <v>53</v>
      </c>
      <c r="E611" t="s">
        <v>54</v>
      </c>
      <c r="F611" t="s">
        <v>55</v>
      </c>
      <c r="G611" t="s">
        <v>74</v>
      </c>
      <c r="H611">
        <v>387</v>
      </c>
      <c r="I611">
        <v>30</v>
      </c>
      <c r="J611">
        <v>100</v>
      </c>
      <c r="K611" t="s">
        <v>29</v>
      </c>
      <c r="L611">
        <v>32</v>
      </c>
      <c r="M611" t="s">
        <v>21</v>
      </c>
    </row>
    <row r="612" spans="1:13" x14ac:dyDescent="0.35">
      <c r="A612" t="s">
        <v>1151</v>
      </c>
      <c r="B612" t="s">
        <v>336</v>
      </c>
      <c r="C612" t="s">
        <v>1152</v>
      </c>
      <c r="D612" t="s">
        <v>16</v>
      </c>
      <c r="E612" t="s">
        <v>131</v>
      </c>
      <c r="F612" t="s">
        <v>55</v>
      </c>
      <c r="G612" t="s">
        <v>49</v>
      </c>
      <c r="H612">
        <v>585</v>
      </c>
      <c r="I612">
        <v>40</v>
      </c>
      <c r="J612">
        <v>30</v>
      </c>
      <c r="K612" t="s">
        <v>36</v>
      </c>
      <c r="L612">
        <v>21</v>
      </c>
      <c r="M612" t="s">
        <v>30</v>
      </c>
    </row>
    <row r="613" spans="1:13" x14ac:dyDescent="0.35">
      <c r="A613" t="s">
        <v>1153</v>
      </c>
      <c r="B613" t="s">
        <v>241</v>
      </c>
      <c r="C613" t="s">
        <v>179</v>
      </c>
      <c r="D613" t="s">
        <v>25</v>
      </c>
      <c r="E613" t="s">
        <v>78</v>
      </c>
      <c r="F613" t="s">
        <v>48</v>
      </c>
      <c r="G613" t="s">
        <v>42</v>
      </c>
      <c r="H613">
        <v>175</v>
      </c>
      <c r="I613">
        <v>20</v>
      </c>
      <c r="J613">
        <v>20</v>
      </c>
      <c r="K613" t="s">
        <v>36</v>
      </c>
      <c r="L613">
        <v>51</v>
      </c>
      <c r="M613" t="s">
        <v>21</v>
      </c>
    </row>
    <row r="614" spans="1:13" x14ac:dyDescent="0.35">
      <c r="A614" t="s">
        <v>1154</v>
      </c>
      <c r="B614" t="s">
        <v>393</v>
      </c>
      <c r="C614" t="s">
        <v>471</v>
      </c>
      <c r="D614" t="s">
        <v>16</v>
      </c>
      <c r="E614" t="s">
        <v>131</v>
      </c>
      <c r="F614" t="s">
        <v>55</v>
      </c>
      <c r="G614" t="s">
        <v>42</v>
      </c>
      <c r="H614">
        <v>557</v>
      </c>
      <c r="I614">
        <v>30</v>
      </c>
      <c r="J614">
        <v>30</v>
      </c>
      <c r="K614" t="s">
        <v>20</v>
      </c>
      <c r="L614">
        <v>36</v>
      </c>
      <c r="M614" t="s">
        <v>30</v>
      </c>
    </row>
    <row r="615" spans="1:13" x14ac:dyDescent="0.35">
      <c r="A615" t="s">
        <v>1155</v>
      </c>
      <c r="B615" t="s">
        <v>96</v>
      </c>
      <c r="C615" t="s">
        <v>1012</v>
      </c>
      <c r="D615" t="s">
        <v>25</v>
      </c>
      <c r="E615" t="s">
        <v>26</v>
      </c>
      <c r="F615" t="s">
        <v>27</v>
      </c>
      <c r="G615" t="s">
        <v>35</v>
      </c>
      <c r="H615">
        <v>671</v>
      </c>
      <c r="I615">
        <v>40</v>
      </c>
      <c r="J615">
        <v>20</v>
      </c>
      <c r="K615" t="s">
        <v>20</v>
      </c>
      <c r="L615">
        <v>34</v>
      </c>
      <c r="M615" t="s">
        <v>21</v>
      </c>
    </row>
    <row r="616" spans="1:13" x14ac:dyDescent="0.35">
      <c r="A616" t="s">
        <v>1156</v>
      </c>
      <c r="B616" t="s">
        <v>271</v>
      </c>
      <c r="C616" t="s">
        <v>175</v>
      </c>
      <c r="D616" t="s">
        <v>40</v>
      </c>
      <c r="E616" t="s">
        <v>67</v>
      </c>
      <c r="F616" t="s">
        <v>48</v>
      </c>
      <c r="G616" t="s">
        <v>107</v>
      </c>
      <c r="H616">
        <v>587</v>
      </c>
      <c r="I616">
        <v>30</v>
      </c>
      <c r="J616">
        <v>50</v>
      </c>
      <c r="K616" t="s">
        <v>29</v>
      </c>
      <c r="L616">
        <v>32</v>
      </c>
      <c r="M616" t="s">
        <v>21</v>
      </c>
    </row>
    <row r="617" spans="1:13" x14ac:dyDescent="0.35">
      <c r="A617" t="s">
        <v>1157</v>
      </c>
      <c r="B617" t="s">
        <v>342</v>
      </c>
      <c r="C617" t="s">
        <v>640</v>
      </c>
      <c r="D617" t="s">
        <v>16</v>
      </c>
      <c r="E617" t="s">
        <v>17</v>
      </c>
      <c r="F617" t="s">
        <v>18</v>
      </c>
      <c r="G617" t="s">
        <v>49</v>
      </c>
      <c r="H617">
        <v>390</v>
      </c>
      <c r="I617">
        <v>50</v>
      </c>
      <c r="J617">
        <v>100</v>
      </c>
      <c r="K617" t="s">
        <v>29</v>
      </c>
      <c r="L617">
        <v>49</v>
      </c>
      <c r="M617" t="s">
        <v>21</v>
      </c>
    </row>
    <row r="618" spans="1:13" x14ac:dyDescent="0.35">
      <c r="A618" t="s">
        <v>1158</v>
      </c>
      <c r="B618" t="s">
        <v>252</v>
      </c>
      <c r="C618" t="s">
        <v>351</v>
      </c>
      <c r="D618" t="s">
        <v>16</v>
      </c>
      <c r="E618" t="s">
        <v>17</v>
      </c>
      <c r="F618" t="s">
        <v>18</v>
      </c>
      <c r="G618" t="s">
        <v>176</v>
      </c>
      <c r="H618">
        <v>671</v>
      </c>
      <c r="I618">
        <v>40</v>
      </c>
      <c r="J618">
        <v>30</v>
      </c>
      <c r="K618" t="s">
        <v>29</v>
      </c>
      <c r="L618">
        <v>48</v>
      </c>
      <c r="M618" t="s">
        <v>21</v>
      </c>
    </row>
    <row r="619" spans="1:13" x14ac:dyDescent="0.35">
      <c r="A619" t="s">
        <v>1159</v>
      </c>
      <c r="B619" t="s">
        <v>80</v>
      </c>
      <c r="C619" t="s">
        <v>612</v>
      </c>
      <c r="D619" t="s">
        <v>46</v>
      </c>
      <c r="E619" t="s">
        <v>148</v>
      </c>
      <c r="F619" t="s">
        <v>27</v>
      </c>
      <c r="G619" t="s">
        <v>74</v>
      </c>
      <c r="H619">
        <v>684</v>
      </c>
      <c r="I619">
        <v>30</v>
      </c>
      <c r="J619">
        <v>30</v>
      </c>
      <c r="K619" t="s">
        <v>29</v>
      </c>
      <c r="L619">
        <v>36</v>
      </c>
      <c r="M619" t="s">
        <v>21</v>
      </c>
    </row>
    <row r="620" spans="1:13" x14ac:dyDescent="0.35">
      <c r="A620" t="s">
        <v>1160</v>
      </c>
      <c r="B620" t="s">
        <v>223</v>
      </c>
      <c r="C620" t="s">
        <v>767</v>
      </c>
      <c r="D620" t="s">
        <v>25</v>
      </c>
      <c r="E620" t="s">
        <v>34</v>
      </c>
      <c r="F620" t="s">
        <v>27</v>
      </c>
      <c r="G620" t="s">
        <v>74</v>
      </c>
      <c r="H620">
        <v>273</v>
      </c>
      <c r="I620">
        <v>30</v>
      </c>
      <c r="J620">
        <v>50</v>
      </c>
      <c r="K620" t="s">
        <v>29</v>
      </c>
      <c r="L620">
        <v>20</v>
      </c>
      <c r="M620" t="s">
        <v>21</v>
      </c>
    </row>
    <row r="621" spans="1:13" x14ac:dyDescent="0.35">
      <c r="A621" t="s">
        <v>1161</v>
      </c>
      <c r="B621" t="s">
        <v>657</v>
      </c>
      <c r="C621" t="s">
        <v>1162</v>
      </c>
      <c r="D621" t="s">
        <v>46</v>
      </c>
      <c r="E621" t="s">
        <v>148</v>
      </c>
      <c r="F621" t="s">
        <v>27</v>
      </c>
      <c r="G621" t="s">
        <v>59</v>
      </c>
      <c r="H621">
        <v>749</v>
      </c>
      <c r="I621">
        <v>40</v>
      </c>
      <c r="J621">
        <v>30</v>
      </c>
      <c r="K621" t="s">
        <v>20</v>
      </c>
      <c r="L621">
        <v>23</v>
      </c>
      <c r="M621" t="s">
        <v>30</v>
      </c>
    </row>
    <row r="622" spans="1:13" x14ac:dyDescent="0.35">
      <c r="A622" t="s">
        <v>1163</v>
      </c>
      <c r="B622" t="s">
        <v>223</v>
      </c>
      <c r="C622" t="s">
        <v>873</v>
      </c>
      <c r="D622" t="s">
        <v>25</v>
      </c>
      <c r="E622" t="s">
        <v>26</v>
      </c>
      <c r="F622" t="s">
        <v>27</v>
      </c>
      <c r="G622" t="s">
        <v>28</v>
      </c>
      <c r="H622">
        <v>655</v>
      </c>
      <c r="I622">
        <v>40</v>
      </c>
      <c r="J622">
        <v>0</v>
      </c>
      <c r="K622" t="s">
        <v>20</v>
      </c>
      <c r="L622">
        <v>30</v>
      </c>
      <c r="M622" t="s">
        <v>21</v>
      </c>
    </row>
    <row r="623" spans="1:13" x14ac:dyDescent="0.35">
      <c r="A623" t="s">
        <v>1164</v>
      </c>
      <c r="B623" t="s">
        <v>167</v>
      </c>
      <c r="C623" t="s">
        <v>539</v>
      </c>
      <c r="D623" t="s">
        <v>25</v>
      </c>
      <c r="E623" t="s">
        <v>34</v>
      </c>
      <c r="F623" t="s">
        <v>27</v>
      </c>
      <c r="G623" t="s">
        <v>59</v>
      </c>
      <c r="H623">
        <v>656</v>
      </c>
      <c r="I623">
        <v>40</v>
      </c>
      <c r="J623">
        <v>50</v>
      </c>
      <c r="K623" t="s">
        <v>36</v>
      </c>
      <c r="L623">
        <v>33</v>
      </c>
      <c r="M623" t="s">
        <v>21</v>
      </c>
    </row>
    <row r="624" spans="1:13" x14ac:dyDescent="0.35">
      <c r="A624" t="s">
        <v>1165</v>
      </c>
      <c r="B624" t="s">
        <v>526</v>
      </c>
      <c r="C624" t="s">
        <v>1166</v>
      </c>
      <c r="D624" t="s">
        <v>40</v>
      </c>
      <c r="E624" t="s">
        <v>67</v>
      </c>
      <c r="F624" t="s">
        <v>48</v>
      </c>
      <c r="G624" t="s">
        <v>42</v>
      </c>
      <c r="H624">
        <v>189</v>
      </c>
      <c r="I624">
        <v>50</v>
      </c>
      <c r="J624">
        <v>50</v>
      </c>
      <c r="K624" t="s">
        <v>29</v>
      </c>
      <c r="L624">
        <v>56</v>
      </c>
      <c r="M624" t="s">
        <v>21</v>
      </c>
    </row>
    <row r="625" spans="1:13" x14ac:dyDescent="0.35">
      <c r="A625" t="s">
        <v>1167</v>
      </c>
      <c r="B625" t="s">
        <v>113</v>
      </c>
      <c r="C625" t="s">
        <v>1168</v>
      </c>
      <c r="D625" t="s">
        <v>40</v>
      </c>
      <c r="E625" t="s">
        <v>67</v>
      </c>
      <c r="F625" t="s">
        <v>48</v>
      </c>
      <c r="G625" t="s">
        <v>28</v>
      </c>
      <c r="H625">
        <v>458</v>
      </c>
      <c r="I625">
        <v>40</v>
      </c>
      <c r="J625">
        <v>0</v>
      </c>
      <c r="K625" t="s">
        <v>29</v>
      </c>
      <c r="L625">
        <v>56</v>
      </c>
      <c r="M625" t="s">
        <v>21</v>
      </c>
    </row>
    <row r="626" spans="1:13" x14ac:dyDescent="0.35">
      <c r="A626" t="s">
        <v>1169</v>
      </c>
      <c r="B626" t="s">
        <v>14</v>
      </c>
      <c r="C626" t="s">
        <v>1170</v>
      </c>
      <c r="D626" t="s">
        <v>16</v>
      </c>
      <c r="E626" t="s">
        <v>17</v>
      </c>
      <c r="F626" t="s">
        <v>18</v>
      </c>
      <c r="G626" t="s">
        <v>28</v>
      </c>
      <c r="H626">
        <v>326</v>
      </c>
      <c r="I626">
        <v>20</v>
      </c>
      <c r="J626">
        <v>50</v>
      </c>
      <c r="K626" t="s">
        <v>36</v>
      </c>
      <c r="L626">
        <v>59</v>
      </c>
      <c r="M626" t="s">
        <v>21</v>
      </c>
    </row>
    <row r="627" spans="1:13" x14ac:dyDescent="0.35">
      <c r="A627" t="s">
        <v>1171</v>
      </c>
      <c r="B627" t="s">
        <v>295</v>
      </c>
      <c r="C627" t="s">
        <v>81</v>
      </c>
      <c r="D627" t="s">
        <v>46</v>
      </c>
      <c r="E627" t="s">
        <v>70</v>
      </c>
      <c r="F627" t="s">
        <v>18</v>
      </c>
      <c r="G627" t="s">
        <v>74</v>
      </c>
      <c r="H627">
        <v>401</v>
      </c>
      <c r="I627">
        <v>40</v>
      </c>
      <c r="J627">
        <v>0</v>
      </c>
      <c r="K627" t="s">
        <v>20</v>
      </c>
      <c r="L627">
        <v>51</v>
      </c>
      <c r="M627" t="s">
        <v>21</v>
      </c>
    </row>
    <row r="628" spans="1:13" x14ac:dyDescent="0.35">
      <c r="A628" t="s">
        <v>1172</v>
      </c>
      <c r="B628" t="s">
        <v>199</v>
      </c>
      <c r="C628" t="s">
        <v>1173</v>
      </c>
      <c r="D628" t="s">
        <v>53</v>
      </c>
      <c r="E628" t="s">
        <v>84</v>
      </c>
      <c r="F628" t="s">
        <v>85</v>
      </c>
      <c r="G628" t="s">
        <v>42</v>
      </c>
      <c r="H628">
        <v>603</v>
      </c>
      <c r="I628">
        <v>30</v>
      </c>
      <c r="J628">
        <v>100</v>
      </c>
      <c r="K628" t="s">
        <v>29</v>
      </c>
      <c r="L628">
        <v>50</v>
      </c>
      <c r="M628" t="s">
        <v>21</v>
      </c>
    </row>
    <row r="629" spans="1:13" x14ac:dyDescent="0.35">
      <c r="A629" t="s">
        <v>1174</v>
      </c>
      <c r="B629" t="s">
        <v>368</v>
      </c>
      <c r="C629" t="s">
        <v>993</v>
      </c>
      <c r="D629" t="s">
        <v>53</v>
      </c>
      <c r="E629" t="s">
        <v>54</v>
      </c>
      <c r="F629" t="s">
        <v>55</v>
      </c>
      <c r="G629" t="s">
        <v>28</v>
      </c>
      <c r="H629">
        <v>260</v>
      </c>
      <c r="I629">
        <v>20</v>
      </c>
      <c r="J629">
        <v>20</v>
      </c>
      <c r="K629" t="s">
        <v>36</v>
      </c>
      <c r="L629">
        <v>29</v>
      </c>
      <c r="M629" t="s">
        <v>21</v>
      </c>
    </row>
    <row r="630" spans="1:13" x14ac:dyDescent="0.35">
      <c r="A630" t="s">
        <v>1175</v>
      </c>
      <c r="B630" t="s">
        <v>199</v>
      </c>
      <c r="C630" t="s">
        <v>860</v>
      </c>
      <c r="D630" t="s">
        <v>40</v>
      </c>
      <c r="E630" t="s">
        <v>111</v>
      </c>
      <c r="F630" t="s">
        <v>18</v>
      </c>
      <c r="G630" t="s">
        <v>176</v>
      </c>
      <c r="H630">
        <v>622</v>
      </c>
      <c r="I630">
        <v>30</v>
      </c>
      <c r="J630">
        <v>30</v>
      </c>
      <c r="K630" t="s">
        <v>29</v>
      </c>
      <c r="L630">
        <v>21</v>
      </c>
      <c r="M630" t="s">
        <v>21</v>
      </c>
    </row>
    <row r="631" spans="1:13" x14ac:dyDescent="0.35">
      <c r="A631" t="s">
        <v>1176</v>
      </c>
      <c r="B631" t="s">
        <v>178</v>
      </c>
      <c r="C631" t="s">
        <v>1069</v>
      </c>
      <c r="D631" t="s">
        <v>16</v>
      </c>
      <c r="E631" t="s">
        <v>131</v>
      </c>
      <c r="F631" t="s">
        <v>55</v>
      </c>
      <c r="G631" t="s">
        <v>49</v>
      </c>
      <c r="H631">
        <v>710</v>
      </c>
      <c r="I631">
        <v>30</v>
      </c>
      <c r="J631">
        <v>30</v>
      </c>
      <c r="K631" t="s">
        <v>29</v>
      </c>
      <c r="L631">
        <v>37</v>
      </c>
      <c r="M631" t="s">
        <v>21</v>
      </c>
    </row>
    <row r="632" spans="1:13" x14ac:dyDescent="0.35">
      <c r="A632" t="s">
        <v>1177</v>
      </c>
      <c r="B632" t="s">
        <v>244</v>
      </c>
      <c r="C632" t="s">
        <v>227</v>
      </c>
      <c r="D632" t="s">
        <v>46</v>
      </c>
      <c r="E632" t="s">
        <v>70</v>
      </c>
      <c r="F632" t="s">
        <v>18</v>
      </c>
      <c r="G632" t="s">
        <v>42</v>
      </c>
      <c r="H632">
        <v>714</v>
      </c>
      <c r="I632">
        <v>20</v>
      </c>
      <c r="J632">
        <v>0</v>
      </c>
      <c r="K632" t="s">
        <v>36</v>
      </c>
      <c r="L632">
        <v>25</v>
      </c>
      <c r="M632" t="s">
        <v>21</v>
      </c>
    </row>
    <row r="633" spans="1:13" x14ac:dyDescent="0.35">
      <c r="A633" t="s">
        <v>1178</v>
      </c>
      <c r="B633" t="s">
        <v>99</v>
      </c>
      <c r="C633" t="s">
        <v>1179</v>
      </c>
      <c r="D633" t="s">
        <v>16</v>
      </c>
      <c r="E633" t="s">
        <v>131</v>
      </c>
      <c r="F633" t="s">
        <v>55</v>
      </c>
      <c r="G633" t="s">
        <v>49</v>
      </c>
      <c r="H633">
        <v>769</v>
      </c>
      <c r="I633">
        <v>50</v>
      </c>
      <c r="J633">
        <v>0</v>
      </c>
      <c r="K633" t="s">
        <v>29</v>
      </c>
      <c r="L633">
        <v>43</v>
      </c>
      <c r="M633" t="s">
        <v>21</v>
      </c>
    </row>
    <row r="634" spans="1:13" x14ac:dyDescent="0.35">
      <c r="A634" t="s">
        <v>1180</v>
      </c>
      <c r="B634" t="s">
        <v>297</v>
      </c>
      <c r="C634" t="s">
        <v>317</v>
      </c>
      <c r="D634" t="s">
        <v>46</v>
      </c>
      <c r="E634" t="s">
        <v>148</v>
      </c>
      <c r="F634" t="s">
        <v>27</v>
      </c>
      <c r="G634" t="s">
        <v>49</v>
      </c>
      <c r="H634">
        <v>400</v>
      </c>
      <c r="I634">
        <v>40</v>
      </c>
      <c r="J634">
        <v>20</v>
      </c>
      <c r="K634" t="s">
        <v>20</v>
      </c>
      <c r="L634">
        <v>37</v>
      </c>
      <c r="M634" t="s">
        <v>21</v>
      </c>
    </row>
    <row r="635" spans="1:13" x14ac:dyDescent="0.35">
      <c r="A635" t="s">
        <v>1181</v>
      </c>
      <c r="B635" t="s">
        <v>413</v>
      </c>
      <c r="C635" t="s">
        <v>1182</v>
      </c>
      <c r="D635" t="s">
        <v>53</v>
      </c>
      <c r="E635" t="s">
        <v>54</v>
      </c>
      <c r="F635" t="s">
        <v>55</v>
      </c>
      <c r="G635" t="s">
        <v>42</v>
      </c>
      <c r="H635">
        <v>641</v>
      </c>
      <c r="I635">
        <v>50</v>
      </c>
      <c r="J635">
        <v>0</v>
      </c>
      <c r="K635" t="s">
        <v>36</v>
      </c>
      <c r="L635">
        <v>44</v>
      </c>
      <c r="M635" t="s">
        <v>21</v>
      </c>
    </row>
    <row r="636" spans="1:13" x14ac:dyDescent="0.35">
      <c r="A636" t="s">
        <v>1183</v>
      </c>
      <c r="B636" t="s">
        <v>280</v>
      </c>
      <c r="C636" t="s">
        <v>638</v>
      </c>
      <c r="D636" t="s">
        <v>40</v>
      </c>
      <c r="E636" t="s">
        <v>67</v>
      </c>
      <c r="F636" t="s">
        <v>48</v>
      </c>
      <c r="G636" t="s">
        <v>59</v>
      </c>
      <c r="H636">
        <v>726</v>
      </c>
      <c r="I636">
        <v>30</v>
      </c>
      <c r="J636">
        <v>30</v>
      </c>
      <c r="K636" t="s">
        <v>29</v>
      </c>
      <c r="L636">
        <v>49</v>
      </c>
      <c r="M636" t="s">
        <v>21</v>
      </c>
    </row>
    <row r="637" spans="1:13" x14ac:dyDescent="0.35">
      <c r="A637" t="s">
        <v>1184</v>
      </c>
      <c r="B637" t="s">
        <v>568</v>
      </c>
      <c r="C637" t="s">
        <v>482</v>
      </c>
      <c r="D637" t="s">
        <v>40</v>
      </c>
      <c r="E637" t="s">
        <v>41</v>
      </c>
      <c r="F637" t="s">
        <v>27</v>
      </c>
      <c r="G637" t="s">
        <v>28</v>
      </c>
      <c r="H637">
        <v>428</v>
      </c>
      <c r="I637">
        <v>20</v>
      </c>
      <c r="J637">
        <v>0</v>
      </c>
      <c r="K637" t="s">
        <v>29</v>
      </c>
      <c r="L637">
        <v>55</v>
      </c>
      <c r="M637" t="s">
        <v>21</v>
      </c>
    </row>
    <row r="638" spans="1:13" x14ac:dyDescent="0.35">
      <c r="A638" t="s">
        <v>1185</v>
      </c>
      <c r="B638" t="s">
        <v>329</v>
      </c>
      <c r="C638" t="s">
        <v>289</v>
      </c>
      <c r="D638" t="s">
        <v>46</v>
      </c>
      <c r="E638" t="s">
        <v>70</v>
      </c>
      <c r="F638" t="s">
        <v>18</v>
      </c>
      <c r="G638" t="s">
        <v>59</v>
      </c>
      <c r="H638">
        <v>445</v>
      </c>
      <c r="I638">
        <v>40</v>
      </c>
      <c r="J638">
        <v>30</v>
      </c>
      <c r="K638" t="s">
        <v>36</v>
      </c>
      <c r="L638">
        <v>47</v>
      </c>
      <c r="M638" t="s">
        <v>21</v>
      </c>
    </row>
    <row r="639" spans="1:13" x14ac:dyDescent="0.35">
      <c r="A639" t="s">
        <v>1186</v>
      </c>
      <c r="B639" t="s">
        <v>413</v>
      </c>
      <c r="C639" t="s">
        <v>1022</v>
      </c>
      <c r="D639" t="s">
        <v>46</v>
      </c>
      <c r="E639" t="s">
        <v>148</v>
      </c>
      <c r="F639" t="s">
        <v>27</v>
      </c>
      <c r="G639" t="s">
        <v>19</v>
      </c>
      <c r="H639">
        <v>381</v>
      </c>
      <c r="I639">
        <v>40</v>
      </c>
      <c r="J639">
        <v>50</v>
      </c>
      <c r="K639" t="s">
        <v>36</v>
      </c>
      <c r="L639">
        <v>33</v>
      </c>
      <c r="M639" t="s">
        <v>21</v>
      </c>
    </row>
    <row r="640" spans="1:13" x14ac:dyDescent="0.35">
      <c r="A640" t="s">
        <v>1187</v>
      </c>
      <c r="B640" t="s">
        <v>133</v>
      </c>
      <c r="C640" t="s">
        <v>494</v>
      </c>
      <c r="D640" t="s">
        <v>16</v>
      </c>
      <c r="E640" t="s">
        <v>17</v>
      </c>
      <c r="F640" t="s">
        <v>18</v>
      </c>
      <c r="G640" t="s">
        <v>176</v>
      </c>
      <c r="H640">
        <v>237</v>
      </c>
      <c r="I640">
        <v>30</v>
      </c>
      <c r="J640">
        <v>30</v>
      </c>
      <c r="K640" t="s">
        <v>29</v>
      </c>
      <c r="L640">
        <v>45</v>
      </c>
      <c r="M640" t="s">
        <v>21</v>
      </c>
    </row>
    <row r="641" spans="1:13" x14ac:dyDescent="0.35">
      <c r="A641" t="s">
        <v>1188</v>
      </c>
      <c r="B641" t="s">
        <v>96</v>
      </c>
      <c r="C641" t="s">
        <v>459</v>
      </c>
      <c r="D641" t="s">
        <v>46</v>
      </c>
      <c r="E641" t="s">
        <v>70</v>
      </c>
      <c r="F641" t="s">
        <v>18</v>
      </c>
      <c r="G641" t="s">
        <v>107</v>
      </c>
      <c r="H641">
        <v>378</v>
      </c>
      <c r="I641">
        <v>30</v>
      </c>
      <c r="J641">
        <v>0</v>
      </c>
      <c r="K641" t="s">
        <v>20</v>
      </c>
      <c r="L641">
        <v>58</v>
      </c>
      <c r="M641" t="s">
        <v>21</v>
      </c>
    </row>
    <row r="642" spans="1:13" x14ac:dyDescent="0.35">
      <c r="A642" t="s">
        <v>1189</v>
      </c>
      <c r="B642" t="s">
        <v>513</v>
      </c>
      <c r="C642" t="s">
        <v>1190</v>
      </c>
      <c r="D642" t="s">
        <v>40</v>
      </c>
      <c r="E642" t="s">
        <v>111</v>
      </c>
      <c r="F642" t="s">
        <v>18</v>
      </c>
      <c r="G642" t="s">
        <v>59</v>
      </c>
      <c r="H642">
        <v>688</v>
      </c>
      <c r="I642">
        <v>20</v>
      </c>
      <c r="J642">
        <v>30</v>
      </c>
      <c r="K642" t="s">
        <v>29</v>
      </c>
      <c r="L642">
        <v>29</v>
      </c>
      <c r="M642" t="s">
        <v>21</v>
      </c>
    </row>
    <row r="643" spans="1:13" x14ac:dyDescent="0.35">
      <c r="A643" t="s">
        <v>1191</v>
      </c>
      <c r="B643" t="s">
        <v>297</v>
      </c>
      <c r="C643" t="s">
        <v>803</v>
      </c>
      <c r="D643" t="s">
        <v>25</v>
      </c>
      <c r="E643" t="s">
        <v>26</v>
      </c>
      <c r="F643" t="s">
        <v>27</v>
      </c>
      <c r="G643" t="s">
        <v>74</v>
      </c>
      <c r="H643">
        <v>220</v>
      </c>
      <c r="I643">
        <v>50</v>
      </c>
      <c r="J643">
        <v>50</v>
      </c>
      <c r="K643" t="s">
        <v>20</v>
      </c>
      <c r="L643">
        <v>34</v>
      </c>
      <c r="M643" t="s">
        <v>21</v>
      </c>
    </row>
    <row r="644" spans="1:13" x14ac:dyDescent="0.35">
      <c r="A644" t="s">
        <v>1192</v>
      </c>
      <c r="B644" t="s">
        <v>121</v>
      </c>
      <c r="C644" t="s">
        <v>721</v>
      </c>
      <c r="D644" t="s">
        <v>53</v>
      </c>
      <c r="E644" t="s">
        <v>54</v>
      </c>
      <c r="F644" t="s">
        <v>55</v>
      </c>
      <c r="G644" t="s">
        <v>49</v>
      </c>
      <c r="H644">
        <v>718</v>
      </c>
      <c r="I644">
        <v>20</v>
      </c>
      <c r="J644">
        <v>50</v>
      </c>
      <c r="K644" t="s">
        <v>20</v>
      </c>
      <c r="L644">
        <v>31</v>
      </c>
      <c r="M644" t="s">
        <v>21</v>
      </c>
    </row>
    <row r="645" spans="1:13" x14ac:dyDescent="0.35">
      <c r="A645" t="s">
        <v>1193</v>
      </c>
      <c r="B645" t="s">
        <v>300</v>
      </c>
      <c r="C645" t="s">
        <v>1194</v>
      </c>
      <c r="D645" t="s">
        <v>40</v>
      </c>
      <c r="E645" t="s">
        <v>111</v>
      </c>
      <c r="F645" t="s">
        <v>18</v>
      </c>
      <c r="G645" t="s">
        <v>176</v>
      </c>
      <c r="H645">
        <v>361</v>
      </c>
      <c r="I645">
        <v>50</v>
      </c>
      <c r="J645">
        <v>0</v>
      </c>
      <c r="K645" t="s">
        <v>36</v>
      </c>
      <c r="L645">
        <v>56</v>
      </c>
      <c r="M645" t="s">
        <v>21</v>
      </c>
    </row>
    <row r="646" spans="1:13" x14ac:dyDescent="0.35">
      <c r="A646" t="s">
        <v>1195</v>
      </c>
      <c r="B646" t="s">
        <v>57</v>
      </c>
      <c r="C646" t="s">
        <v>229</v>
      </c>
      <c r="D646" t="s">
        <v>25</v>
      </c>
      <c r="E646" t="s">
        <v>26</v>
      </c>
      <c r="F646" t="s">
        <v>27</v>
      </c>
      <c r="G646" t="s">
        <v>49</v>
      </c>
      <c r="H646">
        <v>282</v>
      </c>
      <c r="I646">
        <v>40</v>
      </c>
      <c r="J646">
        <v>50</v>
      </c>
      <c r="K646" t="s">
        <v>20</v>
      </c>
      <c r="L646">
        <v>22</v>
      </c>
      <c r="M646" t="s">
        <v>21</v>
      </c>
    </row>
    <row r="647" spans="1:13" x14ac:dyDescent="0.35">
      <c r="A647" t="s">
        <v>1196</v>
      </c>
      <c r="B647" t="s">
        <v>295</v>
      </c>
      <c r="C647" t="s">
        <v>1197</v>
      </c>
      <c r="D647" t="s">
        <v>16</v>
      </c>
      <c r="E647" t="s">
        <v>17</v>
      </c>
      <c r="F647" t="s">
        <v>18</v>
      </c>
      <c r="G647" t="s">
        <v>19</v>
      </c>
      <c r="H647">
        <v>723</v>
      </c>
      <c r="I647">
        <v>20</v>
      </c>
      <c r="J647">
        <v>20</v>
      </c>
      <c r="K647" t="s">
        <v>20</v>
      </c>
      <c r="L647">
        <v>47</v>
      </c>
      <c r="M647" t="s">
        <v>21</v>
      </c>
    </row>
    <row r="648" spans="1:13" x14ac:dyDescent="0.35">
      <c r="A648" t="s">
        <v>1198</v>
      </c>
      <c r="B648" t="s">
        <v>218</v>
      </c>
      <c r="C648" t="s">
        <v>1199</v>
      </c>
      <c r="D648" t="s">
        <v>25</v>
      </c>
      <c r="E648" t="s">
        <v>26</v>
      </c>
      <c r="F648" t="s">
        <v>27</v>
      </c>
      <c r="G648" t="s">
        <v>74</v>
      </c>
      <c r="H648">
        <v>611</v>
      </c>
      <c r="I648">
        <v>40</v>
      </c>
      <c r="J648">
        <v>0</v>
      </c>
      <c r="K648" t="s">
        <v>29</v>
      </c>
      <c r="L648">
        <v>38</v>
      </c>
      <c r="M648" t="s">
        <v>21</v>
      </c>
    </row>
    <row r="649" spans="1:13" x14ac:dyDescent="0.35">
      <c r="A649" t="s">
        <v>1200</v>
      </c>
      <c r="B649" t="s">
        <v>252</v>
      </c>
      <c r="C649" t="s">
        <v>771</v>
      </c>
      <c r="D649" t="s">
        <v>25</v>
      </c>
      <c r="E649" t="s">
        <v>26</v>
      </c>
      <c r="F649" t="s">
        <v>27</v>
      </c>
      <c r="G649" t="s">
        <v>19</v>
      </c>
      <c r="H649">
        <v>287</v>
      </c>
      <c r="I649">
        <v>20</v>
      </c>
      <c r="J649">
        <v>50</v>
      </c>
      <c r="K649" t="s">
        <v>36</v>
      </c>
      <c r="L649">
        <v>58</v>
      </c>
      <c r="M649" t="s">
        <v>21</v>
      </c>
    </row>
    <row r="650" spans="1:13" x14ac:dyDescent="0.35">
      <c r="A650" t="s">
        <v>1201</v>
      </c>
      <c r="B650" t="s">
        <v>271</v>
      </c>
      <c r="C650" t="s">
        <v>52</v>
      </c>
      <c r="D650" t="s">
        <v>16</v>
      </c>
      <c r="E650" t="s">
        <v>89</v>
      </c>
      <c r="F650" t="s">
        <v>18</v>
      </c>
      <c r="G650" t="s">
        <v>42</v>
      </c>
      <c r="H650">
        <v>761</v>
      </c>
      <c r="I650">
        <v>50</v>
      </c>
      <c r="J650">
        <v>50</v>
      </c>
      <c r="K650" t="s">
        <v>20</v>
      </c>
      <c r="L650">
        <v>51</v>
      </c>
      <c r="M650" t="s">
        <v>21</v>
      </c>
    </row>
    <row r="651" spans="1:13" x14ac:dyDescent="0.35">
      <c r="A651" t="s">
        <v>1202</v>
      </c>
      <c r="B651" t="s">
        <v>38</v>
      </c>
      <c r="C651" t="s">
        <v>566</v>
      </c>
      <c r="D651" t="s">
        <v>46</v>
      </c>
      <c r="E651" t="s">
        <v>47</v>
      </c>
      <c r="F651" t="s">
        <v>48</v>
      </c>
      <c r="G651" t="s">
        <v>28</v>
      </c>
      <c r="H651">
        <v>223</v>
      </c>
      <c r="I651">
        <v>40</v>
      </c>
      <c r="J651">
        <v>30</v>
      </c>
      <c r="K651" t="s">
        <v>20</v>
      </c>
      <c r="L651">
        <v>26</v>
      </c>
      <c r="M651" t="s">
        <v>21</v>
      </c>
    </row>
    <row r="652" spans="1:13" x14ac:dyDescent="0.35">
      <c r="A652" t="s">
        <v>1203</v>
      </c>
      <c r="B652" t="s">
        <v>32</v>
      </c>
      <c r="C652" t="s">
        <v>1204</v>
      </c>
      <c r="D652" t="s">
        <v>40</v>
      </c>
      <c r="E652" t="s">
        <v>111</v>
      </c>
      <c r="F652" t="s">
        <v>18</v>
      </c>
      <c r="G652" t="s">
        <v>35</v>
      </c>
      <c r="H652">
        <v>429</v>
      </c>
      <c r="I652">
        <v>40</v>
      </c>
      <c r="J652">
        <v>100</v>
      </c>
      <c r="K652" t="s">
        <v>36</v>
      </c>
      <c r="L652">
        <v>27</v>
      </c>
      <c r="M652" t="s">
        <v>21</v>
      </c>
    </row>
    <row r="653" spans="1:13" x14ac:dyDescent="0.35">
      <c r="A653" t="s">
        <v>1205</v>
      </c>
      <c r="B653" t="s">
        <v>310</v>
      </c>
      <c r="C653" t="s">
        <v>1206</v>
      </c>
      <c r="D653" t="s">
        <v>53</v>
      </c>
      <c r="E653" t="s">
        <v>152</v>
      </c>
      <c r="F653" t="s">
        <v>18</v>
      </c>
      <c r="G653" t="s">
        <v>176</v>
      </c>
      <c r="H653">
        <v>684</v>
      </c>
      <c r="I653">
        <v>50</v>
      </c>
      <c r="J653">
        <v>30</v>
      </c>
      <c r="K653" t="s">
        <v>36</v>
      </c>
      <c r="L653">
        <v>58</v>
      </c>
      <c r="M653" t="s">
        <v>21</v>
      </c>
    </row>
    <row r="654" spans="1:13" x14ac:dyDescent="0.35">
      <c r="A654" t="s">
        <v>1207</v>
      </c>
      <c r="B654" t="s">
        <v>121</v>
      </c>
      <c r="C654" t="s">
        <v>242</v>
      </c>
      <c r="D654" t="s">
        <v>25</v>
      </c>
      <c r="E654" t="s">
        <v>78</v>
      </c>
      <c r="F654" t="s">
        <v>48</v>
      </c>
      <c r="G654" t="s">
        <v>74</v>
      </c>
      <c r="H654">
        <v>344</v>
      </c>
      <c r="I654">
        <v>30</v>
      </c>
      <c r="J654">
        <v>0</v>
      </c>
      <c r="K654" t="s">
        <v>29</v>
      </c>
      <c r="L654">
        <v>36</v>
      </c>
      <c r="M654" t="s">
        <v>21</v>
      </c>
    </row>
    <row r="655" spans="1:13" x14ac:dyDescent="0.35">
      <c r="A655" t="s">
        <v>1208</v>
      </c>
      <c r="B655" t="s">
        <v>192</v>
      </c>
      <c r="C655" t="s">
        <v>357</v>
      </c>
      <c r="D655" t="s">
        <v>40</v>
      </c>
      <c r="E655" t="s">
        <v>67</v>
      </c>
      <c r="F655" t="s">
        <v>48</v>
      </c>
      <c r="G655" t="s">
        <v>74</v>
      </c>
      <c r="H655">
        <v>757</v>
      </c>
      <c r="I655">
        <v>40</v>
      </c>
      <c r="J655">
        <v>20</v>
      </c>
      <c r="K655" t="s">
        <v>29</v>
      </c>
      <c r="L655">
        <v>29</v>
      </c>
      <c r="M655" t="s">
        <v>21</v>
      </c>
    </row>
    <row r="656" spans="1:13" x14ac:dyDescent="0.35">
      <c r="A656" t="s">
        <v>1209</v>
      </c>
      <c r="B656" t="s">
        <v>310</v>
      </c>
      <c r="C656" t="s">
        <v>1210</v>
      </c>
      <c r="D656" t="s">
        <v>16</v>
      </c>
      <c r="E656" t="s">
        <v>89</v>
      </c>
      <c r="F656" t="s">
        <v>18</v>
      </c>
      <c r="G656" t="s">
        <v>59</v>
      </c>
      <c r="H656">
        <v>431</v>
      </c>
      <c r="I656">
        <v>30</v>
      </c>
      <c r="J656">
        <v>0</v>
      </c>
      <c r="K656" t="s">
        <v>20</v>
      </c>
      <c r="L656">
        <v>25</v>
      </c>
      <c r="M656" t="s">
        <v>21</v>
      </c>
    </row>
    <row r="657" spans="1:13" x14ac:dyDescent="0.35">
      <c r="A657" t="s">
        <v>1211</v>
      </c>
      <c r="B657" t="s">
        <v>432</v>
      </c>
      <c r="C657" t="s">
        <v>1012</v>
      </c>
      <c r="D657" t="s">
        <v>16</v>
      </c>
      <c r="E657" t="s">
        <v>131</v>
      </c>
      <c r="F657" t="s">
        <v>55</v>
      </c>
      <c r="G657" t="s">
        <v>42</v>
      </c>
      <c r="H657">
        <v>335</v>
      </c>
      <c r="I657">
        <v>40</v>
      </c>
      <c r="J657">
        <v>20</v>
      </c>
      <c r="K657" t="s">
        <v>36</v>
      </c>
      <c r="L657">
        <v>29</v>
      </c>
      <c r="M657" t="s">
        <v>30</v>
      </c>
    </row>
    <row r="658" spans="1:13" x14ac:dyDescent="0.35">
      <c r="A658" t="s">
        <v>1212</v>
      </c>
      <c r="B658" t="s">
        <v>143</v>
      </c>
      <c r="C658" t="s">
        <v>1213</v>
      </c>
      <c r="D658" t="s">
        <v>25</v>
      </c>
      <c r="E658" t="s">
        <v>78</v>
      </c>
      <c r="F658" t="s">
        <v>48</v>
      </c>
      <c r="G658" t="s">
        <v>176</v>
      </c>
      <c r="H658">
        <v>632</v>
      </c>
      <c r="I658">
        <v>40</v>
      </c>
      <c r="J658">
        <v>50</v>
      </c>
      <c r="K658" t="s">
        <v>36</v>
      </c>
      <c r="L658">
        <v>50</v>
      </c>
      <c r="M658" t="s">
        <v>21</v>
      </c>
    </row>
    <row r="659" spans="1:13" x14ac:dyDescent="0.35">
      <c r="A659" t="s">
        <v>1214</v>
      </c>
      <c r="B659" t="s">
        <v>174</v>
      </c>
      <c r="C659" t="s">
        <v>944</v>
      </c>
      <c r="D659" t="s">
        <v>46</v>
      </c>
      <c r="E659" t="s">
        <v>47</v>
      </c>
      <c r="F659" t="s">
        <v>48</v>
      </c>
      <c r="G659" t="s">
        <v>42</v>
      </c>
      <c r="H659">
        <v>743</v>
      </c>
      <c r="I659">
        <v>30</v>
      </c>
      <c r="J659">
        <v>100</v>
      </c>
      <c r="K659" t="s">
        <v>29</v>
      </c>
      <c r="L659">
        <v>29</v>
      </c>
      <c r="M659" t="s">
        <v>21</v>
      </c>
    </row>
    <row r="660" spans="1:13" x14ac:dyDescent="0.35">
      <c r="A660" t="s">
        <v>1215</v>
      </c>
      <c r="B660" t="s">
        <v>167</v>
      </c>
      <c r="C660" t="s">
        <v>560</v>
      </c>
      <c r="D660" t="s">
        <v>40</v>
      </c>
      <c r="E660" t="s">
        <v>111</v>
      </c>
      <c r="F660" t="s">
        <v>18</v>
      </c>
      <c r="G660" t="s">
        <v>107</v>
      </c>
      <c r="H660">
        <v>545</v>
      </c>
      <c r="I660">
        <v>50</v>
      </c>
      <c r="J660">
        <v>100</v>
      </c>
      <c r="K660" t="s">
        <v>29</v>
      </c>
      <c r="L660">
        <v>37</v>
      </c>
      <c r="M660" t="s">
        <v>21</v>
      </c>
    </row>
    <row r="661" spans="1:13" x14ac:dyDescent="0.35">
      <c r="A661" t="s">
        <v>1216</v>
      </c>
      <c r="B661" t="s">
        <v>199</v>
      </c>
      <c r="C661" t="s">
        <v>197</v>
      </c>
      <c r="D661" t="s">
        <v>16</v>
      </c>
      <c r="E661" t="s">
        <v>17</v>
      </c>
      <c r="F661" t="s">
        <v>18</v>
      </c>
      <c r="G661" t="s">
        <v>63</v>
      </c>
      <c r="H661">
        <v>683</v>
      </c>
      <c r="I661">
        <v>30</v>
      </c>
      <c r="J661">
        <v>50</v>
      </c>
      <c r="K661" t="s">
        <v>29</v>
      </c>
      <c r="L661">
        <v>47</v>
      </c>
      <c r="M661" t="s">
        <v>21</v>
      </c>
    </row>
    <row r="662" spans="1:13" x14ac:dyDescent="0.35">
      <c r="A662" t="s">
        <v>1217</v>
      </c>
      <c r="B662" t="s">
        <v>454</v>
      </c>
      <c r="C662" t="s">
        <v>1218</v>
      </c>
      <c r="D662" t="s">
        <v>53</v>
      </c>
      <c r="E662" t="s">
        <v>152</v>
      </c>
      <c r="F662" t="s">
        <v>18</v>
      </c>
      <c r="G662" t="s">
        <v>74</v>
      </c>
      <c r="H662">
        <v>782</v>
      </c>
      <c r="I662">
        <v>30</v>
      </c>
      <c r="J662">
        <v>50</v>
      </c>
      <c r="K662" t="s">
        <v>20</v>
      </c>
      <c r="L662">
        <v>21</v>
      </c>
      <c r="M662" t="s">
        <v>21</v>
      </c>
    </row>
    <row r="663" spans="1:13" x14ac:dyDescent="0.35">
      <c r="A663" t="s">
        <v>1219</v>
      </c>
      <c r="B663" t="s">
        <v>241</v>
      </c>
      <c r="C663" t="s">
        <v>1073</v>
      </c>
      <c r="D663" t="s">
        <v>53</v>
      </c>
      <c r="E663" t="s">
        <v>84</v>
      </c>
      <c r="F663" t="s">
        <v>85</v>
      </c>
      <c r="G663" t="s">
        <v>63</v>
      </c>
      <c r="H663">
        <v>596</v>
      </c>
      <c r="I663">
        <v>30</v>
      </c>
      <c r="J663">
        <v>100</v>
      </c>
      <c r="K663" t="s">
        <v>29</v>
      </c>
      <c r="L663">
        <v>44</v>
      </c>
      <c r="M663" t="s">
        <v>21</v>
      </c>
    </row>
    <row r="664" spans="1:13" x14ac:dyDescent="0.35">
      <c r="A664" t="s">
        <v>1220</v>
      </c>
      <c r="B664" t="s">
        <v>339</v>
      </c>
      <c r="C664" t="s">
        <v>389</v>
      </c>
      <c r="D664" t="s">
        <v>16</v>
      </c>
      <c r="E664" t="s">
        <v>89</v>
      </c>
      <c r="F664" t="s">
        <v>18</v>
      </c>
      <c r="G664" t="s">
        <v>19</v>
      </c>
      <c r="H664">
        <v>637</v>
      </c>
      <c r="I664">
        <v>40</v>
      </c>
      <c r="J664">
        <v>30</v>
      </c>
      <c r="K664" t="s">
        <v>36</v>
      </c>
      <c r="L664">
        <v>50</v>
      </c>
      <c r="M664" t="s">
        <v>21</v>
      </c>
    </row>
    <row r="665" spans="1:13" x14ac:dyDescent="0.35">
      <c r="A665" t="s">
        <v>1221</v>
      </c>
      <c r="B665" t="s">
        <v>247</v>
      </c>
      <c r="C665" t="s">
        <v>514</v>
      </c>
      <c r="D665" t="s">
        <v>25</v>
      </c>
      <c r="E665" t="s">
        <v>78</v>
      </c>
      <c r="F665" t="s">
        <v>48</v>
      </c>
      <c r="G665" t="s">
        <v>176</v>
      </c>
      <c r="H665">
        <v>683</v>
      </c>
      <c r="I665">
        <v>40</v>
      </c>
      <c r="J665">
        <v>30</v>
      </c>
      <c r="K665" t="s">
        <v>20</v>
      </c>
      <c r="L665">
        <v>51</v>
      </c>
      <c r="M665" t="s">
        <v>21</v>
      </c>
    </row>
    <row r="666" spans="1:13" x14ac:dyDescent="0.35">
      <c r="A666" t="s">
        <v>1222</v>
      </c>
      <c r="B666" t="s">
        <v>388</v>
      </c>
      <c r="C666" t="s">
        <v>578</v>
      </c>
      <c r="D666" t="s">
        <v>46</v>
      </c>
      <c r="E666" t="s">
        <v>47</v>
      </c>
      <c r="F666" t="s">
        <v>48</v>
      </c>
      <c r="G666" t="s">
        <v>49</v>
      </c>
      <c r="H666">
        <v>169</v>
      </c>
      <c r="I666">
        <v>50</v>
      </c>
      <c r="J666">
        <v>50</v>
      </c>
      <c r="K666" t="s">
        <v>29</v>
      </c>
      <c r="L666">
        <v>51</v>
      </c>
      <c r="M666" t="s">
        <v>21</v>
      </c>
    </row>
    <row r="667" spans="1:13" x14ac:dyDescent="0.35">
      <c r="A667" t="s">
        <v>1223</v>
      </c>
      <c r="B667" t="s">
        <v>136</v>
      </c>
      <c r="C667" t="s">
        <v>1224</v>
      </c>
      <c r="D667" t="s">
        <v>53</v>
      </c>
      <c r="E667" t="s">
        <v>152</v>
      </c>
      <c r="F667" t="s">
        <v>18</v>
      </c>
      <c r="G667" t="s">
        <v>74</v>
      </c>
      <c r="H667">
        <v>731</v>
      </c>
      <c r="I667">
        <v>30</v>
      </c>
      <c r="J667">
        <v>50</v>
      </c>
      <c r="K667" t="s">
        <v>20</v>
      </c>
      <c r="L667">
        <v>53</v>
      </c>
      <c r="M667" t="s">
        <v>21</v>
      </c>
    </row>
    <row r="668" spans="1:13" x14ac:dyDescent="0.35">
      <c r="A668" t="s">
        <v>1225</v>
      </c>
      <c r="B668" t="s">
        <v>454</v>
      </c>
      <c r="C668" t="s">
        <v>1226</v>
      </c>
      <c r="D668" t="s">
        <v>16</v>
      </c>
      <c r="E668" t="s">
        <v>89</v>
      </c>
      <c r="F668" t="s">
        <v>18</v>
      </c>
      <c r="G668" t="s">
        <v>19</v>
      </c>
      <c r="H668">
        <v>216</v>
      </c>
      <c r="I668">
        <v>30</v>
      </c>
      <c r="J668">
        <v>100</v>
      </c>
      <c r="K668" t="s">
        <v>20</v>
      </c>
      <c r="L668">
        <v>49</v>
      </c>
      <c r="M668" t="s">
        <v>21</v>
      </c>
    </row>
    <row r="669" spans="1:13" x14ac:dyDescent="0.35">
      <c r="A669" t="s">
        <v>1227</v>
      </c>
      <c r="B669" t="s">
        <v>87</v>
      </c>
      <c r="C669" t="s">
        <v>1228</v>
      </c>
      <c r="D669" t="s">
        <v>46</v>
      </c>
      <c r="E669" t="s">
        <v>148</v>
      </c>
      <c r="F669" t="s">
        <v>27</v>
      </c>
      <c r="G669" t="s">
        <v>176</v>
      </c>
      <c r="H669">
        <v>504</v>
      </c>
      <c r="I669">
        <v>30</v>
      </c>
      <c r="J669">
        <v>20</v>
      </c>
      <c r="K669" t="s">
        <v>29</v>
      </c>
      <c r="L669">
        <v>49</v>
      </c>
      <c r="M669" t="s">
        <v>21</v>
      </c>
    </row>
    <row r="670" spans="1:13" x14ac:dyDescent="0.35">
      <c r="A670" t="s">
        <v>1229</v>
      </c>
      <c r="B670" t="s">
        <v>87</v>
      </c>
      <c r="C670" t="s">
        <v>73</v>
      </c>
      <c r="D670" t="s">
        <v>46</v>
      </c>
      <c r="E670" t="s">
        <v>70</v>
      </c>
      <c r="F670" t="s">
        <v>18</v>
      </c>
      <c r="G670" t="s">
        <v>74</v>
      </c>
      <c r="H670">
        <v>735</v>
      </c>
      <c r="I670">
        <v>40</v>
      </c>
      <c r="J670">
        <v>50</v>
      </c>
      <c r="K670" t="s">
        <v>20</v>
      </c>
      <c r="L670">
        <v>49</v>
      </c>
      <c r="M670" t="s">
        <v>21</v>
      </c>
    </row>
    <row r="671" spans="1:13" x14ac:dyDescent="0.35">
      <c r="A671" t="s">
        <v>1230</v>
      </c>
      <c r="B671" t="s">
        <v>541</v>
      </c>
      <c r="C671" t="s">
        <v>292</v>
      </c>
      <c r="D671" t="s">
        <v>16</v>
      </c>
      <c r="E671" t="s">
        <v>89</v>
      </c>
      <c r="F671" t="s">
        <v>18</v>
      </c>
      <c r="G671" t="s">
        <v>42</v>
      </c>
      <c r="H671">
        <v>627</v>
      </c>
      <c r="I671">
        <v>20</v>
      </c>
      <c r="J671">
        <v>30</v>
      </c>
      <c r="K671" t="s">
        <v>20</v>
      </c>
      <c r="L671">
        <v>50</v>
      </c>
      <c r="M671" t="s">
        <v>21</v>
      </c>
    </row>
    <row r="672" spans="1:13" x14ac:dyDescent="0.35">
      <c r="A672" t="s">
        <v>1231</v>
      </c>
      <c r="B672" t="s">
        <v>247</v>
      </c>
      <c r="C672" t="s">
        <v>964</v>
      </c>
      <c r="D672" t="s">
        <v>46</v>
      </c>
      <c r="E672" t="s">
        <v>70</v>
      </c>
      <c r="F672" t="s">
        <v>18</v>
      </c>
      <c r="G672" t="s">
        <v>63</v>
      </c>
      <c r="H672">
        <v>180</v>
      </c>
      <c r="I672">
        <v>30</v>
      </c>
      <c r="J672">
        <v>50</v>
      </c>
      <c r="K672" t="s">
        <v>20</v>
      </c>
      <c r="L672">
        <v>34</v>
      </c>
      <c r="M672" t="s">
        <v>21</v>
      </c>
    </row>
    <row r="673" spans="1:13" x14ac:dyDescent="0.35">
      <c r="A673" t="s">
        <v>1232</v>
      </c>
      <c r="B673" t="s">
        <v>342</v>
      </c>
      <c r="C673" t="s">
        <v>1233</v>
      </c>
      <c r="D673" t="s">
        <v>53</v>
      </c>
      <c r="E673" t="s">
        <v>84</v>
      </c>
      <c r="F673" t="s">
        <v>85</v>
      </c>
      <c r="G673" t="s">
        <v>59</v>
      </c>
      <c r="H673">
        <v>329</v>
      </c>
      <c r="I673">
        <v>50</v>
      </c>
      <c r="J673">
        <v>20</v>
      </c>
      <c r="K673" t="s">
        <v>36</v>
      </c>
      <c r="L673">
        <v>46</v>
      </c>
      <c r="M673" t="s">
        <v>21</v>
      </c>
    </row>
    <row r="674" spans="1:13" x14ac:dyDescent="0.35">
      <c r="A674" t="s">
        <v>1234</v>
      </c>
      <c r="B674" t="s">
        <v>218</v>
      </c>
      <c r="C674" t="s">
        <v>854</v>
      </c>
      <c r="D674" t="s">
        <v>53</v>
      </c>
      <c r="E674" t="s">
        <v>54</v>
      </c>
      <c r="F674" t="s">
        <v>55</v>
      </c>
      <c r="G674" t="s">
        <v>19</v>
      </c>
      <c r="H674">
        <v>341</v>
      </c>
      <c r="I674">
        <v>40</v>
      </c>
      <c r="J674">
        <v>100</v>
      </c>
      <c r="K674" t="s">
        <v>20</v>
      </c>
      <c r="L674">
        <v>29</v>
      </c>
      <c r="M674" t="s">
        <v>30</v>
      </c>
    </row>
    <row r="675" spans="1:13" x14ac:dyDescent="0.35">
      <c r="A675" t="s">
        <v>1235</v>
      </c>
      <c r="B675" t="s">
        <v>80</v>
      </c>
      <c r="C675" t="s">
        <v>289</v>
      </c>
      <c r="D675" t="s">
        <v>16</v>
      </c>
      <c r="E675" t="s">
        <v>17</v>
      </c>
      <c r="F675" t="s">
        <v>18</v>
      </c>
      <c r="G675" t="s">
        <v>176</v>
      </c>
      <c r="H675">
        <v>784</v>
      </c>
      <c r="I675">
        <v>20</v>
      </c>
      <c r="J675">
        <v>0</v>
      </c>
      <c r="K675" t="s">
        <v>36</v>
      </c>
      <c r="L675">
        <v>55</v>
      </c>
      <c r="M675" t="s">
        <v>21</v>
      </c>
    </row>
    <row r="676" spans="1:13" x14ac:dyDescent="0.35">
      <c r="A676" t="s">
        <v>1236</v>
      </c>
      <c r="B676" t="s">
        <v>61</v>
      </c>
      <c r="C676" t="s">
        <v>401</v>
      </c>
      <c r="D676" t="s">
        <v>46</v>
      </c>
      <c r="E676" t="s">
        <v>47</v>
      </c>
      <c r="F676" t="s">
        <v>48</v>
      </c>
      <c r="G676" t="s">
        <v>107</v>
      </c>
      <c r="H676">
        <v>168</v>
      </c>
      <c r="I676">
        <v>20</v>
      </c>
      <c r="J676">
        <v>0</v>
      </c>
      <c r="K676" t="s">
        <v>36</v>
      </c>
      <c r="L676">
        <v>34</v>
      </c>
      <c r="M676" t="s">
        <v>21</v>
      </c>
    </row>
    <row r="677" spans="1:13" x14ac:dyDescent="0.35">
      <c r="A677" t="s">
        <v>1237</v>
      </c>
      <c r="B677" t="s">
        <v>291</v>
      </c>
      <c r="C677" t="s">
        <v>575</v>
      </c>
      <c r="D677" t="s">
        <v>40</v>
      </c>
      <c r="E677" t="s">
        <v>111</v>
      </c>
      <c r="F677" t="s">
        <v>18</v>
      </c>
      <c r="G677" t="s">
        <v>42</v>
      </c>
      <c r="H677">
        <v>588</v>
      </c>
      <c r="I677">
        <v>20</v>
      </c>
      <c r="J677">
        <v>30</v>
      </c>
      <c r="K677" t="s">
        <v>29</v>
      </c>
      <c r="L677">
        <v>23</v>
      </c>
      <c r="M677" t="s">
        <v>21</v>
      </c>
    </row>
    <row r="678" spans="1:13" x14ac:dyDescent="0.35">
      <c r="A678" t="s">
        <v>1238</v>
      </c>
      <c r="B678" t="s">
        <v>365</v>
      </c>
      <c r="C678" t="s">
        <v>1022</v>
      </c>
      <c r="D678" t="s">
        <v>25</v>
      </c>
      <c r="E678" t="s">
        <v>26</v>
      </c>
      <c r="F678" t="s">
        <v>27</v>
      </c>
      <c r="G678" t="s">
        <v>35</v>
      </c>
      <c r="H678">
        <v>185</v>
      </c>
      <c r="I678">
        <v>50</v>
      </c>
      <c r="J678">
        <v>100</v>
      </c>
      <c r="K678" t="s">
        <v>20</v>
      </c>
      <c r="L678">
        <v>38</v>
      </c>
      <c r="M678" t="s">
        <v>21</v>
      </c>
    </row>
    <row r="679" spans="1:13" x14ac:dyDescent="0.35">
      <c r="A679" t="s">
        <v>1239</v>
      </c>
      <c r="B679" t="s">
        <v>326</v>
      </c>
      <c r="C679" t="s">
        <v>1224</v>
      </c>
      <c r="D679" t="s">
        <v>46</v>
      </c>
      <c r="E679" t="s">
        <v>47</v>
      </c>
      <c r="F679" t="s">
        <v>48</v>
      </c>
      <c r="G679" t="s">
        <v>63</v>
      </c>
      <c r="H679">
        <v>609</v>
      </c>
      <c r="I679">
        <v>50</v>
      </c>
      <c r="J679">
        <v>100</v>
      </c>
      <c r="K679" t="s">
        <v>20</v>
      </c>
      <c r="L679">
        <v>53</v>
      </c>
      <c r="M679" t="s">
        <v>21</v>
      </c>
    </row>
    <row r="680" spans="1:13" x14ac:dyDescent="0.35">
      <c r="A680" t="s">
        <v>1240</v>
      </c>
      <c r="B680" t="s">
        <v>136</v>
      </c>
      <c r="C680" t="s">
        <v>1241</v>
      </c>
      <c r="D680" t="s">
        <v>16</v>
      </c>
      <c r="E680" t="s">
        <v>17</v>
      </c>
      <c r="F680" t="s">
        <v>18</v>
      </c>
      <c r="G680" t="s">
        <v>107</v>
      </c>
      <c r="H680">
        <v>429</v>
      </c>
      <c r="I680">
        <v>50</v>
      </c>
      <c r="J680">
        <v>20</v>
      </c>
      <c r="K680" t="s">
        <v>36</v>
      </c>
      <c r="L680">
        <v>52</v>
      </c>
      <c r="M680" t="s">
        <v>21</v>
      </c>
    </row>
    <row r="681" spans="1:13" x14ac:dyDescent="0.35">
      <c r="A681" t="s">
        <v>1242</v>
      </c>
      <c r="B681" t="s">
        <v>57</v>
      </c>
      <c r="C681" t="s">
        <v>1243</v>
      </c>
      <c r="D681" t="s">
        <v>40</v>
      </c>
      <c r="E681" t="s">
        <v>67</v>
      </c>
      <c r="F681" t="s">
        <v>48</v>
      </c>
      <c r="G681" t="s">
        <v>74</v>
      </c>
      <c r="H681">
        <v>339</v>
      </c>
      <c r="I681">
        <v>50</v>
      </c>
      <c r="J681">
        <v>20</v>
      </c>
      <c r="K681" t="s">
        <v>36</v>
      </c>
      <c r="L681">
        <v>59</v>
      </c>
      <c r="M681" t="s">
        <v>21</v>
      </c>
    </row>
    <row r="682" spans="1:13" x14ac:dyDescent="0.35">
      <c r="A682" t="s">
        <v>1244</v>
      </c>
      <c r="B682" t="s">
        <v>342</v>
      </c>
      <c r="C682" t="s">
        <v>62</v>
      </c>
      <c r="D682" t="s">
        <v>53</v>
      </c>
      <c r="E682" t="s">
        <v>84</v>
      </c>
      <c r="F682" t="s">
        <v>85</v>
      </c>
      <c r="G682" t="s">
        <v>176</v>
      </c>
      <c r="H682">
        <v>272</v>
      </c>
      <c r="I682">
        <v>30</v>
      </c>
      <c r="J682">
        <v>50</v>
      </c>
      <c r="K682" t="s">
        <v>29</v>
      </c>
      <c r="L682">
        <v>58</v>
      </c>
      <c r="M682" t="s">
        <v>21</v>
      </c>
    </row>
    <row r="683" spans="1:13" x14ac:dyDescent="0.35">
      <c r="A683" t="s">
        <v>1245</v>
      </c>
      <c r="B683" t="s">
        <v>189</v>
      </c>
      <c r="C683" t="s">
        <v>403</v>
      </c>
      <c r="D683" t="s">
        <v>46</v>
      </c>
      <c r="E683" t="s">
        <v>47</v>
      </c>
      <c r="F683" t="s">
        <v>48</v>
      </c>
      <c r="G683" t="s">
        <v>35</v>
      </c>
      <c r="H683">
        <v>334</v>
      </c>
      <c r="I683">
        <v>50</v>
      </c>
      <c r="J683">
        <v>0</v>
      </c>
      <c r="K683" t="s">
        <v>36</v>
      </c>
      <c r="L683">
        <v>58</v>
      </c>
      <c r="M683" t="s">
        <v>21</v>
      </c>
    </row>
    <row r="684" spans="1:13" x14ac:dyDescent="0.35">
      <c r="A684" t="s">
        <v>1246</v>
      </c>
      <c r="B684" t="s">
        <v>247</v>
      </c>
      <c r="C684" t="s">
        <v>1247</v>
      </c>
      <c r="D684" t="s">
        <v>16</v>
      </c>
      <c r="E684" t="s">
        <v>131</v>
      </c>
      <c r="F684" t="s">
        <v>55</v>
      </c>
      <c r="G684" t="s">
        <v>35</v>
      </c>
      <c r="H684">
        <v>425</v>
      </c>
      <c r="I684">
        <v>30</v>
      </c>
      <c r="J684">
        <v>30</v>
      </c>
      <c r="K684" t="s">
        <v>29</v>
      </c>
      <c r="L684">
        <v>26</v>
      </c>
      <c r="M684" t="s">
        <v>30</v>
      </c>
    </row>
    <row r="685" spans="1:13" x14ac:dyDescent="0.35">
      <c r="A685" t="s">
        <v>1248</v>
      </c>
      <c r="B685" t="s">
        <v>247</v>
      </c>
      <c r="C685" t="s">
        <v>1204</v>
      </c>
      <c r="D685" t="s">
        <v>16</v>
      </c>
      <c r="E685" t="s">
        <v>131</v>
      </c>
      <c r="F685" t="s">
        <v>55</v>
      </c>
      <c r="G685" t="s">
        <v>74</v>
      </c>
      <c r="H685">
        <v>469</v>
      </c>
      <c r="I685">
        <v>30</v>
      </c>
      <c r="J685">
        <v>100</v>
      </c>
      <c r="K685" t="s">
        <v>20</v>
      </c>
      <c r="L685">
        <v>58</v>
      </c>
      <c r="M685" t="s">
        <v>30</v>
      </c>
    </row>
    <row r="686" spans="1:13" x14ac:dyDescent="0.35">
      <c r="A686" t="s">
        <v>1249</v>
      </c>
      <c r="B686" t="s">
        <v>476</v>
      </c>
      <c r="C686" t="s">
        <v>1250</v>
      </c>
      <c r="D686" t="s">
        <v>40</v>
      </c>
      <c r="E686" t="s">
        <v>111</v>
      </c>
      <c r="F686" t="s">
        <v>18</v>
      </c>
      <c r="G686" t="s">
        <v>74</v>
      </c>
      <c r="H686">
        <v>225</v>
      </c>
      <c r="I686">
        <v>30</v>
      </c>
      <c r="J686">
        <v>0</v>
      </c>
      <c r="K686" t="s">
        <v>20</v>
      </c>
      <c r="L686">
        <v>56</v>
      </c>
      <c r="M686" t="s">
        <v>21</v>
      </c>
    </row>
    <row r="687" spans="1:13" x14ac:dyDescent="0.35">
      <c r="A687" t="s">
        <v>1251</v>
      </c>
      <c r="B687" t="s">
        <v>454</v>
      </c>
      <c r="C687" t="s">
        <v>373</v>
      </c>
      <c r="D687" t="s">
        <v>53</v>
      </c>
      <c r="E687" t="s">
        <v>54</v>
      </c>
      <c r="F687" t="s">
        <v>55</v>
      </c>
      <c r="G687" t="s">
        <v>74</v>
      </c>
      <c r="H687">
        <v>448</v>
      </c>
      <c r="I687">
        <v>50</v>
      </c>
      <c r="J687">
        <v>20</v>
      </c>
      <c r="K687" t="s">
        <v>29</v>
      </c>
      <c r="L687">
        <v>46</v>
      </c>
      <c r="M687" t="s">
        <v>21</v>
      </c>
    </row>
    <row r="688" spans="1:13" x14ac:dyDescent="0.35">
      <c r="A688" t="s">
        <v>1252</v>
      </c>
      <c r="B688" t="s">
        <v>154</v>
      </c>
      <c r="C688" t="s">
        <v>353</v>
      </c>
      <c r="D688" t="s">
        <v>25</v>
      </c>
      <c r="E688" t="s">
        <v>34</v>
      </c>
      <c r="F688" t="s">
        <v>27</v>
      </c>
      <c r="G688" t="s">
        <v>107</v>
      </c>
      <c r="H688">
        <v>506</v>
      </c>
      <c r="I688">
        <v>50</v>
      </c>
      <c r="J688">
        <v>100</v>
      </c>
      <c r="K688" t="s">
        <v>29</v>
      </c>
      <c r="L688">
        <v>33</v>
      </c>
      <c r="M688" t="s">
        <v>21</v>
      </c>
    </row>
    <row r="689" spans="1:13" x14ac:dyDescent="0.35">
      <c r="A689" t="s">
        <v>1253</v>
      </c>
      <c r="B689" t="s">
        <v>267</v>
      </c>
      <c r="C689" t="s">
        <v>1254</v>
      </c>
      <c r="D689" t="s">
        <v>16</v>
      </c>
      <c r="E689" t="s">
        <v>89</v>
      </c>
      <c r="F689" t="s">
        <v>18</v>
      </c>
      <c r="G689" t="s">
        <v>42</v>
      </c>
      <c r="H689">
        <v>180</v>
      </c>
      <c r="I689">
        <v>40</v>
      </c>
      <c r="J689">
        <v>20</v>
      </c>
      <c r="K689" t="s">
        <v>29</v>
      </c>
      <c r="L689">
        <v>43</v>
      </c>
      <c r="M689" t="s">
        <v>30</v>
      </c>
    </row>
    <row r="690" spans="1:13" x14ac:dyDescent="0.35">
      <c r="A690" t="s">
        <v>1255</v>
      </c>
      <c r="B690" t="s">
        <v>80</v>
      </c>
      <c r="C690" t="s">
        <v>1256</v>
      </c>
      <c r="D690" t="s">
        <v>25</v>
      </c>
      <c r="E690" t="s">
        <v>78</v>
      </c>
      <c r="F690" t="s">
        <v>48</v>
      </c>
      <c r="G690" t="s">
        <v>74</v>
      </c>
      <c r="H690">
        <v>307</v>
      </c>
      <c r="I690">
        <v>30</v>
      </c>
      <c r="J690">
        <v>50</v>
      </c>
      <c r="K690" t="s">
        <v>20</v>
      </c>
      <c r="L690">
        <v>20</v>
      </c>
      <c r="M690" t="s">
        <v>21</v>
      </c>
    </row>
    <row r="691" spans="1:13" x14ac:dyDescent="0.35">
      <c r="A691" t="s">
        <v>1257</v>
      </c>
      <c r="B691" t="s">
        <v>449</v>
      </c>
      <c r="C691" t="s">
        <v>886</v>
      </c>
      <c r="D691" t="s">
        <v>53</v>
      </c>
      <c r="E691" t="s">
        <v>152</v>
      </c>
      <c r="F691" t="s">
        <v>18</v>
      </c>
      <c r="G691" t="s">
        <v>74</v>
      </c>
      <c r="H691">
        <v>767</v>
      </c>
      <c r="I691">
        <v>40</v>
      </c>
      <c r="J691">
        <v>20</v>
      </c>
      <c r="K691" t="s">
        <v>29</v>
      </c>
      <c r="L691">
        <v>43</v>
      </c>
      <c r="M691" t="s">
        <v>21</v>
      </c>
    </row>
    <row r="692" spans="1:13" x14ac:dyDescent="0.35">
      <c r="A692" t="s">
        <v>1258</v>
      </c>
      <c r="B692" t="s">
        <v>207</v>
      </c>
      <c r="C692" t="s">
        <v>928</v>
      </c>
      <c r="D692" t="s">
        <v>16</v>
      </c>
      <c r="E692" t="s">
        <v>89</v>
      </c>
      <c r="F692" t="s">
        <v>18</v>
      </c>
      <c r="G692" t="s">
        <v>176</v>
      </c>
      <c r="H692">
        <v>608</v>
      </c>
      <c r="I692">
        <v>50</v>
      </c>
      <c r="J692">
        <v>50</v>
      </c>
      <c r="K692" t="s">
        <v>29</v>
      </c>
      <c r="L692">
        <v>32</v>
      </c>
      <c r="M692" t="s">
        <v>30</v>
      </c>
    </row>
    <row r="693" spans="1:13" x14ac:dyDescent="0.35">
      <c r="A693" t="s">
        <v>1259</v>
      </c>
      <c r="B693" t="s">
        <v>61</v>
      </c>
      <c r="C693" t="s">
        <v>363</v>
      </c>
      <c r="D693" t="s">
        <v>25</v>
      </c>
      <c r="E693" t="s">
        <v>78</v>
      </c>
      <c r="F693" t="s">
        <v>48</v>
      </c>
      <c r="G693" t="s">
        <v>49</v>
      </c>
      <c r="H693">
        <v>285</v>
      </c>
      <c r="I693">
        <v>20</v>
      </c>
      <c r="J693">
        <v>0</v>
      </c>
      <c r="K693" t="s">
        <v>29</v>
      </c>
      <c r="L693">
        <v>52</v>
      </c>
      <c r="M693" t="s">
        <v>21</v>
      </c>
    </row>
    <row r="694" spans="1:13" x14ac:dyDescent="0.35">
      <c r="A694" t="s">
        <v>1260</v>
      </c>
      <c r="B694" t="s">
        <v>23</v>
      </c>
      <c r="C694" t="s">
        <v>289</v>
      </c>
      <c r="D694" t="s">
        <v>25</v>
      </c>
      <c r="E694" t="s">
        <v>26</v>
      </c>
      <c r="F694" t="s">
        <v>27</v>
      </c>
      <c r="G694" t="s">
        <v>59</v>
      </c>
      <c r="H694">
        <v>527</v>
      </c>
      <c r="I694">
        <v>40</v>
      </c>
      <c r="J694">
        <v>50</v>
      </c>
      <c r="K694" t="s">
        <v>29</v>
      </c>
      <c r="L694">
        <v>22</v>
      </c>
      <c r="M694" t="s">
        <v>21</v>
      </c>
    </row>
    <row r="695" spans="1:13" x14ac:dyDescent="0.35">
      <c r="A695" t="s">
        <v>1261</v>
      </c>
      <c r="B695" t="s">
        <v>368</v>
      </c>
      <c r="C695" t="s">
        <v>608</v>
      </c>
      <c r="D695" t="s">
        <v>16</v>
      </c>
      <c r="E695" t="s">
        <v>17</v>
      </c>
      <c r="F695" t="s">
        <v>18</v>
      </c>
      <c r="G695" t="s">
        <v>59</v>
      </c>
      <c r="H695">
        <v>534</v>
      </c>
      <c r="I695">
        <v>50</v>
      </c>
      <c r="J695">
        <v>0</v>
      </c>
      <c r="K695" t="s">
        <v>29</v>
      </c>
      <c r="L695">
        <v>51</v>
      </c>
      <c r="M695" t="s">
        <v>21</v>
      </c>
    </row>
    <row r="696" spans="1:13" x14ac:dyDescent="0.35">
      <c r="A696" t="s">
        <v>1262</v>
      </c>
      <c r="B696" t="s">
        <v>199</v>
      </c>
      <c r="C696" t="s">
        <v>692</v>
      </c>
      <c r="D696" t="s">
        <v>25</v>
      </c>
      <c r="E696" t="s">
        <v>26</v>
      </c>
      <c r="F696" t="s">
        <v>27</v>
      </c>
      <c r="G696" t="s">
        <v>176</v>
      </c>
      <c r="H696">
        <v>191</v>
      </c>
      <c r="I696">
        <v>20</v>
      </c>
      <c r="J696">
        <v>20</v>
      </c>
      <c r="K696" t="s">
        <v>36</v>
      </c>
      <c r="L696">
        <v>25</v>
      </c>
      <c r="M696" t="s">
        <v>21</v>
      </c>
    </row>
    <row r="697" spans="1:13" x14ac:dyDescent="0.35">
      <c r="A697" t="s">
        <v>1263</v>
      </c>
      <c r="B697" t="s">
        <v>189</v>
      </c>
      <c r="C697" t="s">
        <v>1264</v>
      </c>
      <c r="D697" t="s">
        <v>46</v>
      </c>
      <c r="E697" t="s">
        <v>47</v>
      </c>
      <c r="F697" t="s">
        <v>48</v>
      </c>
      <c r="G697" t="s">
        <v>28</v>
      </c>
      <c r="H697">
        <v>261</v>
      </c>
      <c r="I697">
        <v>20</v>
      </c>
      <c r="J697">
        <v>30</v>
      </c>
      <c r="K697" t="s">
        <v>36</v>
      </c>
      <c r="L697">
        <v>48</v>
      </c>
      <c r="M697" t="s">
        <v>21</v>
      </c>
    </row>
    <row r="698" spans="1:13" x14ac:dyDescent="0.35">
      <c r="A698" t="s">
        <v>1265</v>
      </c>
      <c r="B698" t="s">
        <v>244</v>
      </c>
      <c r="C698" t="s">
        <v>907</v>
      </c>
      <c r="D698" t="s">
        <v>40</v>
      </c>
      <c r="E698" t="s">
        <v>41</v>
      </c>
      <c r="F698" t="s">
        <v>27</v>
      </c>
      <c r="G698" t="s">
        <v>42</v>
      </c>
      <c r="H698">
        <v>422</v>
      </c>
      <c r="I698">
        <v>30</v>
      </c>
      <c r="J698">
        <v>0</v>
      </c>
      <c r="K698" t="s">
        <v>20</v>
      </c>
      <c r="L698">
        <v>51</v>
      </c>
      <c r="M698" t="s">
        <v>21</v>
      </c>
    </row>
    <row r="699" spans="1:13" x14ac:dyDescent="0.35">
      <c r="A699" t="s">
        <v>1266</v>
      </c>
      <c r="B699" t="s">
        <v>398</v>
      </c>
      <c r="C699" t="s">
        <v>1267</v>
      </c>
      <c r="D699" t="s">
        <v>16</v>
      </c>
      <c r="E699" t="s">
        <v>17</v>
      </c>
      <c r="F699" t="s">
        <v>18</v>
      </c>
      <c r="G699" t="s">
        <v>35</v>
      </c>
      <c r="H699">
        <v>512</v>
      </c>
      <c r="I699">
        <v>40</v>
      </c>
      <c r="J699">
        <v>30</v>
      </c>
      <c r="K699" t="s">
        <v>36</v>
      </c>
      <c r="L699">
        <v>59</v>
      </c>
      <c r="M699" t="s">
        <v>21</v>
      </c>
    </row>
    <row r="700" spans="1:13" x14ac:dyDescent="0.35">
      <c r="A700" t="s">
        <v>1268</v>
      </c>
      <c r="B700" t="s">
        <v>223</v>
      </c>
      <c r="C700" t="s">
        <v>1269</v>
      </c>
      <c r="D700" t="s">
        <v>16</v>
      </c>
      <c r="E700" t="s">
        <v>89</v>
      </c>
      <c r="F700" t="s">
        <v>18</v>
      </c>
      <c r="G700" t="s">
        <v>35</v>
      </c>
      <c r="H700">
        <v>616</v>
      </c>
      <c r="I700">
        <v>40</v>
      </c>
      <c r="J700">
        <v>30</v>
      </c>
      <c r="K700" t="s">
        <v>29</v>
      </c>
      <c r="L700">
        <v>45</v>
      </c>
      <c r="M700" t="s">
        <v>21</v>
      </c>
    </row>
    <row r="701" spans="1:13" x14ac:dyDescent="0.35">
      <c r="A701" t="s">
        <v>1270</v>
      </c>
      <c r="B701" t="s">
        <v>146</v>
      </c>
      <c r="C701" t="s">
        <v>1271</v>
      </c>
      <c r="D701" t="s">
        <v>53</v>
      </c>
      <c r="E701" t="s">
        <v>152</v>
      </c>
      <c r="F701" t="s">
        <v>18</v>
      </c>
      <c r="G701" t="s">
        <v>176</v>
      </c>
      <c r="H701">
        <v>524</v>
      </c>
      <c r="I701">
        <v>40</v>
      </c>
      <c r="J701">
        <v>20</v>
      </c>
      <c r="K701" t="s">
        <v>29</v>
      </c>
      <c r="L701">
        <v>51</v>
      </c>
      <c r="M701" t="s">
        <v>21</v>
      </c>
    </row>
    <row r="702" spans="1:13" x14ac:dyDescent="0.35">
      <c r="A702" t="s">
        <v>1272</v>
      </c>
      <c r="B702" t="s">
        <v>96</v>
      </c>
      <c r="C702" t="s">
        <v>1273</v>
      </c>
      <c r="D702" t="s">
        <v>53</v>
      </c>
      <c r="E702" t="s">
        <v>54</v>
      </c>
      <c r="F702" t="s">
        <v>55</v>
      </c>
      <c r="G702" t="s">
        <v>42</v>
      </c>
      <c r="H702">
        <v>154</v>
      </c>
      <c r="I702">
        <v>50</v>
      </c>
      <c r="J702">
        <v>0</v>
      </c>
      <c r="K702" t="s">
        <v>29</v>
      </c>
      <c r="L702">
        <v>25</v>
      </c>
      <c r="M702" t="s">
        <v>21</v>
      </c>
    </row>
    <row r="703" spans="1:13" x14ac:dyDescent="0.35">
      <c r="A703" t="s">
        <v>1274</v>
      </c>
      <c r="B703" t="s">
        <v>167</v>
      </c>
      <c r="C703" t="s">
        <v>1275</v>
      </c>
      <c r="D703" t="s">
        <v>40</v>
      </c>
      <c r="E703" t="s">
        <v>67</v>
      </c>
      <c r="F703" t="s">
        <v>48</v>
      </c>
      <c r="G703" t="s">
        <v>176</v>
      </c>
      <c r="H703">
        <v>342</v>
      </c>
      <c r="I703">
        <v>30</v>
      </c>
      <c r="J703">
        <v>30</v>
      </c>
      <c r="K703" t="s">
        <v>36</v>
      </c>
      <c r="L703">
        <v>26</v>
      </c>
      <c r="M703" t="s">
        <v>21</v>
      </c>
    </row>
    <row r="704" spans="1:13" x14ac:dyDescent="0.35">
      <c r="A704" t="s">
        <v>1276</v>
      </c>
      <c r="B704" t="s">
        <v>280</v>
      </c>
      <c r="C704" t="s">
        <v>708</v>
      </c>
      <c r="D704" t="s">
        <v>16</v>
      </c>
      <c r="E704" t="s">
        <v>17</v>
      </c>
      <c r="F704" t="s">
        <v>18</v>
      </c>
      <c r="G704" t="s">
        <v>63</v>
      </c>
      <c r="H704">
        <v>192</v>
      </c>
      <c r="I704">
        <v>30</v>
      </c>
      <c r="J704">
        <v>30</v>
      </c>
      <c r="K704" t="s">
        <v>29</v>
      </c>
      <c r="L704">
        <v>59</v>
      </c>
      <c r="M704" t="s">
        <v>21</v>
      </c>
    </row>
    <row r="705" spans="1:13" x14ac:dyDescent="0.35">
      <c r="A705" t="s">
        <v>1277</v>
      </c>
      <c r="B705" t="s">
        <v>105</v>
      </c>
      <c r="C705" t="s">
        <v>1168</v>
      </c>
      <c r="D705" t="s">
        <v>53</v>
      </c>
      <c r="E705" t="s">
        <v>54</v>
      </c>
      <c r="F705" t="s">
        <v>55</v>
      </c>
      <c r="G705" t="s">
        <v>59</v>
      </c>
      <c r="H705">
        <v>692</v>
      </c>
      <c r="I705">
        <v>40</v>
      </c>
      <c r="J705">
        <v>30</v>
      </c>
      <c r="K705" t="s">
        <v>20</v>
      </c>
      <c r="L705">
        <v>38</v>
      </c>
      <c r="M705" t="s">
        <v>21</v>
      </c>
    </row>
    <row r="706" spans="1:13" x14ac:dyDescent="0.35">
      <c r="A706" t="s">
        <v>1278</v>
      </c>
      <c r="B706" t="s">
        <v>174</v>
      </c>
      <c r="C706" t="s">
        <v>700</v>
      </c>
      <c r="D706" t="s">
        <v>25</v>
      </c>
      <c r="E706" t="s">
        <v>26</v>
      </c>
      <c r="F706" t="s">
        <v>27</v>
      </c>
      <c r="G706" t="s">
        <v>19</v>
      </c>
      <c r="H706">
        <v>439</v>
      </c>
      <c r="I706">
        <v>30</v>
      </c>
      <c r="J706">
        <v>30</v>
      </c>
      <c r="K706" t="s">
        <v>29</v>
      </c>
      <c r="L706">
        <v>47</v>
      </c>
      <c r="M706" t="s">
        <v>21</v>
      </c>
    </row>
    <row r="707" spans="1:13" x14ac:dyDescent="0.35">
      <c r="A707" t="s">
        <v>1279</v>
      </c>
      <c r="B707" t="s">
        <v>223</v>
      </c>
      <c r="C707" t="s">
        <v>1280</v>
      </c>
      <c r="D707" t="s">
        <v>40</v>
      </c>
      <c r="E707" t="s">
        <v>41</v>
      </c>
      <c r="F707" t="s">
        <v>27</v>
      </c>
      <c r="G707" t="s">
        <v>74</v>
      </c>
      <c r="H707">
        <v>186</v>
      </c>
      <c r="I707">
        <v>20</v>
      </c>
      <c r="J707">
        <v>30</v>
      </c>
      <c r="K707" t="s">
        <v>36</v>
      </c>
      <c r="L707">
        <v>38</v>
      </c>
      <c r="M707" t="s">
        <v>21</v>
      </c>
    </row>
    <row r="708" spans="1:13" x14ac:dyDescent="0.35">
      <c r="A708" t="s">
        <v>1281</v>
      </c>
      <c r="B708" t="s">
        <v>379</v>
      </c>
      <c r="C708" t="s">
        <v>1073</v>
      </c>
      <c r="D708" t="s">
        <v>46</v>
      </c>
      <c r="E708" t="s">
        <v>47</v>
      </c>
      <c r="F708" t="s">
        <v>48</v>
      </c>
      <c r="G708" t="s">
        <v>74</v>
      </c>
      <c r="H708">
        <v>697</v>
      </c>
      <c r="I708">
        <v>50</v>
      </c>
      <c r="J708">
        <v>50</v>
      </c>
      <c r="K708" t="s">
        <v>20</v>
      </c>
      <c r="L708">
        <v>57</v>
      </c>
      <c r="M708" t="s">
        <v>21</v>
      </c>
    </row>
    <row r="709" spans="1:13" x14ac:dyDescent="0.35">
      <c r="A709" t="s">
        <v>1282</v>
      </c>
      <c r="B709" t="s">
        <v>61</v>
      </c>
      <c r="C709" t="s">
        <v>179</v>
      </c>
      <c r="D709" t="s">
        <v>40</v>
      </c>
      <c r="E709" t="s">
        <v>41</v>
      </c>
      <c r="F709" t="s">
        <v>27</v>
      </c>
      <c r="G709" t="s">
        <v>63</v>
      </c>
      <c r="H709">
        <v>755</v>
      </c>
      <c r="I709">
        <v>20</v>
      </c>
      <c r="J709">
        <v>20</v>
      </c>
      <c r="K709" t="s">
        <v>36</v>
      </c>
      <c r="L709">
        <v>45</v>
      </c>
      <c r="M709" t="s">
        <v>21</v>
      </c>
    </row>
    <row r="710" spans="1:13" x14ac:dyDescent="0.35">
      <c r="A710" t="s">
        <v>1283</v>
      </c>
      <c r="B710" t="s">
        <v>167</v>
      </c>
      <c r="C710" t="s">
        <v>808</v>
      </c>
      <c r="D710" t="s">
        <v>46</v>
      </c>
      <c r="E710" t="s">
        <v>70</v>
      </c>
      <c r="F710" t="s">
        <v>18</v>
      </c>
      <c r="G710" t="s">
        <v>28</v>
      </c>
      <c r="H710">
        <v>383</v>
      </c>
      <c r="I710">
        <v>20</v>
      </c>
      <c r="J710">
        <v>20</v>
      </c>
      <c r="K710" t="s">
        <v>36</v>
      </c>
      <c r="L710">
        <v>58</v>
      </c>
      <c r="M710" t="s">
        <v>21</v>
      </c>
    </row>
    <row r="711" spans="1:13" x14ac:dyDescent="0.35">
      <c r="A711" t="s">
        <v>1284</v>
      </c>
      <c r="B711" t="s">
        <v>72</v>
      </c>
      <c r="C711" t="s">
        <v>73</v>
      </c>
      <c r="D711" t="s">
        <v>16</v>
      </c>
      <c r="E711" t="s">
        <v>131</v>
      </c>
      <c r="F711" t="s">
        <v>55</v>
      </c>
      <c r="G711" t="s">
        <v>35</v>
      </c>
      <c r="H711">
        <v>293</v>
      </c>
      <c r="I711">
        <v>30</v>
      </c>
      <c r="J711">
        <v>100</v>
      </c>
      <c r="K711" t="s">
        <v>36</v>
      </c>
      <c r="L711">
        <v>25</v>
      </c>
      <c r="M711" t="s">
        <v>21</v>
      </c>
    </row>
    <row r="712" spans="1:13" x14ac:dyDescent="0.35">
      <c r="A712" t="s">
        <v>1285</v>
      </c>
      <c r="B712" t="s">
        <v>213</v>
      </c>
      <c r="C712" t="s">
        <v>116</v>
      </c>
      <c r="D712" t="s">
        <v>53</v>
      </c>
      <c r="E712" t="s">
        <v>152</v>
      </c>
      <c r="F712" t="s">
        <v>18</v>
      </c>
      <c r="G712" t="s">
        <v>42</v>
      </c>
      <c r="H712">
        <v>184</v>
      </c>
      <c r="I712">
        <v>30</v>
      </c>
      <c r="J712">
        <v>20</v>
      </c>
      <c r="K712" t="s">
        <v>36</v>
      </c>
      <c r="L712">
        <v>28</v>
      </c>
      <c r="M712" t="s">
        <v>21</v>
      </c>
    </row>
    <row r="713" spans="1:13" x14ac:dyDescent="0.35">
      <c r="A713" t="s">
        <v>1286</v>
      </c>
      <c r="B713" t="s">
        <v>476</v>
      </c>
      <c r="C713" t="s">
        <v>255</v>
      </c>
      <c r="D713" t="s">
        <v>46</v>
      </c>
      <c r="E713" t="s">
        <v>47</v>
      </c>
      <c r="F713" t="s">
        <v>48</v>
      </c>
      <c r="G713" t="s">
        <v>49</v>
      </c>
      <c r="H713">
        <v>506</v>
      </c>
      <c r="I713">
        <v>50</v>
      </c>
      <c r="J713">
        <v>50</v>
      </c>
      <c r="K713" t="s">
        <v>20</v>
      </c>
      <c r="L713">
        <v>37</v>
      </c>
      <c r="M713" t="s">
        <v>21</v>
      </c>
    </row>
    <row r="714" spans="1:13" x14ac:dyDescent="0.35">
      <c r="A714" t="s">
        <v>1287</v>
      </c>
      <c r="B714" t="s">
        <v>526</v>
      </c>
      <c r="C714" t="s">
        <v>219</v>
      </c>
      <c r="D714" t="s">
        <v>40</v>
      </c>
      <c r="E714" t="s">
        <v>111</v>
      </c>
      <c r="F714" t="s">
        <v>18</v>
      </c>
      <c r="G714" t="s">
        <v>176</v>
      </c>
      <c r="H714">
        <v>687</v>
      </c>
      <c r="I714">
        <v>30</v>
      </c>
      <c r="J714">
        <v>30</v>
      </c>
      <c r="K714" t="s">
        <v>20</v>
      </c>
      <c r="L714">
        <v>49</v>
      </c>
      <c r="M714" t="s">
        <v>21</v>
      </c>
    </row>
    <row r="715" spans="1:13" x14ac:dyDescent="0.35">
      <c r="A715" t="s">
        <v>1288</v>
      </c>
      <c r="B715" t="s">
        <v>126</v>
      </c>
      <c r="C715" t="s">
        <v>745</v>
      </c>
      <c r="D715" t="s">
        <v>25</v>
      </c>
      <c r="E715" t="s">
        <v>26</v>
      </c>
      <c r="F715" t="s">
        <v>27</v>
      </c>
      <c r="G715" t="s">
        <v>176</v>
      </c>
      <c r="H715">
        <v>732</v>
      </c>
      <c r="I715">
        <v>40</v>
      </c>
      <c r="J715">
        <v>50</v>
      </c>
      <c r="K715" t="s">
        <v>20</v>
      </c>
      <c r="L715">
        <v>21</v>
      </c>
      <c r="M715" t="s">
        <v>21</v>
      </c>
    </row>
    <row r="716" spans="1:13" x14ac:dyDescent="0.35">
      <c r="A716" t="s">
        <v>1289</v>
      </c>
      <c r="B716" t="s">
        <v>192</v>
      </c>
      <c r="C716" t="s">
        <v>1290</v>
      </c>
      <c r="D716" t="s">
        <v>16</v>
      </c>
      <c r="E716" t="s">
        <v>89</v>
      </c>
      <c r="F716" t="s">
        <v>18</v>
      </c>
      <c r="G716" t="s">
        <v>28</v>
      </c>
      <c r="H716">
        <v>591</v>
      </c>
      <c r="I716">
        <v>50</v>
      </c>
      <c r="J716">
        <v>100</v>
      </c>
      <c r="K716" t="s">
        <v>36</v>
      </c>
      <c r="L716">
        <v>55</v>
      </c>
      <c r="M716" t="s">
        <v>21</v>
      </c>
    </row>
    <row r="717" spans="1:13" x14ac:dyDescent="0.35">
      <c r="A717" t="s">
        <v>1291</v>
      </c>
      <c r="B717" t="s">
        <v>273</v>
      </c>
      <c r="C717" t="s">
        <v>77</v>
      </c>
      <c r="D717" t="s">
        <v>16</v>
      </c>
      <c r="E717" t="s">
        <v>17</v>
      </c>
      <c r="F717" t="s">
        <v>18</v>
      </c>
      <c r="G717" t="s">
        <v>42</v>
      </c>
      <c r="H717">
        <v>795</v>
      </c>
      <c r="I717">
        <v>30</v>
      </c>
      <c r="J717">
        <v>0</v>
      </c>
      <c r="K717" t="s">
        <v>20</v>
      </c>
      <c r="L717">
        <v>49</v>
      </c>
      <c r="M717" t="s">
        <v>21</v>
      </c>
    </row>
    <row r="718" spans="1:13" x14ac:dyDescent="0.35">
      <c r="A718" t="s">
        <v>1292</v>
      </c>
      <c r="B718" t="s">
        <v>568</v>
      </c>
      <c r="C718" t="s">
        <v>1194</v>
      </c>
      <c r="D718" t="s">
        <v>16</v>
      </c>
      <c r="E718" t="s">
        <v>131</v>
      </c>
      <c r="F718" t="s">
        <v>55</v>
      </c>
      <c r="G718" t="s">
        <v>19</v>
      </c>
      <c r="H718">
        <v>521</v>
      </c>
      <c r="I718">
        <v>30</v>
      </c>
      <c r="J718">
        <v>100</v>
      </c>
      <c r="K718" t="s">
        <v>29</v>
      </c>
      <c r="L718">
        <v>37</v>
      </c>
      <c r="M718" t="s">
        <v>21</v>
      </c>
    </row>
    <row r="719" spans="1:13" x14ac:dyDescent="0.35">
      <c r="A719" t="s">
        <v>1293</v>
      </c>
      <c r="B719" t="s">
        <v>146</v>
      </c>
      <c r="C719" t="s">
        <v>1199</v>
      </c>
      <c r="D719" t="s">
        <v>16</v>
      </c>
      <c r="E719" t="s">
        <v>131</v>
      </c>
      <c r="F719" t="s">
        <v>55</v>
      </c>
      <c r="G719" t="s">
        <v>63</v>
      </c>
      <c r="H719">
        <v>213</v>
      </c>
      <c r="I719">
        <v>40</v>
      </c>
      <c r="J719">
        <v>50</v>
      </c>
      <c r="K719" t="s">
        <v>20</v>
      </c>
      <c r="L719">
        <v>38</v>
      </c>
      <c r="M719" t="s">
        <v>21</v>
      </c>
    </row>
    <row r="720" spans="1:13" x14ac:dyDescent="0.35">
      <c r="A720" t="s">
        <v>1294</v>
      </c>
      <c r="B720" t="s">
        <v>398</v>
      </c>
      <c r="C720" t="s">
        <v>1295</v>
      </c>
      <c r="D720" t="s">
        <v>53</v>
      </c>
      <c r="E720" t="s">
        <v>54</v>
      </c>
      <c r="F720" t="s">
        <v>55</v>
      </c>
      <c r="G720" t="s">
        <v>19</v>
      </c>
      <c r="H720">
        <v>294</v>
      </c>
      <c r="I720">
        <v>30</v>
      </c>
      <c r="J720">
        <v>30</v>
      </c>
      <c r="K720" t="s">
        <v>29</v>
      </c>
      <c r="L720">
        <v>45</v>
      </c>
      <c r="M720" t="s">
        <v>21</v>
      </c>
    </row>
    <row r="721" spans="1:13" x14ac:dyDescent="0.35">
      <c r="A721" t="s">
        <v>1296</v>
      </c>
      <c r="B721" t="s">
        <v>291</v>
      </c>
      <c r="C721" t="s">
        <v>1297</v>
      </c>
      <c r="D721" t="s">
        <v>16</v>
      </c>
      <c r="E721" t="s">
        <v>89</v>
      </c>
      <c r="F721" t="s">
        <v>18</v>
      </c>
      <c r="G721" t="s">
        <v>74</v>
      </c>
      <c r="H721">
        <v>352</v>
      </c>
      <c r="I721">
        <v>30</v>
      </c>
      <c r="J721">
        <v>0</v>
      </c>
      <c r="K721" t="s">
        <v>20</v>
      </c>
      <c r="L721">
        <v>46</v>
      </c>
      <c r="M721" t="s">
        <v>21</v>
      </c>
    </row>
    <row r="722" spans="1:13" x14ac:dyDescent="0.35">
      <c r="A722" t="s">
        <v>1298</v>
      </c>
      <c r="B722" t="s">
        <v>297</v>
      </c>
      <c r="C722" t="s">
        <v>1241</v>
      </c>
      <c r="D722" t="s">
        <v>40</v>
      </c>
      <c r="E722" t="s">
        <v>67</v>
      </c>
      <c r="F722" t="s">
        <v>48</v>
      </c>
      <c r="G722" t="s">
        <v>49</v>
      </c>
      <c r="H722">
        <v>217</v>
      </c>
      <c r="I722">
        <v>50</v>
      </c>
      <c r="J722">
        <v>100</v>
      </c>
      <c r="K722" t="s">
        <v>36</v>
      </c>
      <c r="L722">
        <v>48</v>
      </c>
      <c r="M722" t="s">
        <v>21</v>
      </c>
    </row>
    <row r="723" spans="1:13" x14ac:dyDescent="0.35">
      <c r="A723" t="s">
        <v>1299</v>
      </c>
      <c r="B723" t="s">
        <v>562</v>
      </c>
      <c r="C723" t="s">
        <v>1300</v>
      </c>
      <c r="D723" t="s">
        <v>40</v>
      </c>
      <c r="E723" t="s">
        <v>111</v>
      </c>
      <c r="F723" t="s">
        <v>18</v>
      </c>
      <c r="G723" t="s">
        <v>63</v>
      </c>
      <c r="H723">
        <v>433</v>
      </c>
      <c r="I723">
        <v>40</v>
      </c>
      <c r="J723">
        <v>20</v>
      </c>
      <c r="K723" t="s">
        <v>36</v>
      </c>
      <c r="L723">
        <v>31</v>
      </c>
      <c r="M723" t="s">
        <v>21</v>
      </c>
    </row>
    <row r="724" spans="1:13" x14ac:dyDescent="0.35">
      <c r="A724" t="s">
        <v>1301</v>
      </c>
      <c r="B724" t="s">
        <v>65</v>
      </c>
      <c r="C724" t="s">
        <v>1067</v>
      </c>
      <c r="D724" t="s">
        <v>25</v>
      </c>
      <c r="E724" t="s">
        <v>78</v>
      </c>
      <c r="F724" t="s">
        <v>48</v>
      </c>
      <c r="G724" t="s">
        <v>63</v>
      </c>
      <c r="H724">
        <v>332</v>
      </c>
      <c r="I724">
        <v>40</v>
      </c>
      <c r="J724">
        <v>100</v>
      </c>
      <c r="K724" t="s">
        <v>20</v>
      </c>
      <c r="L724">
        <v>35</v>
      </c>
      <c r="M724" t="s">
        <v>21</v>
      </c>
    </row>
    <row r="725" spans="1:13" x14ac:dyDescent="0.35">
      <c r="A725" t="s">
        <v>1302</v>
      </c>
      <c r="B725" t="s">
        <v>65</v>
      </c>
      <c r="C725" t="s">
        <v>1303</v>
      </c>
      <c r="D725" t="s">
        <v>40</v>
      </c>
      <c r="E725" t="s">
        <v>67</v>
      </c>
      <c r="F725" t="s">
        <v>48</v>
      </c>
      <c r="G725" t="s">
        <v>59</v>
      </c>
      <c r="H725">
        <v>439</v>
      </c>
      <c r="I725">
        <v>20</v>
      </c>
      <c r="J725">
        <v>30</v>
      </c>
      <c r="K725" t="s">
        <v>36</v>
      </c>
      <c r="L725">
        <v>53</v>
      </c>
      <c r="M725" t="s">
        <v>21</v>
      </c>
    </row>
    <row r="726" spans="1:13" x14ac:dyDescent="0.35">
      <c r="A726" t="s">
        <v>1304</v>
      </c>
      <c r="B726" t="s">
        <v>38</v>
      </c>
      <c r="C726" t="s">
        <v>521</v>
      </c>
      <c r="D726" t="s">
        <v>40</v>
      </c>
      <c r="E726" t="s">
        <v>41</v>
      </c>
      <c r="F726" t="s">
        <v>27</v>
      </c>
      <c r="G726" t="s">
        <v>42</v>
      </c>
      <c r="H726">
        <v>528</v>
      </c>
      <c r="I726">
        <v>50</v>
      </c>
      <c r="J726">
        <v>20</v>
      </c>
      <c r="K726" t="s">
        <v>20</v>
      </c>
      <c r="L726">
        <v>20</v>
      </c>
      <c r="M726" t="s">
        <v>21</v>
      </c>
    </row>
    <row r="727" spans="1:13" x14ac:dyDescent="0.35">
      <c r="A727" t="s">
        <v>1305</v>
      </c>
      <c r="B727" t="s">
        <v>295</v>
      </c>
      <c r="C727" t="s">
        <v>954</v>
      </c>
      <c r="D727" t="s">
        <v>16</v>
      </c>
      <c r="E727" t="s">
        <v>131</v>
      </c>
      <c r="F727" t="s">
        <v>55</v>
      </c>
      <c r="G727" t="s">
        <v>176</v>
      </c>
      <c r="H727">
        <v>662</v>
      </c>
      <c r="I727">
        <v>40</v>
      </c>
      <c r="J727">
        <v>20</v>
      </c>
      <c r="K727" t="s">
        <v>20</v>
      </c>
      <c r="L727">
        <v>21</v>
      </c>
      <c r="M727" t="s">
        <v>21</v>
      </c>
    </row>
    <row r="728" spans="1:13" x14ac:dyDescent="0.35">
      <c r="A728" t="s">
        <v>1306</v>
      </c>
      <c r="B728" t="s">
        <v>113</v>
      </c>
      <c r="C728" t="s">
        <v>1031</v>
      </c>
      <c r="D728" t="s">
        <v>16</v>
      </c>
      <c r="E728" t="s">
        <v>89</v>
      </c>
      <c r="F728" t="s">
        <v>18</v>
      </c>
      <c r="G728" t="s">
        <v>63</v>
      </c>
      <c r="H728">
        <v>652</v>
      </c>
      <c r="I728">
        <v>40</v>
      </c>
      <c r="J728">
        <v>30</v>
      </c>
      <c r="K728" t="s">
        <v>20</v>
      </c>
      <c r="L728">
        <v>50</v>
      </c>
      <c r="M728" t="s">
        <v>21</v>
      </c>
    </row>
    <row r="729" spans="1:13" x14ac:dyDescent="0.35">
      <c r="A729" t="s">
        <v>1307</v>
      </c>
      <c r="B729" t="s">
        <v>562</v>
      </c>
      <c r="C729" t="s">
        <v>1016</v>
      </c>
      <c r="D729" t="s">
        <v>40</v>
      </c>
      <c r="E729" t="s">
        <v>67</v>
      </c>
      <c r="F729" t="s">
        <v>48</v>
      </c>
      <c r="G729" t="s">
        <v>74</v>
      </c>
      <c r="H729">
        <v>755</v>
      </c>
      <c r="I729">
        <v>20</v>
      </c>
      <c r="J729">
        <v>0</v>
      </c>
      <c r="K729" t="s">
        <v>36</v>
      </c>
      <c r="L729">
        <v>53</v>
      </c>
      <c r="M729" t="s">
        <v>21</v>
      </c>
    </row>
    <row r="730" spans="1:13" x14ac:dyDescent="0.35">
      <c r="A730" t="s">
        <v>1308</v>
      </c>
      <c r="B730" t="s">
        <v>310</v>
      </c>
      <c r="C730" t="s">
        <v>1309</v>
      </c>
      <c r="D730" t="s">
        <v>46</v>
      </c>
      <c r="E730" t="s">
        <v>47</v>
      </c>
      <c r="F730" t="s">
        <v>48</v>
      </c>
      <c r="G730" t="s">
        <v>63</v>
      </c>
      <c r="H730">
        <v>702</v>
      </c>
      <c r="I730">
        <v>50</v>
      </c>
      <c r="J730">
        <v>50</v>
      </c>
      <c r="K730" t="s">
        <v>29</v>
      </c>
      <c r="L730">
        <v>52</v>
      </c>
      <c r="M730" t="s">
        <v>21</v>
      </c>
    </row>
    <row r="731" spans="1:13" x14ac:dyDescent="0.35">
      <c r="A731" t="s">
        <v>1310</v>
      </c>
      <c r="B731" t="s">
        <v>69</v>
      </c>
      <c r="C731" t="s">
        <v>1311</v>
      </c>
      <c r="D731" t="s">
        <v>53</v>
      </c>
      <c r="E731" t="s">
        <v>54</v>
      </c>
      <c r="F731" t="s">
        <v>55</v>
      </c>
      <c r="G731" t="s">
        <v>59</v>
      </c>
      <c r="H731">
        <v>571</v>
      </c>
      <c r="I731">
        <v>40</v>
      </c>
      <c r="J731">
        <v>100</v>
      </c>
      <c r="K731" t="s">
        <v>36</v>
      </c>
      <c r="L731">
        <v>26</v>
      </c>
      <c r="M731" t="s">
        <v>21</v>
      </c>
    </row>
    <row r="732" spans="1:13" x14ac:dyDescent="0.35">
      <c r="A732" t="s">
        <v>1312</v>
      </c>
      <c r="B732" t="s">
        <v>541</v>
      </c>
      <c r="C732" t="s">
        <v>1313</v>
      </c>
      <c r="D732" t="s">
        <v>40</v>
      </c>
      <c r="E732" t="s">
        <v>67</v>
      </c>
      <c r="F732" t="s">
        <v>48</v>
      </c>
      <c r="G732" t="s">
        <v>59</v>
      </c>
      <c r="H732">
        <v>576</v>
      </c>
      <c r="I732">
        <v>40</v>
      </c>
      <c r="J732">
        <v>20</v>
      </c>
      <c r="K732" t="s">
        <v>20</v>
      </c>
      <c r="L732">
        <v>51</v>
      </c>
      <c r="M732" t="s">
        <v>21</v>
      </c>
    </row>
    <row r="733" spans="1:13" x14ac:dyDescent="0.35">
      <c r="A733" t="s">
        <v>1314</v>
      </c>
      <c r="B733" t="s">
        <v>14</v>
      </c>
      <c r="C733" t="s">
        <v>1126</v>
      </c>
      <c r="D733" t="s">
        <v>25</v>
      </c>
      <c r="E733" t="s">
        <v>78</v>
      </c>
      <c r="F733" t="s">
        <v>48</v>
      </c>
      <c r="G733" t="s">
        <v>42</v>
      </c>
      <c r="H733">
        <v>376</v>
      </c>
      <c r="I733">
        <v>40</v>
      </c>
      <c r="J733">
        <v>0</v>
      </c>
      <c r="K733" t="s">
        <v>29</v>
      </c>
      <c r="L733">
        <v>32</v>
      </c>
      <c r="M733" t="s">
        <v>21</v>
      </c>
    </row>
    <row r="734" spans="1:13" x14ac:dyDescent="0.35">
      <c r="A734" t="s">
        <v>1315</v>
      </c>
      <c r="B734" t="s">
        <v>213</v>
      </c>
      <c r="C734" t="s">
        <v>767</v>
      </c>
      <c r="D734" t="s">
        <v>25</v>
      </c>
      <c r="E734" t="s">
        <v>26</v>
      </c>
      <c r="F734" t="s">
        <v>27</v>
      </c>
      <c r="G734" t="s">
        <v>74</v>
      </c>
      <c r="H734">
        <v>554</v>
      </c>
      <c r="I734">
        <v>30</v>
      </c>
      <c r="J734">
        <v>0</v>
      </c>
      <c r="K734" t="s">
        <v>20</v>
      </c>
      <c r="L734">
        <v>25</v>
      </c>
      <c r="M734" t="s">
        <v>21</v>
      </c>
    </row>
    <row r="735" spans="1:13" x14ac:dyDescent="0.35">
      <c r="A735" t="s">
        <v>1316</v>
      </c>
      <c r="B735" t="s">
        <v>300</v>
      </c>
      <c r="C735" t="s">
        <v>533</v>
      </c>
      <c r="D735" t="s">
        <v>25</v>
      </c>
      <c r="E735" t="s">
        <v>34</v>
      </c>
      <c r="F735" t="s">
        <v>27</v>
      </c>
      <c r="G735" t="s">
        <v>42</v>
      </c>
      <c r="H735">
        <v>409</v>
      </c>
      <c r="I735">
        <v>40</v>
      </c>
      <c r="J735">
        <v>0</v>
      </c>
      <c r="K735" t="s">
        <v>29</v>
      </c>
      <c r="L735">
        <v>26</v>
      </c>
      <c r="M735" t="s">
        <v>21</v>
      </c>
    </row>
    <row r="736" spans="1:13" x14ac:dyDescent="0.35">
      <c r="A736" t="s">
        <v>1317</v>
      </c>
      <c r="B736" t="s">
        <v>300</v>
      </c>
      <c r="C736" t="s">
        <v>1318</v>
      </c>
      <c r="D736" t="s">
        <v>16</v>
      </c>
      <c r="E736" t="s">
        <v>131</v>
      </c>
      <c r="F736" t="s">
        <v>55</v>
      </c>
      <c r="G736" t="s">
        <v>28</v>
      </c>
      <c r="H736">
        <v>336</v>
      </c>
      <c r="I736">
        <v>50</v>
      </c>
      <c r="J736">
        <v>50</v>
      </c>
      <c r="K736" t="s">
        <v>20</v>
      </c>
      <c r="L736">
        <v>48</v>
      </c>
      <c r="M736" t="s">
        <v>21</v>
      </c>
    </row>
    <row r="737" spans="1:13" x14ac:dyDescent="0.35">
      <c r="A737" t="s">
        <v>1319</v>
      </c>
      <c r="B737" t="s">
        <v>393</v>
      </c>
      <c r="C737" t="s">
        <v>1081</v>
      </c>
      <c r="D737" t="s">
        <v>25</v>
      </c>
      <c r="E737" t="s">
        <v>34</v>
      </c>
      <c r="F737" t="s">
        <v>27</v>
      </c>
      <c r="G737" t="s">
        <v>19</v>
      </c>
      <c r="H737">
        <v>354</v>
      </c>
      <c r="I737">
        <v>40</v>
      </c>
      <c r="J737">
        <v>50</v>
      </c>
      <c r="K737" t="s">
        <v>20</v>
      </c>
      <c r="L737">
        <v>29</v>
      </c>
      <c r="M737" t="s">
        <v>30</v>
      </c>
    </row>
    <row r="738" spans="1:13" x14ac:dyDescent="0.35">
      <c r="A738" t="s">
        <v>1320</v>
      </c>
      <c r="B738" t="s">
        <v>133</v>
      </c>
      <c r="C738" t="s">
        <v>749</v>
      </c>
      <c r="D738" t="s">
        <v>25</v>
      </c>
      <c r="E738" t="s">
        <v>78</v>
      </c>
      <c r="F738" t="s">
        <v>48</v>
      </c>
      <c r="G738" t="s">
        <v>28</v>
      </c>
      <c r="H738">
        <v>415</v>
      </c>
      <c r="I738">
        <v>30</v>
      </c>
      <c r="J738">
        <v>0</v>
      </c>
      <c r="K738" t="s">
        <v>20</v>
      </c>
      <c r="L738">
        <v>27</v>
      </c>
      <c r="M738" t="s">
        <v>21</v>
      </c>
    </row>
    <row r="739" spans="1:13" x14ac:dyDescent="0.35">
      <c r="A739" t="s">
        <v>1321</v>
      </c>
      <c r="B739" t="s">
        <v>61</v>
      </c>
      <c r="C739" t="s">
        <v>1322</v>
      </c>
      <c r="D739" t="s">
        <v>16</v>
      </c>
      <c r="E739" t="s">
        <v>89</v>
      </c>
      <c r="F739" t="s">
        <v>18</v>
      </c>
      <c r="G739" t="s">
        <v>19</v>
      </c>
      <c r="H739">
        <v>523</v>
      </c>
      <c r="I739">
        <v>30</v>
      </c>
      <c r="J739">
        <v>30</v>
      </c>
      <c r="K739" t="s">
        <v>29</v>
      </c>
      <c r="L739">
        <v>39</v>
      </c>
      <c r="M739" t="s">
        <v>21</v>
      </c>
    </row>
    <row r="740" spans="1:13" x14ac:dyDescent="0.35">
      <c r="A740" t="s">
        <v>1323</v>
      </c>
      <c r="B740" t="s">
        <v>247</v>
      </c>
      <c r="C740" t="s">
        <v>396</v>
      </c>
      <c r="D740" t="s">
        <v>25</v>
      </c>
      <c r="E740" t="s">
        <v>78</v>
      </c>
      <c r="F740" t="s">
        <v>48</v>
      </c>
      <c r="G740" t="s">
        <v>74</v>
      </c>
      <c r="H740">
        <v>423</v>
      </c>
      <c r="I740">
        <v>50</v>
      </c>
      <c r="J740">
        <v>20</v>
      </c>
      <c r="K740" t="s">
        <v>29</v>
      </c>
      <c r="L740">
        <v>45</v>
      </c>
      <c r="M740" t="s">
        <v>21</v>
      </c>
    </row>
    <row r="741" spans="1:13" x14ac:dyDescent="0.35">
      <c r="A741" t="s">
        <v>1324</v>
      </c>
      <c r="B741" t="s">
        <v>57</v>
      </c>
      <c r="C741" t="s">
        <v>930</v>
      </c>
      <c r="D741" t="s">
        <v>16</v>
      </c>
      <c r="E741" t="s">
        <v>17</v>
      </c>
      <c r="F741" t="s">
        <v>18</v>
      </c>
      <c r="G741" t="s">
        <v>176</v>
      </c>
      <c r="H741">
        <v>691</v>
      </c>
      <c r="I741">
        <v>30</v>
      </c>
      <c r="J741">
        <v>50</v>
      </c>
      <c r="K741" t="s">
        <v>36</v>
      </c>
      <c r="L741">
        <v>31</v>
      </c>
      <c r="M741" t="s">
        <v>21</v>
      </c>
    </row>
    <row r="742" spans="1:13" x14ac:dyDescent="0.35">
      <c r="A742" t="s">
        <v>1325</v>
      </c>
      <c r="B742" t="s">
        <v>189</v>
      </c>
      <c r="C742" t="s">
        <v>1326</v>
      </c>
      <c r="D742" t="s">
        <v>53</v>
      </c>
      <c r="E742" t="s">
        <v>152</v>
      </c>
      <c r="F742" t="s">
        <v>18</v>
      </c>
      <c r="G742" t="s">
        <v>176</v>
      </c>
      <c r="H742">
        <v>307</v>
      </c>
      <c r="I742">
        <v>20</v>
      </c>
      <c r="J742">
        <v>100</v>
      </c>
      <c r="K742" t="s">
        <v>29</v>
      </c>
      <c r="L742">
        <v>48</v>
      </c>
      <c r="M742" t="s">
        <v>21</v>
      </c>
    </row>
    <row r="743" spans="1:13" x14ac:dyDescent="0.35">
      <c r="A743" t="s">
        <v>1327</v>
      </c>
      <c r="B743" t="s">
        <v>305</v>
      </c>
      <c r="C743" t="s">
        <v>1179</v>
      </c>
      <c r="D743" t="s">
        <v>16</v>
      </c>
      <c r="E743" t="s">
        <v>89</v>
      </c>
      <c r="F743" t="s">
        <v>18</v>
      </c>
      <c r="G743" t="s">
        <v>19</v>
      </c>
      <c r="H743">
        <v>324</v>
      </c>
      <c r="I743">
        <v>30</v>
      </c>
      <c r="J743">
        <v>30</v>
      </c>
      <c r="K743" t="s">
        <v>29</v>
      </c>
      <c r="L743">
        <v>38</v>
      </c>
      <c r="M743" t="s">
        <v>21</v>
      </c>
    </row>
    <row r="744" spans="1:13" x14ac:dyDescent="0.35">
      <c r="A744" t="s">
        <v>1328</v>
      </c>
      <c r="B744" t="s">
        <v>113</v>
      </c>
      <c r="C744" t="s">
        <v>614</v>
      </c>
      <c r="D744" t="s">
        <v>46</v>
      </c>
      <c r="E744" t="s">
        <v>148</v>
      </c>
      <c r="F744" t="s">
        <v>27</v>
      </c>
      <c r="G744" t="s">
        <v>19</v>
      </c>
      <c r="H744">
        <v>519</v>
      </c>
      <c r="I744">
        <v>50</v>
      </c>
      <c r="J744">
        <v>30</v>
      </c>
      <c r="K744" t="s">
        <v>20</v>
      </c>
      <c r="L744">
        <v>38</v>
      </c>
      <c r="M744" t="s">
        <v>21</v>
      </c>
    </row>
    <row r="745" spans="1:13" x14ac:dyDescent="0.35">
      <c r="A745" t="s">
        <v>1329</v>
      </c>
      <c r="B745" t="s">
        <v>213</v>
      </c>
      <c r="C745" t="s">
        <v>529</v>
      </c>
      <c r="D745" t="s">
        <v>40</v>
      </c>
      <c r="E745" t="s">
        <v>41</v>
      </c>
      <c r="F745" t="s">
        <v>27</v>
      </c>
      <c r="G745" t="s">
        <v>42</v>
      </c>
      <c r="H745">
        <v>674</v>
      </c>
      <c r="I745">
        <v>50</v>
      </c>
      <c r="J745">
        <v>50</v>
      </c>
      <c r="K745" t="s">
        <v>29</v>
      </c>
      <c r="L745">
        <v>41</v>
      </c>
      <c r="M745" t="s">
        <v>21</v>
      </c>
    </row>
    <row r="746" spans="1:13" x14ac:dyDescent="0.35">
      <c r="A746" t="s">
        <v>1330</v>
      </c>
      <c r="B746" t="s">
        <v>267</v>
      </c>
      <c r="C746" t="s">
        <v>1228</v>
      </c>
      <c r="D746" t="s">
        <v>40</v>
      </c>
      <c r="E746" t="s">
        <v>41</v>
      </c>
      <c r="F746" t="s">
        <v>27</v>
      </c>
      <c r="G746" t="s">
        <v>35</v>
      </c>
      <c r="H746">
        <v>177</v>
      </c>
      <c r="I746">
        <v>20</v>
      </c>
      <c r="J746">
        <v>100</v>
      </c>
      <c r="K746" t="s">
        <v>29</v>
      </c>
      <c r="L746">
        <v>39</v>
      </c>
      <c r="M746" t="s">
        <v>21</v>
      </c>
    </row>
    <row r="747" spans="1:13" x14ac:dyDescent="0.35">
      <c r="A747" t="s">
        <v>1331</v>
      </c>
      <c r="B747" t="s">
        <v>583</v>
      </c>
      <c r="C747" t="s">
        <v>315</v>
      </c>
      <c r="D747" t="s">
        <v>25</v>
      </c>
      <c r="E747" t="s">
        <v>34</v>
      </c>
      <c r="F747" t="s">
        <v>27</v>
      </c>
      <c r="G747" t="s">
        <v>49</v>
      </c>
      <c r="H747">
        <v>168</v>
      </c>
      <c r="I747">
        <v>40</v>
      </c>
      <c r="J747">
        <v>30</v>
      </c>
      <c r="K747" t="s">
        <v>20</v>
      </c>
      <c r="L747">
        <v>54</v>
      </c>
      <c r="M747" t="s">
        <v>21</v>
      </c>
    </row>
    <row r="748" spans="1:13" x14ac:dyDescent="0.35">
      <c r="A748" t="s">
        <v>1332</v>
      </c>
      <c r="B748" t="s">
        <v>199</v>
      </c>
      <c r="C748" t="s">
        <v>1297</v>
      </c>
      <c r="D748" t="s">
        <v>16</v>
      </c>
      <c r="E748" t="s">
        <v>89</v>
      </c>
      <c r="F748" t="s">
        <v>18</v>
      </c>
      <c r="G748" t="s">
        <v>49</v>
      </c>
      <c r="H748">
        <v>212</v>
      </c>
      <c r="I748">
        <v>20</v>
      </c>
      <c r="J748">
        <v>50</v>
      </c>
      <c r="K748" t="s">
        <v>29</v>
      </c>
      <c r="L748">
        <v>28</v>
      </c>
      <c r="M748" t="s">
        <v>21</v>
      </c>
    </row>
    <row r="749" spans="1:13" x14ac:dyDescent="0.35">
      <c r="A749" t="s">
        <v>1333</v>
      </c>
      <c r="B749" t="s">
        <v>109</v>
      </c>
      <c r="C749" t="s">
        <v>1334</v>
      </c>
      <c r="D749" t="s">
        <v>40</v>
      </c>
      <c r="E749" t="s">
        <v>67</v>
      </c>
      <c r="F749" t="s">
        <v>48</v>
      </c>
      <c r="G749" t="s">
        <v>63</v>
      </c>
      <c r="H749">
        <v>169</v>
      </c>
      <c r="I749">
        <v>50</v>
      </c>
      <c r="J749">
        <v>30</v>
      </c>
      <c r="K749" t="s">
        <v>29</v>
      </c>
      <c r="L749">
        <v>53</v>
      </c>
      <c r="M749" t="s">
        <v>21</v>
      </c>
    </row>
    <row r="750" spans="1:13" x14ac:dyDescent="0.35">
      <c r="A750" t="s">
        <v>1335</v>
      </c>
      <c r="B750" t="s">
        <v>32</v>
      </c>
      <c r="C750" t="s">
        <v>956</v>
      </c>
      <c r="D750" t="s">
        <v>16</v>
      </c>
      <c r="E750" t="s">
        <v>131</v>
      </c>
      <c r="F750" t="s">
        <v>55</v>
      </c>
      <c r="G750" t="s">
        <v>63</v>
      </c>
      <c r="H750">
        <v>598</v>
      </c>
      <c r="I750">
        <v>30</v>
      </c>
      <c r="J750">
        <v>0</v>
      </c>
      <c r="K750" t="s">
        <v>36</v>
      </c>
      <c r="L750">
        <v>33</v>
      </c>
      <c r="M750" t="s">
        <v>21</v>
      </c>
    </row>
    <row r="751" spans="1:13" x14ac:dyDescent="0.35">
      <c r="A751" t="s">
        <v>1336</v>
      </c>
      <c r="B751" t="s">
        <v>432</v>
      </c>
      <c r="C751" t="s">
        <v>469</v>
      </c>
      <c r="D751" t="s">
        <v>25</v>
      </c>
      <c r="E751" t="s">
        <v>34</v>
      </c>
      <c r="F751" t="s">
        <v>27</v>
      </c>
      <c r="G751" t="s">
        <v>19</v>
      </c>
      <c r="H751">
        <v>347</v>
      </c>
      <c r="I751">
        <v>40</v>
      </c>
      <c r="J751">
        <v>30</v>
      </c>
      <c r="K751" t="s">
        <v>36</v>
      </c>
      <c r="L751">
        <v>50</v>
      </c>
      <c r="M751" t="s">
        <v>21</v>
      </c>
    </row>
    <row r="752" spans="1:13" x14ac:dyDescent="0.35">
      <c r="A752" t="s">
        <v>1337</v>
      </c>
      <c r="B752" t="s">
        <v>99</v>
      </c>
      <c r="C752" t="s">
        <v>1338</v>
      </c>
      <c r="D752" t="s">
        <v>40</v>
      </c>
      <c r="E752" t="s">
        <v>111</v>
      </c>
      <c r="F752" t="s">
        <v>18</v>
      </c>
      <c r="G752" t="s">
        <v>176</v>
      </c>
      <c r="H752">
        <v>572</v>
      </c>
      <c r="I752">
        <v>30</v>
      </c>
      <c r="J752">
        <v>30</v>
      </c>
      <c r="K752" t="s">
        <v>20</v>
      </c>
      <c r="L752">
        <v>60</v>
      </c>
      <c r="M752" t="s">
        <v>21</v>
      </c>
    </row>
    <row r="753" spans="1:13" x14ac:dyDescent="0.35">
      <c r="A753" t="s">
        <v>1339</v>
      </c>
      <c r="B753" t="s">
        <v>326</v>
      </c>
      <c r="C753" t="s">
        <v>1168</v>
      </c>
      <c r="D753" t="s">
        <v>25</v>
      </c>
      <c r="E753" t="s">
        <v>34</v>
      </c>
      <c r="F753" t="s">
        <v>27</v>
      </c>
      <c r="G753" t="s">
        <v>63</v>
      </c>
      <c r="H753">
        <v>247</v>
      </c>
      <c r="I753">
        <v>20</v>
      </c>
      <c r="J753">
        <v>0</v>
      </c>
      <c r="K753" t="s">
        <v>20</v>
      </c>
      <c r="L753">
        <v>34</v>
      </c>
      <c r="M753" t="s">
        <v>21</v>
      </c>
    </row>
    <row r="754" spans="1:13" x14ac:dyDescent="0.35">
      <c r="A754" t="s">
        <v>1340</v>
      </c>
      <c r="B754" t="s">
        <v>365</v>
      </c>
      <c r="C754" t="s">
        <v>257</v>
      </c>
      <c r="D754" t="s">
        <v>46</v>
      </c>
      <c r="E754" t="s">
        <v>148</v>
      </c>
      <c r="F754" t="s">
        <v>27</v>
      </c>
      <c r="G754" t="s">
        <v>176</v>
      </c>
      <c r="H754">
        <v>730</v>
      </c>
      <c r="I754">
        <v>50</v>
      </c>
      <c r="J754">
        <v>20</v>
      </c>
      <c r="K754" t="s">
        <v>36</v>
      </c>
      <c r="L754">
        <v>22</v>
      </c>
      <c r="M754" t="s">
        <v>21</v>
      </c>
    </row>
    <row r="755" spans="1:13" x14ac:dyDescent="0.35">
      <c r="A755" t="s">
        <v>1341</v>
      </c>
      <c r="B755" t="s">
        <v>267</v>
      </c>
      <c r="C755" t="s">
        <v>1264</v>
      </c>
      <c r="D755" t="s">
        <v>40</v>
      </c>
      <c r="E755" t="s">
        <v>41</v>
      </c>
      <c r="F755" t="s">
        <v>27</v>
      </c>
      <c r="G755" t="s">
        <v>107</v>
      </c>
      <c r="H755">
        <v>307</v>
      </c>
      <c r="I755">
        <v>50</v>
      </c>
      <c r="J755">
        <v>100</v>
      </c>
      <c r="K755" t="s">
        <v>36</v>
      </c>
      <c r="L755">
        <v>56</v>
      </c>
      <c r="M755" t="s">
        <v>21</v>
      </c>
    </row>
    <row r="756" spans="1:13" x14ac:dyDescent="0.35">
      <c r="A756" t="s">
        <v>1342</v>
      </c>
      <c r="B756" t="s">
        <v>223</v>
      </c>
      <c r="C756" t="s">
        <v>1309</v>
      </c>
      <c r="D756" t="s">
        <v>25</v>
      </c>
      <c r="E756" t="s">
        <v>78</v>
      </c>
      <c r="F756" t="s">
        <v>48</v>
      </c>
      <c r="G756" t="s">
        <v>35</v>
      </c>
      <c r="H756">
        <v>692</v>
      </c>
      <c r="I756">
        <v>20</v>
      </c>
      <c r="J756">
        <v>100</v>
      </c>
      <c r="K756" t="s">
        <v>20</v>
      </c>
      <c r="L756">
        <v>55</v>
      </c>
      <c r="M756" t="s">
        <v>30</v>
      </c>
    </row>
    <row r="757" spans="1:13" x14ac:dyDescent="0.35">
      <c r="A757" t="s">
        <v>1343</v>
      </c>
      <c r="B757" t="s">
        <v>271</v>
      </c>
      <c r="C757" t="s">
        <v>1344</v>
      </c>
      <c r="D757" t="s">
        <v>40</v>
      </c>
      <c r="E757" t="s">
        <v>67</v>
      </c>
      <c r="F757" t="s">
        <v>48</v>
      </c>
      <c r="G757" t="s">
        <v>28</v>
      </c>
      <c r="H757">
        <v>701</v>
      </c>
      <c r="I757">
        <v>30</v>
      </c>
      <c r="J757">
        <v>50</v>
      </c>
      <c r="K757" t="s">
        <v>36</v>
      </c>
      <c r="L757">
        <v>34</v>
      </c>
      <c r="M757" t="s">
        <v>21</v>
      </c>
    </row>
    <row r="758" spans="1:13" x14ac:dyDescent="0.35">
      <c r="A758" t="s">
        <v>1345</v>
      </c>
      <c r="B758" t="s">
        <v>213</v>
      </c>
      <c r="C758" t="s">
        <v>414</v>
      </c>
      <c r="D758" t="s">
        <v>46</v>
      </c>
      <c r="E758" t="s">
        <v>47</v>
      </c>
      <c r="F758" t="s">
        <v>48</v>
      </c>
      <c r="G758" t="s">
        <v>107</v>
      </c>
      <c r="H758">
        <v>669</v>
      </c>
      <c r="I758">
        <v>20</v>
      </c>
      <c r="J758">
        <v>50</v>
      </c>
      <c r="K758" t="s">
        <v>36</v>
      </c>
      <c r="L758">
        <v>43</v>
      </c>
      <c r="M758" t="s">
        <v>21</v>
      </c>
    </row>
    <row r="759" spans="1:13" x14ac:dyDescent="0.35">
      <c r="A759" t="s">
        <v>1346</v>
      </c>
      <c r="B759" t="s">
        <v>562</v>
      </c>
      <c r="C759" t="s">
        <v>208</v>
      </c>
      <c r="D759" t="s">
        <v>46</v>
      </c>
      <c r="E759" t="s">
        <v>47</v>
      </c>
      <c r="F759" t="s">
        <v>48</v>
      </c>
      <c r="G759" t="s">
        <v>42</v>
      </c>
      <c r="H759">
        <v>565</v>
      </c>
      <c r="I759">
        <v>40</v>
      </c>
      <c r="J759">
        <v>30</v>
      </c>
      <c r="K759" t="s">
        <v>36</v>
      </c>
      <c r="L759">
        <v>40</v>
      </c>
      <c r="M759" t="s">
        <v>21</v>
      </c>
    </row>
    <row r="760" spans="1:13" x14ac:dyDescent="0.35">
      <c r="A760" t="s">
        <v>1347</v>
      </c>
      <c r="B760" t="s">
        <v>342</v>
      </c>
      <c r="C760" t="s">
        <v>1348</v>
      </c>
      <c r="D760" t="s">
        <v>40</v>
      </c>
      <c r="E760" t="s">
        <v>111</v>
      </c>
      <c r="F760" t="s">
        <v>18</v>
      </c>
      <c r="G760" t="s">
        <v>63</v>
      </c>
      <c r="H760">
        <v>671</v>
      </c>
      <c r="I760">
        <v>40</v>
      </c>
      <c r="J760">
        <v>0</v>
      </c>
      <c r="K760" t="s">
        <v>20</v>
      </c>
      <c r="L760">
        <v>21</v>
      </c>
      <c r="M760" t="s">
        <v>21</v>
      </c>
    </row>
    <row r="761" spans="1:13" x14ac:dyDescent="0.35">
      <c r="A761" t="s">
        <v>1349</v>
      </c>
      <c r="B761" t="s">
        <v>133</v>
      </c>
      <c r="C761" t="s">
        <v>1166</v>
      </c>
      <c r="D761" t="s">
        <v>40</v>
      </c>
      <c r="E761" t="s">
        <v>41</v>
      </c>
      <c r="F761" t="s">
        <v>27</v>
      </c>
      <c r="G761" t="s">
        <v>59</v>
      </c>
      <c r="H761">
        <v>562</v>
      </c>
      <c r="I761">
        <v>30</v>
      </c>
      <c r="J761">
        <v>0</v>
      </c>
      <c r="K761" t="s">
        <v>29</v>
      </c>
      <c r="L761">
        <v>51</v>
      </c>
      <c r="M761" t="s">
        <v>21</v>
      </c>
    </row>
    <row r="762" spans="1:13" x14ac:dyDescent="0.35">
      <c r="A762" t="s">
        <v>1350</v>
      </c>
      <c r="B762" t="s">
        <v>326</v>
      </c>
      <c r="C762" t="s">
        <v>549</v>
      </c>
      <c r="D762" t="s">
        <v>46</v>
      </c>
      <c r="E762" t="s">
        <v>47</v>
      </c>
      <c r="F762" t="s">
        <v>48</v>
      </c>
      <c r="G762" t="s">
        <v>42</v>
      </c>
      <c r="H762">
        <v>387</v>
      </c>
      <c r="I762">
        <v>40</v>
      </c>
      <c r="J762">
        <v>30</v>
      </c>
      <c r="K762" t="s">
        <v>29</v>
      </c>
      <c r="L762">
        <v>44</v>
      </c>
      <c r="M762" t="s">
        <v>21</v>
      </c>
    </row>
    <row r="763" spans="1:13" x14ac:dyDescent="0.35">
      <c r="A763" t="s">
        <v>1351</v>
      </c>
      <c r="B763" t="s">
        <v>14</v>
      </c>
      <c r="C763" t="s">
        <v>1352</v>
      </c>
      <c r="D763" t="s">
        <v>40</v>
      </c>
      <c r="E763" t="s">
        <v>41</v>
      </c>
      <c r="F763" t="s">
        <v>27</v>
      </c>
      <c r="G763" t="s">
        <v>59</v>
      </c>
      <c r="H763">
        <v>687</v>
      </c>
      <c r="I763">
        <v>30</v>
      </c>
      <c r="J763">
        <v>20</v>
      </c>
      <c r="K763" t="s">
        <v>20</v>
      </c>
      <c r="L763">
        <v>29</v>
      </c>
      <c r="M763" t="s">
        <v>21</v>
      </c>
    </row>
    <row r="764" spans="1:13" x14ac:dyDescent="0.35">
      <c r="A764" t="s">
        <v>1353</v>
      </c>
      <c r="B764" t="s">
        <v>105</v>
      </c>
      <c r="C764" t="s">
        <v>960</v>
      </c>
      <c r="D764" t="s">
        <v>40</v>
      </c>
      <c r="E764" t="s">
        <v>41</v>
      </c>
      <c r="F764" t="s">
        <v>27</v>
      </c>
      <c r="G764" t="s">
        <v>63</v>
      </c>
      <c r="H764">
        <v>250</v>
      </c>
      <c r="I764">
        <v>30</v>
      </c>
      <c r="J764">
        <v>20</v>
      </c>
      <c r="K764" t="s">
        <v>29</v>
      </c>
      <c r="L764">
        <v>32</v>
      </c>
      <c r="M764" t="s">
        <v>21</v>
      </c>
    </row>
    <row r="765" spans="1:13" x14ac:dyDescent="0.35">
      <c r="A765" t="s">
        <v>1354</v>
      </c>
      <c r="B765" t="s">
        <v>136</v>
      </c>
      <c r="C765" t="s">
        <v>340</v>
      </c>
      <c r="D765" t="s">
        <v>40</v>
      </c>
      <c r="E765" t="s">
        <v>67</v>
      </c>
      <c r="F765" t="s">
        <v>48</v>
      </c>
      <c r="G765" t="s">
        <v>28</v>
      </c>
      <c r="H765">
        <v>193</v>
      </c>
      <c r="I765">
        <v>40</v>
      </c>
      <c r="J765">
        <v>30</v>
      </c>
      <c r="K765" t="s">
        <v>36</v>
      </c>
      <c r="L765">
        <v>31</v>
      </c>
      <c r="M765" t="s">
        <v>21</v>
      </c>
    </row>
    <row r="766" spans="1:13" x14ac:dyDescent="0.35">
      <c r="A766" t="s">
        <v>1355</v>
      </c>
      <c r="B766" t="s">
        <v>267</v>
      </c>
      <c r="C766" t="s">
        <v>1173</v>
      </c>
      <c r="D766" t="s">
        <v>16</v>
      </c>
      <c r="E766" t="s">
        <v>17</v>
      </c>
      <c r="F766" t="s">
        <v>18</v>
      </c>
      <c r="G766" t="s">
        <v>63</v>
      </c>
      <c r="H766">
        <v>278</v>
      </c>
      <c r="I766">
        <v>40</v>
      </c>
      <c r="J766">
        <v>100</v>
      </c>
      <c r="K766" t="s">
        <v>29</v>
      </c>
      <c r="L766">
        <v>27</v>
      </c>
      <c r="M766" t="s">
        <v>21</v>
      </c>
    </row>
    <row r="767" spans="1:13" x14ac:dyDescent="0.35">
      <c r="A767" t="s">
        <v>1356</v>
      </c>
      <c r="B767" t="s">
        <v>291</v>
      </c>
      <c r="C767" t="s">
        <v>396</v>
      </c>
      <c r="D767" t="s">
        <v>25</v>
      </c>
      <c r="E767" t="s">
        <v>78</v>
      </c>
      <c r="F767" t="s">
        <v>48</v>
      </c>
      <c r="G767" t="s">
        <v>49</v>
      </c>
      <c r="H767">
        <v>175</v>
      </c>
      <c r="I767">
        <v>20</v>
      </c>
      <c r="J767">
        <v>20</v>
      </c>
      <c r="K767" t="s">
        <v>29</v>
      </c>
      <c r="L767">
        <v>55</v>
      </c>
      <c r="M767" t="s">
        <v>21</v>
      </c>
    </row>
    <row r="768" spans="1:13" x14ac:dyDescent="0.35">
      <c r="A768" t="s">
        <v>1357</v>
      </c>
      <c r="B768" t="s">
        <v>393</v>
      </c>
      <c r="C768" t="s">
        <v>1194</v>
      </c>
      <c r="D768" t="s">
        <v>25</v>
      </c>
      <c r="E768" t="s">
        <v>78</v>
      </c>
      <c r="F768" t="s">
        <v>48</v>
      </c>
      <c r="G768" t="s">
        <v>28</v>
      </c>
      <c r="H768">
        <v>242</v>
      </c>
      <c r="I768">
        <v>20</v>
      </c>
      <c r="J768">
        <v>20</v>
      </c>
      <c r="K768" t="s">
        <v>29</v>
      </c>
      <c r="L768">
        <v>36</v>
      </c>
      <c r="M768" t="s">
        <v>21</v>
      </c>
    </row>
    <row r="769" spans="1:13" x14ac:dyDescent="0.35">
      <c r="A769" t="s">
        <v>1358</v>
      </c>
      <c r="B769" t="s">
        <v>65</v>
      </c>
      <c r="C769" t="s">
        <v>1359</v>
      </c>
      <c r="D769" t="s">
        <v>40</v>
      </c>
      <c r="E769" t="s">
        <v>67</v>
      </c>
      <c r="F769" t="s">
        <v>48</v>
      </c>
      <c r="G769" t="s">
        <v>49</v>
      </c>
      <c r="H769">
        <v>249</v>
      </c>
      <c r="I769">
        <v>40</v>
      </c>
      <c r="J769">
        <v>100</v>
      </c>
      <c r="K769" t="s">
        <v>20</v>
      </c>
      <c r="L769">
        <v>46</v>
      </c>
      <c r="M769" t="s">
        <v>21</v>
      </c>
    </row>
    <row r="770" spans="1:13" x14ac:dyDescent="0.35">
      <c r="A770" t="s">
        <v>1360</v>
      </c>
      <c r="B770" t="s">
        <v>583</v>
      </c>
      <c r="C770" t="s">
        <v>895</v>
      </c>
      <c r="D770" t="s">
        <v>46</v>
      </c>
      <c r="E770" t="s">
        <v>47</v>
      </c>
      <c r="F770" t="s">
        <v>48</v>
      </c>
      <c r="G770" t="s">
        <v>42</v>
      </c>
      <c r="H770">
        <v>182</v>
      </c>
      <c r="I770">
        <v>30</v>
      </c>
      <c r="J770">
        <v>100</v>
      </c>
      <c r="K770" t="s">
        <v>20</v>
      </c>
      <c r="L770">
        <v>33</v>
      </c>
      <c r="M770" t="s">
        <v>21</v>
      </c>
    </row>
    <row r="771" spans="1:13" x14ac:dyDescent="0.35">
      <c r="A771" t="s">
        <v>1361</v>
      </c>
      <c r="B771" t="s">
        <v>87</v>
      </c>
      <c r="C771" t="s">
        <v>784</v>
      </c>
      <c r="D771" t="s">
        <v>16</v>
      </c>
      <c r="E771" t="s">
        <v>17</v>
      </c>
      <c r="F771" t="s">
        <v>18</v>
      </c>
      <c r="G771" t="s">
        <v>107</v>
      </c>
      <c r="H771">
        <v>727</v>
      </c>
      <c r="I771">
        <v>30</v>
      </c>
      <c r="J771">
        <v>50</v>
      </c>
      <c r="K771" t="s">
        <v>29</v>
      </c>
      <c r="L771">
        <v>48</v>
      </c>
      <c r="M771" t="s">
        <v>21</v>
      </c>
    </row>
    <row r="772" spans="1:13" x14ac:dyDescent="0.35">
      <c r="A772" t="s">
        <v>1362</v>
      </c>
      <c r="B772" t="s">
        <v>57</v>
      </c>
      <c r="C772" t="s">
        <v>670</v>
      </c>
      <c r="D772" t="s">
        <v>40</v>
      </c>
      <c r="E772" t="s">
        <v>111</v>
      </c>
      <c r="F772" t="s">
        <v>18</v>
      </c>
      <c r="G772" t="s">
        <v>49</v>
      </c>
      <c r="H772">
        <v>545</v>
      </c>
      <c r="I772">
        <v>30</v>
      </c>
      <c r="J772">
        <v>0</v>
      </c>
      <c r="K772" t="s">
        <v>36</v>
      </c>
      <c r="L772">
        <v>23</v>
      </c>
      <c r="M772" t="s">
        <v>21</v>
      </c>
    </row>
    <row r="773" spans="1:13" x14ac:dyDescent="0.35">
      <c r="A773" t="s">
        <v>1363</v>
      </c>
      <c r="B773" t="s">
        <v>143</v>
      </c>
      <c r="C773" t="s">
        <v>808</v>
      </c>
      <c r="D773" t="s">
        <v>53</v>
      </c>
      <c r="E773" t="s">
        <v>84</v>
      </c>
      <c r="F773" t="s">
        <v>85</v>
      </c>
      <c r="G773" t="s">
        <v>35</v>
      </c>
      <c r="H773">
        <v>622</v>
      </c>
      <c r="I773">
        <v>40</v>
      </c>
      <c r="J773">
        <v>20</v>
      </c>
      <c r="K773" t="s">
        <v>20</v>
      </c>
      <c r="L773">
        <v>57</v>
      </c>
      <c r="M773" t="s">
        <v>21</v>
      </c>
    </row>
    <row r="774" spans="1:13" x14ac:dyDescent="0.35">
      <c r="A774" t="s">
        <v>1364</v>
      </c>
      <c r="B774" t="s">
        <v>150</v>
      </c>
      <c r="C774" t="s">
        <v>728</v>
      </c>
      <c r="D774" t="s">
        <v>46</v>
      </c>
      <c r="E774" t="s">
        <v>70</v>
      </c>
      <c r="F774" t="s">
        <v>18</v>
      </c>
      <c r="G774" t="s">
        <v>19</v>
      </c>
      <c r="H774">
        <v>441</v>
      </c>
      <c r="I774">
        <v>50</v>
      </c>
      <c r="J774">
        <v>0</v>
      </c>
      <c r="K774" t="s">
        <v>36</v>
      </c>
      <c r="L774">
        <v>31</v>
      </c>
      <c r="M774" t="s">
        <v>21</v>
      </c>
    </row>
    <row r="775" spans="1:13" x14ac:dyDescent="0.35">
      <c r="A775" t="s">
        <v>1365</v>
      </c>
      <c r="B775" t="s">
        <v>96</v>
      </c>
      <c r="C775" t="s">
        <v>781</v>
      </c>
      <c r="D775" t="s">
        <v>16</v>
      </c>
      <c r="E775" t="s">
        <v>131</v>
      </c>
      <c r="F775" t="s">
        <v>55</v>
      </c>
      <c r="G775" t="s">
        <v>19</v>
      </c>
      <c r="H775">
        <v>613</v>
      </c>
      <c r="I775">
        <v>50</v>
      </c>
      <c r="J775">
        <v>20</v>
      </c>
      <c r="K775" t="s">
        <v>20</v>
      </c>
      <c r="L775">
        <v>23</v>
      </c>
      <c r="M775" t="s">
        <v>21</v>
      </c>
    </row>
    <row r="776" spans="1:13" x14ac:dyDescent="0.35">
      <c r="A776" t="s">
        <v>1366</v>
      </c>
      <c r="B776" t="s">
        <v>105</v>
      </c>
      <c r="C776" t="s">
        <v>916</v>
      </c>
      <c r="D776" t="s">
        <v>46</v>
      </c>
      <c r="E776" t="s">
        <v>148</v>
      </c>
      <c r="F776" t="s">
        <v>27</v>
      </c>
      <c r="G776" t="s">
        <v>19</v>
      </c>
      <c r="H776">
        <v>419</v>
      </c>
      <c r="I776">
        <v>40</v>
      </c>
      <c r="J776">
        <v>20</v>
      </c>
      <c r="K776" t="s">
        <v>36</v>
      </c>
      <c r="L776">
        <v>21</v>
      </c>
      <c r="M776" t="s">
        <v>21</v>
      </c>
    </row>
    <row r="777" spans="1:13" x14ac:dyDescent="0.35">
      <c r="A777" t="s">
        <v>1367</v>
      </c>
      <c r="B777" t="s">
        <v>342</v>
      </c>
      <c r="C777" t="s">
        <v>1368</v>
      </c>
      <c r="D777" t="s">
        <v>25</v>
      </c>
      <c r="E777" t="s">
        <v>26</v>
      </c>
      <c r="F777" t="s">
        <v>27</v>
      </c>
      <c r="G777" t="s">
        <v>107</v>
      </c>
      <c r="H777">
        <v>239</v>
      </c>
      <c r="I777">
        <v>20</v>
      </c>
      <c r="J777">
        <v>0</v>
      </c>
      <c r="K777" t="s">
        <v>36</v>
      </c>
      <c r="L777">
        <v>53</v>
      </c>
      <c r="M777" t="s">
        <v>21</v>
      </c>
    </row>
    <row r="778" spans="1:13" x14ac:dyDescent="0.35">
      <c r="A778" t="s">
        <v>1369</v>
      </c>
      <c r="B778" t="s">
        <v>388</v>
      </c>
      <c r="C778" t="s">
        <v>1370</v>
      </c>
      <c r="D778" t="s">
        <v>53</v>
      </c>
      <c r="E778" t="s">
        <v>84</v>
      </c>
      <c r="F778" t="s">
        <v>85</v>
      </c>
      <c r="G778" t="s">
        <v>49</v>
      </c>
      <c r="H778">
        <v>321</v>
      </c>
      <c r="I778">
        <v>40</v>
      </c>
      <c r="J778">
        <v>20</v>
      </c>
      <c r="K778" t="s">
        <v>29</v>
      </c>
      <c r="L778">
        <v>32</v>
      </c>
      <c r="M778" t="s">
        <v>21</v>
      </c>
    </row>
    <row r="779" spans="1:13" x14ac:dyDescent="0.35">
      <c r="A779" t="s">
        <v>1371</v>
      </c>
      <c r="B779" t="s">
        <v>69</v>
      </c>
      <c r="C779" t="s">
        <v>1372</v>
      </c>
      <c r="D779" t="s">
        <v>46</v>
      </c>
      <c r="E779" t="s">
        <v>148</v>
      </c>
      <c r="F779" t="s">
        <v>27</v>
      </c>
      <c r="G779" t="s">
        <v>49</v>
      </c>
      <c r="H779">
        <v>303</v>
      </c>
      <c r="I779">
        <v>20</v>
      </c>
      <c r="J779">
        <v>0</v>
      </c>
      <c r="K779" t="s">
        <v>36</v>
      </c>
      <c r="L779">
        <v>46</v>
      </c>
      <c r="M779" t="s">
        <v>21</v>
      </c>
    </row>
    <row r="780" spans="1:13" x14ac:dyDescent="0.35">
      <c r="A780" t="s">
        <v>1373</v>
      </c>
      <c r="B780" t="s">
        <v>513</v>
      </c>
      <c r="C780" t="s">
        <v>1374</v>
      </c>
      <c r="D780" t="s">
        <v>53</v>
      </c>
      <c r="E780" t="s">
        <v>54</v>
      </c>
      <c r="F780" t="s">
        <v>55</v>
      </c>
      <c r="G780" t="s">
        <v>35</v>
      </c>
      <c r="H780">
        <v>153</v>
      </c>
      <c r="I780">
        <v>30</v>
      </c>
      <c r="J780">
        <v>0</v>
      </c>
      <c r="K780" t="s">
        <v>20</v>
      </c>
      <c r="L780">
        <v>24</v>
      </c>
      <c r="M780" t="s">
        <v>21</v>
      </c>
    </row>
    <row r="781" spans="1:13" x14ac:dyDescent="0.35">
      <c r="A781" t="s">
        <v>1375</v>
      </c>
      <c r="B781" t="s">
        <v>297</v>
      </c>
      <c r="C781" t="s">
        <v>394</v>
      </c>
      <c r="D781" t="s">
        <v>40</v>
      </c>
      <c r="E781" t="s">
        <v>111</v>
      </c>
      <c r="F781" t="s">
        <v>18</v>
      </c>
      <c r="G781" t="s">
        <v>74</v>
      </c>
      <c r="H781">
        <v>213</v>
      </c>
      <c r="I781">
        <v>30</v>
      </c>
      <c r="J781">
        <v>0</v>
      </c>
      <c r="K781" t="s">
        <v>36</v>
      </c>
      <c r="L781">
        <v>30</v>
      </c>
      <c r="M781" t="s">
        <v>21</v>
      </c>
    </row>
    <row r="782" spans="1:13" x14ac:dyDescent="0.35">
      <c r="A782" t="s">
        <v>1376</v>
      </c>
      <c r="B782" t="s">
        <v>310</v>
      </c>
      <c r="C782" t="s">
        <v>417</v>
      </c>
      <c r="D782" t="s">
        <v>53</v>
      </c>
      <c r="E782" t="s">
        <v>84</v>
      </c>
      <c r="F782" t="s">
        <v>85</v>
      </c>
      <c r="G782" t="s">
        <v>35</v>
      </c>
      <c r="H782">
        <v>508</v>
      </c>
      <c r="I782">
        <v>40</v>
      </c>
      <c r="J782">
        <v>100</v>
      </c>
      <c r="K782" t="s">
        <v>29</v>
      </c>
      <c r="L782">
        <v>20</v>
      </c>
      <c r="M782" t="s">
        <v>21</v>
      </c>
    </row>
    <row r="783" spans="1:13" x14ac:dyDescent="0.35">
      <c r="A783" t="s">
        <v>1377</v>
      </c>
      <c r="B783" t="s">
        <v>562</v>
      </c>
      <c r="C783" t="s">
        <v>1378</v>
      </c>
      <c r="D783" t="s">
        <v>46</v>
      </c>
      <c r="E783" t="s">
        <v>47</v>
      </c>
      <c r="F783" t="s">
        <v>48</v>
      </c>
      <c r="G783" t="s">
        <v>49</v>
      </c>
      <c r="H783">
        <v>627</v>
      </c>
      <c r="I783">
        <v>20</v>
      </c>
      <c r="J783">
        <v>50</v>
      </c>
      <c r="K783" t="s">
        <v>20</v>
      </c>
      <c r="L783">
        <v>47</v>
      </c>
      <c r="M783" t="s">
        <v>21</v>
      </c>
    </row>
    <row r="784" spans="1:13" x14ac:dyDescent="0.35">
      <c r="A784" t="s">
        <v>1379</v>
      </c>
      <c r="B784" t="s">
        <v>297</v>
      </c>
      <c r="C784" t="s">
        <v>928</v>
      </c>
      <c r="D784" t="s">
        <v>16</v>
      </c>
      <c r="E784" t="s">
        <v>17</v>
      </c>
      <c r="F784" t="s">
        <v>18</v>
      </c>
      <c r="G784" t="s">
        <v>42</v>
      </c>
      <c r="H784">
        <v>727</v>
      </c>
      <c r="I784">
        <v>20</v>
      </c>
      <c r="J784">
        <v>20</v>
      </c>
      <c r="K784" t="s">
        <v>20</v>
      </c>
      <c r="L784">
        <v>44</v>
      </c>
      <c r="M784" t="s">
        <v>21</v>
      </c>
    </row>
    <row r="785" spans="1:13" x14ac:dyDescent="0.35">
      <c r="A785" t="s">
        <v>1380</v>
      </c>
      <c r="B785" t="s">
        <v>109</v>
      </c>
      <c r="C785" t="s">
        <v>1381</v>
      </c>
      <c r="D785" t="s">
        <v>25</v>
      </c>
      <c r="E785" t="s">
        <v>78</v>
      </c>
      <c r="F785" t="s">
        <v>48</v>
      </c>
      <c r="G785" t="s">
        <v>49</v>
      </c>
      <c r="H785">
        <v>678</v>
      </c>
      <c r="I785">
        <v>30</v>
      </c>
      <c r="J785">
        <v>50</v>
      </c>
      <c r="K785" t="s">
        <v>36</v>
      </c>
      <c r="L785">
        <v>44</v>
      </c>
      <c r="M785" t="s">
        <v>21</v>
      </c>
    </row>
    <row r="786" spans="1:13" x14ac:dyDescent="0.35">
      <c r="A786" t="s">
        <v>1382</v>
      </c>
      <c r="B786" t="s">
        <v>102</v>
      </c>
      <c r="C786" t="s">
        <v>700</v>
      </c>
      <c r="D786" t="s">
        <v>16</v>
      </c>
      <c r="E786" t="s">
        <v>17</v>
      </c>
      <c r="F786" t="s">
        <v>18</v>
      </c>
      <c r="G786" t="s">
        <v>59</v>
      </c>
      <c r="H786">
        <v>355</v>
      </c>
      <c r="I786">
        <v>40</v>
      </c>
      <c r="J786">
        <v>30</v>
      </c>
      <c r="K786" t="s">
        <v>29</v>
      </c>
      <c r="L786">
        <v>49</v>
      </c>
      <c r="M786" t="s">
        <v>21</v>
      </c>
    </row>
    <row r="787" spans="1:13" x14ac:dyDescent="0.35">
      <c r="A787" t="s">
        <v>1383</v>
      </c>
      <c r="B787" t="s">
        <v>105</v>
      </c>
      <c r="C787" t="s">
        <v>1384</v>
      </c>
      <c r="D787" t="s">
        <v>16</v>
      </c>
      <c r="E787" t="s">
        <v>131</v>
      </c>
      <c r="F787" t="s">
        <v>55</v>
      </c>
      <c r="G787" t="s">
        <v>35</v>
      </c>
      <c r="H787">
        <v>333</v>
      </c>
      <c r="I787">
        <v>40</v>
      </c>
      <c r="J787">
        <v>20</v>
      </c>
      <c r="K787" t="s">
        <v>36</v>
      </c>
      <c r="L787">
        <v>56</v>
      </c>
      <c r="M787" t="s">
        <v>21</v>
      </c>
    </row>
    <row r="788" spans="1:13" x14ac:dyDescent="0.35">
      <c r="A788" t="s">
        <v>1385</v>
      </c>
      <c r="B788" t="s">
        <v>61</v>
      </c>
      <c r="C788" t="s">
        <v>752</v>
      </c>
      <c r="D788" t="s">
        <v>53</v>
      </c>
      <c r="E788" t="s">
        <v>152</v>
      </c>
      <c r="F788" t="s">
        <v>18</v>
      </c>
      <c r="G788" t="s">
        <v>49</v>
      </c>
      <c r="H788">
        <v>584</v>
      </c>
      <c r="I788">
        <v>30</v>
      </c>
      <c r="J788">
        <v>100</v>
      </c>
      <c r="K788" t="s">
        <v>36</v>
      </c>
      <c r="L788">
        <v>31</v>
      </c>
      <c r="M788" t="s">
        <v>21</v>
      </c>
    </row>
    <row r="789" spans="1:13" x14ac:dyDescent="0.35">
      <c r="A789" t="s">
        <v>1386</v>
      </c>
      <c r="B789" t="s">
        <v>150</v>
      </c>
      <c r="C789" t="s">
        <v>351</v>
      </c>
      <c r="D789" t="s">
        <v>16</v>
      </c>
      <c r="E789" t="s">
        <v>131</v>
      </c>
      <c r="F789" t="s">
        <v>55</v>
      </c>
      <c r="G789" t="s">
        <v>28</v>
      </c>
      <c r="H789">
        <v>517</v>
      </c>
      <c r="I789">
        <v>40</v>
      </c>
      <c r="J789">
        <v>0</v>
      </c>
      <c r="K789" t="s">
        <v>36</v>
      </c>
      <c r="L789">
        <v>48</v>
      </c>
      <c r="M789" t="s">
        <v>21</v>
      </c>
    </row>
    <row r="790" spans="1:13" x14ac:dyDescent="0.35">
      <c r="A790" t="s">
        <v>1387</v>
      </c>
      <c r="B790" t="s">
        <v>244</v>
      </c>
      <c r="C790" t="s">
        <v>15</v>
      </c>
      <c r="D790" t="s">
        <v>16</v>
      </c>
      <c r="E790" t="s">
        <v>89</v>
      </c>
      <c r="F790" t="s">
        <v>18</v>
      </c>
      <c r="G790" t="s">
        <v>107</v>
      </c>
      <c r="H790">
        <v>437</v>
      </c>
      <c r="I790">
        <v>50</v>
      </c>
      <c r="J790">
        <v>30</v>
      </c>
      <c r="K790" t="s">
        <v>20</v>
      </c>
      <c r="L790">
        <v>33</v>
      </c>
      <c r="M790" t="s">
        <v>21</v>
      </c>
    </row>
    <row r="791" spans="1:13" x14ac:dyDescent="0.35">
      <c r="A791" t="s">
        <v>1388</v>
      </c>
      <c r="B791" t="s">
        <v>247</v>
      </c>
      <c r="C791" t="s">
        <v>858</v>
      </c>
      <c r="D791" t="s">
        <v>16</v>
      </c>
      <c r="E791" t="s">
        <v>89</v>
      </c>
      <c r="F791" t="s">
        <v>18</v>
      </c>
      <c r="G791" t="s">
        <v>42</v>
      </c>
      <c r="H791">
        <v>610</v>
      </c>
      <c r="I791">
        <v>50</v>
      </c>
      <c r="J791">
        <v>0</v>
      </c>
      <c r="K791" t="s">
        <v>36</v>
      </c>
      <c r="L791">
        <v>24</v>
      </c>
      <c r="M791" t="s">
        <v>21</v>
      </c>
    </row>
    <row r="792" spans="1:13" x14ac:dyDescent="0.35">
      <c r="A792" t="s">
        <v>1389</v>
      </c>
      <c r="B792" t="s">
        <v>76</v>
      </c>
      <c r="C792" t="s">
        <v>1338</v>
      </c>
      <c r="D792" t="s">
        <v>40</v>
      </c>
      <c r="E792" t="s">
        <v>41</v>
      </c>
      <c r="F792" t="s">
        <v>27</v>
      </c>
      <c r="G792" t="s">
        <v>42</v>
      </c>
      <c r="H792">
        <v>681</v>
      </c>
      <c r="I792">
        <v>50</v>
      </c>
      <c r="J792">
        <v>20</v>
      </c>
      <c r="K792" t="s">
        <v>36</v>
      </c>
      <c r="L792">
        <v>47</v>
      </c>
      <c r="M792" t="s">
        <v>21</v>
      </c>
    </row>
    <row r="793" spans="1:13" x14ac:dyDescent="0.35">
      <c r="A793" t="s">
        <v>1390</v>
      </c>
      <c r="B793" t="s">
        <v>118</v>
      </c>
      <c r="C793" t="s">
        <v>650</v>
      </c>
      <c r="D793" t="s">
        <v>16</v>
      </c>
      <c r="E793" t="s">
        <v>17</v>
      </c>
      <c r="F793" t="s">
        <v>18</v>
      </c>
      <c r="G793" t="s">
        <v>63</v>
      </c>
      <c r="H793">
        <v>233</v>
      </c>
      <c r="I793">
        <v>40</v>
      </c>
      <c r="J793">
        <v>30</v>
      </c>
      <c r="K793" t="s">
        <v>36</v>
      </c>
      <c r="L793">
        <v>46</v>
      </c>
      <c r="M793" t="s">
        <v>21</v>
      </c>
    </row>
    <row r="794" spans="1:13" x14ac:dyDescent="0.35">
      <c r="A794" t="s">
        <v>1391</v>
      </c>
      <c r="B794" t="s">
        <v>295</v>
      </c>
      <c r="C794" t="s">
        <v>361</v>
      </c>
      <c r="D794" t="s">
        <v>25</v>
      </c>
      <c r="E794" t="s">
        <v>26</v>
      </c>
      <c r="F794" t="s">
        <v>27</v>
      </c>
      <c r="G794" t="s">
        <v>35</v>
      </c>
      <c r="H794">
        <v>648</v>
      </c>
      <c r="I794">
        <v>20</v>
      </c>
      <c r="J794">
        <v>0</v>
      </c>
      <c r="K794" t="s">
        <v>20</v>
      </c>
      <c r="L794">
        <v>37</v>
      </c>
      <c r="M794" t="s">
        <v>21</v>
      </c>
    </row>
    <row r="795" spans="1:13" x14ac:dyDescent="0.35">
      <c r="A795" t="s">
        <v>1392</v>
      </c>
      <c r="B795" t="s">
        <v>72</v>
      </c>
      <c r="C795" t="s">
        <v>967</v>
      </c>
      <c r="D795" t="s">
        <v>40</v>
      </c>
      <c r="E795" t="s">
        <v>111</v>
      </c>
      <c r="F795" t="s">
        <v>18</v>
      </c>
      <c r="G795" t="s">
        <v>49</v>
      </c>
      <c r="H795">
        <v>353</v>
      </c>
      <c r="I795">
        <v>20</v>
      </c>
      <c r="J795">
        <v>0</v>
      </c>
      <c r="K795" t="s">
        <v>36</v>
      </c>
      <c r="L795">
        <v>27</v>
      </c>
      <c r="M795" t="s">
        <v>21</v>
      </c>
    </row>
    <row r="796" spans="1:13" x14ac:dyDescent="0.35">
      <c r="A796" t="s">
        <v>1393</v>
      </c>
      <c r="B796" t="s">
        <v>388</v>
      </c>
      <c r="C796" t="s">
        <v>1394</v>
      </c>
      <c r="D796" t="s">
        <v>25</v>
      </c>
      <c r="E796" t="s">
        <v>34</v>
      </c>
      <c r="F796" t="s">
        <v>27</v>
      </c>
      <c r="G796" t="s">
        <v>59</v>
      </c>
      <c r="H796">
        <v>446</v>
      </c>
      <c r="I796">
        <v>50</v>
      </c>
      <c r="J796">
        <v>20</v>
      </c>
      <c r="K796" t="s">
        <v>20</v>
      </c>
      <c r="L796">
        <v>54</v>
      </c>
      <c r="M796" t="s">
        <v>21</v>
      </c>
    </row>
    <row r="797" spans="1:13" x14ac:dyDescent="0.35">
      <c r="A797" t="s">
        <v>1395</v>
      </c>
      <c r="B797" t="s">
        <v>541</v>
      </c>
      <c r="C797" t="s">
        <v>1396</v>
      </c>
      <c r="D797" t="s">
        <v>16</v>
      </c>
      <c r="E797" t="s">
        <v>89</v>
      </c>
      <c r="F797" t="s">
        <v>18</v>
      </c>
      <c r="G797" t="s">
        <v>35</v>
      </c>
      <c r="H797">
        <v>503</v>
      </c>
      <c r="I797">
        <v>40</v>
      </c>
      <c r="J797">
        <v>100</v>
      </c>
      <c r="K797" t="s">
        <v>20</v>
      </c>
      <c r="L797">
        <v>35</v>
      </c>
      <c r="M797" t="s">
        <v>21</v>
      </c>
    </row>
    <row r="798" spans="1:13" x14ac:dyDescent="0.35">
      <c r="A798" t="s">
        <v>1397</v>
      </c>
      <c r="B798" t="s">
        <v>167</v>
      </c>
      <c r="C798" t="s">
        <v>263</v>
      </c>
      <c r="D798" t="s">
        <v>53</v>
      </c>
      <c r="E798" t="s">
        <v>54</v>
      </c>
      <c r="F798" t="s">
        <v>55</v>
      </c>
      <c r="G798" t="s">
        <v>176</v>
      </c>
      <c r="H798">
        <v>606</v>
      </c>
      <c r="I798">
        <v>50</v>
      </c>
      <c r="J798">
        <v>20</v>
      </c>
      <c r="K798" t="s">
        <v>20</v>
      </c>
      <c r="L798">
        <v>53</v>
      </c>
      <c r="M798" t="s">
        <v>21</v>
      </c>
    </row>
    <row r="799" spans="1:13" x14ac:dyDescent="0.35">
      <c r="A799" t="s">
        <v>1398</v>
      </c>
      <c r="B799" t="s">
        <v>541</v>
      </c>
      <c r="C799" t="s">
        <v>1399</v>
      </c>
      <c r="D799" t="s">
        <v>46</v>
      </c>
      <c r="E799" t="s">
        <v>47</v>
      </c>
      <c r="F799" t="s">
        <v>48</v>
      </c>
      <c r="G799" t="s">
        <v>107</v>
      </c>
      <c r="H799">
        <v>521</v>
      </c>
      <c r="I799">
        <v>50</v>
      </c>
      <c r="J799">
        <v>20</v>
      </c>
      <c r="K799" t="s">
        <v>36</v>
      </c>
      <c r="L799">
        <v>55</v>
      </c>
      <c r="M799" t="s">
        <v>21</v>
      </c>
    </row>
    <row r="800" spans="1:13" x14ac:dyDescent="0.35">
      <c r="A800" t="s">
        <v>1400</v>
      </c>
      <c r="B800" t="s">
        <v>339</v>
      </c>
      <c r="C800" t="s">
        <v>1401</v>
      </c>
      <c r="D800" t="s">
        <v>53</v>
      </c>
      <c r="E800" t="s">
        <v>54</v>
      </c>
      <c r="F800" t="s">
        <v>55</v>
      </c>
      <c r="G800" t="s">
        <v>35</v>
      </c>
      <c r="H800">
        <v>483</v>
      </c>
      <c r="I800">
        <v>40</v>
      </c>
      <c r="J800">
        <v>20</v>
      </c>
      <c r="K800" t="s">
        <v>20</v>
      </c>
      <c r="L800">
        <v>59</v>
      </c>
      <c r="M800" t="s">
        <v>21</v>
      </c>
    </row>
    <row r="801" spans="1:13" x14ac:dyDescent="0.35">
      <c r="A801" t="s">
        <v>1402</v>
      </c>
      <c r="B801" t="s">
        <v>398</v>
      </c>
      <c r="C801" t="s">
        <v>1403</v>
      </c>
      <c r="D801" t="s">
        <v>53</v>
      </c>
      <c r="E801" t="s">
        <v>152</v>
      </c>
      <c r="F801" t="s">
        <v>18</v>
      </c>
      <c r="G801" t="s">
        <v>107</v>
      </c>
      <c r="H801">
        <v>462</v>
      </c>
      <c r="I801">
        <v>50</v>
      </c>
      <c r="J801">
        <v>0</v>
      </c>
      <c r="K801" t="s">
        <v>36</v>
      </c>
      <c r="L801">
        <v>33</v>
      </c>
      <c r="M801" t="s">
        <v>21</v>
      </c>
    </row>
    <row r="802" spans="1:13" x14ac:dyDescent="0.35">
      <c r="A802" t="s">
        <v>1404</v>
      </c>
      <c r="B802" t="s">
        <v>126</v>
      </c>
      <c r="C802" t="s">
        <v>441</v>
      </c>
      <c r="D802" t="s">
        <v>16</v>
      </c>
      <c r="E802" t="s">
        <v>89</v>
      </c>
      <c r="F802" t="s">
        <v>18</v>
      </c>
      <c r="G802" t="s">
        <v>42</v>
      </c>
      <c r="H802">
        <v>308</v>
      </c>
      <c r="I802">
        <v>30</v>
      </c>
      <c r="J802">
        <v>100</v>
      </c>
      <c r="K802" t="s">
        <v>29</v>
      </c>
      <c r="L802">
        <v>27</v>
      </c>
      <c r="M802" t="s">
        <v>21</v>
      </c>
    </row>
    <row r="803" spans="1:13" x14ac:dyDescent="0.35">
      <c r="A803" t="s">
        <v>1405</v>
      </c>
      <c r="B803" t="s">
        <v>583</v>
      </c>
      <c r="C803" t="s">
        <v>1406</v>
      </c>
      <c r="D803" t="s">
        <v>25</v>
      </c>
      <c r="E803" t="s">
        <v>26</v>
      </c>
      <c r="F803" t="s">
        <v>27</v>
      </c>
      <c r="G803" t="s">
        <v>19</v>
      </c>
      <c r="H803">
        <v>516</v>
      </c>
      <c r="I803">
        <v>50</v>
      </c>
      <c r="J803">
        <v>0</v>
      </c>
      <c r="K803" t="s">
        <v>20</v>
      </c>
      <c r="L803">
        <v>36</v>
      </c>
      <c r="M803" t="s">
        <v>21</v>
      </c>
    </row>
    <row r="804" spans="1:13" x14ac:dyDescent="0.35">
      <c r="A804" t="s">
        <v>1407</v>
      </c>
      <c r="B804" t="s">
        <v>181</v>
      </c>
      <c r="C804" t="s">
        <v>155</v>
      </c>
      <c r="D804" t="s">
        <v>40</v>
      </c>
      <c r="E804" t="s">
        <v>67</v>
      </c>
      <c r="F804" t="s">
        <v>48</v>
      </c>
      <c r="G804" t="s">
        <v>28</v>
      </c>
      <c r="H804">
        <v>679</v>
      </c>
      <c r="I804">
        <v>30</v>
      </c>
      <c r="J804">
        <v>50</v>
      </c>
      <c r="K804" t="s">
        <v>29</v>
      </c>
      <c r="L804">
        <v>37</v>
      </c>
      <c r="M804" t="s">
        <v>21</v>
      </c>
    </row>
    <row r="805" spans="1:13" x14ac:dyDescent="0.35">
      <c r="A805" t="s">
        <v>1408</v>
      </c>
      <c r="B805" t="s">
        <v>267</v>
      </c>
      <c r="C805" t="s">
        <v>307</v>
      </c>
      <c r="D805" t="s">
        <v>40</v>
      </c>
      <c r="E805" t="s">
        <v>41</v>
      </c>
      <c r="F805" t="s">
        <v>27</v>
      </c>
      <c r="G805" t="s">
        <v>42</v>
      </c>
      <c r="H805">
        <v>361</v>
      </c>
      <c r="I805">
        <v>40</v>
      </c>
      <c r="J805">
        <v>20</v>
      </c>
      <c r="K805" t="s">
        <v>20</v>
      </c>
      <c r="L805">
        <v>27</v>
      </c>
      <c r="M805" t="s">
        <v>21</v>
      </c>
    </row>
    <row r="806" spans="1:13" x14ac:dyDescent="0.35">
      <c r="A806" t="s">
        <v>1409</v>
      </c>
      <c r="B806" t="s">
        <v>368</v>
      </c>
      <c r="C806" t="s">
        <v>1410</v>
      </c>
      <c r="D806" t="s">
        <v>25</v>
      </c>
      <c r="E806" t="s">
        <v>34</v>
      </c>
      <c r="F806" t="s">
        <v>27</v>
      </c>
      <c r="G806" t="s">
        <v>107</v>
      </c>
      <c r="H806">
        <v>483</v>
      </c>
      <c r="I806">
        <v>50</v>
      </c>
      <c r="J806">
        <v>100</v>
      </c>
      <c r="K806" t="s">
        <v>29</v>
      </c>
      <c r="L806">
        <v>52</v>
      </c>
      <c r="M806" t="s">
        <v>30</v>
      </c>
    </row>
    <row r="807" spans="1:13" x14ac:dyDescent="0.35">
      <c r="A807" t="s">
        <v>1411</v>
      </c>
      <c r="B807" t="s">
        <v>150</v>
      </c>
      <c r="C807" t="s">
        <v>1322</v>
      </c>
      <c r="D807" t="s">
        <v>40</v>
      </c>
      <c r="E807" t="s">
        <v>41</v>
      </c>
      <c r="F807" t="s">
        <v>27</v>
      </c>
      <c r="G807" t="s">
        <v>74</v>
      </c>
      <c r="H807">
        <v>289</v>
      </c>
      <c r="I807">
        <v>40</v>
      </c>
      <c r="J807">
        <v>0</v>
      </c>
      <c r="K807" t="s">
        <v>36</v>
      </c>
      <c r="L807">
        <v>54</v>
      </c>
      <c r="M807" t="s">
        <v>30</v>
      </c>
    </row>
    <row r="808" spans="1:13" x14ac:dyDescent="0.35">
      <c r="A808" t="s">
        <v>1412</v>
      </c>
      <c r="B808" t="s">
        <v>118</v>
      </c>
      <c r="C808" t="s">
        <v>1413</v>
      </c>
      <c r="D808" t="s">
        <v>16</v>
      </c>
      <c r="E808" t="s">
        <v>17</v>
      </c>
      <c r="F808" t="s">
        <v>18</v>
      </c>
      <c r="G808" t="s">
        <v>19</v>
      </c>
      <c r="H808">
        <v>346</v>
      </c>
      <c r="I808">
        <v>50</v>
      </c>
      <c r="J808">
        <v>0</v>
      </c>
      <c r="K808" t="s">
        <v>20</v>
      </c>
      <c r="L808">
        <v>47</v>
      </c>
      <c r="M808" t="s">
        <v>21</v>
      </c>
    </row>
    <row r="809" spans="1:13" x14ac:dyDescent="0.35">
      <c r="A809" t="s">
        <v>1414</v>
      </c>
      <c r="B809" t="s">
        <v>473</v>
      </c>
      <c r="C809" t="s">
        <v>208</v>
      </c>
      <c r="D809" t="s">
        <v>16</v>
      </c>
      <c r="E809" t="s">
        <v>17</v>
      </c>
      <c r="F809" t="s">
        <v>18</v>
      </c>
      <c r="G809" t="s">
        <v>35</v>
      </c>
      <c r="H809">
        <v>595</v>
      </c>
      <c r="I809">
        <v>40</v>
      </c>
      <c r="J809">
        <v>30</v>
      </c>
      <c r="K809" t="s">
        <v>20</v>
      </c>
      <c r="L809">
        <v>31</v>
      </c>
      <c r="M809" t="s">
        <v>21</v>
      </c>
    </row>
    <row r="810" spans="1:13" x14ac:dyDescent="0.35">
      <c r="A810" t="s">
        <v>1415</v>
      </c>
      <c r="B810" t="s">
        <v>435</v>
      </c>
      <c r="C810" t="s">
        <v>690</v>
      </c>
      <c r="D810" t="s">
        <v>53</v>
      </c>
      <c r="E810" t="s">
        <v>152</v>
      </c>
      <c r="F810" t="s">
        <v>18</v>
      </c>
      <c r="G810" t="s">
        <v>74</v>
      </c>
      <c r="H810">
        <v>570</v>
      </c>
      <c r="I810">
        <v>20</v>
      </c>
      <c r="J810">
        <v>100</v>
      </c>
      <c r="K810" t="s">
        <v>36</v>
      </c>
      <c r="L810">
        <v>37</v>
      </c>
      <c r="M810" t="s">
        <v>21</v>
      </c>
    </row>
    <row r="811" spans="1:13" x14ac:dyDescent="0.35">
      <c r="A811" t="s">
        <v>1416</v>
      </c>
      <c r="B811" t="s">
        <v>339</v>
      </c>
      <c r="C811" t="s">
        <v>659</v>
      </c>
      <c r="D811" t="s">
        <v>40</v>
      </c>
      <c r="E811" t="s">
        <v>41</v>
      </c>
      <c r="F811" t="s">
        <v>27</v>
      </c>
      <c r="G811" t="s">
        <v>42</v>
      </c>
      <c r="H811">
        <v>267</v>
      </c>
      <c r="I811">
        <v>30</v>
      </c>
      <c r="J811">
        <v>100</v>
      </c>
      <c r="K811" t="s">
        <v>36</v>
      </c>
      <c r="L811">
        <v>55</v>
      </c>
      <c r="M811" t="s">
        <v>21</v>
      </c>
    </row>
    <row r="812" spans="1:13" x14ac:dyDescent="0.35">
      <c r="A812" t="s">
        <v>1417</v>
      </c>
      <c r="B812" t="s">
        <v>69</v>
      </c>
      <c r="C812" t="s">
        <v>340</v>
      </c>
      <c r="D812" t="s">
        <v>25</v>
      </c>
      <c r="E812" t="s">
        <v>34</v>
      </c>
      <c r="F812" t="s">
        <v>27</v>
      </c>
      <c r="G812" t="s">
        <v>19</v>
      </c>
      <c r="H812">
        <v>399</v>
      </c>
      <c r="I812">
        <v>50</v>
      </c>
      <c r="J812">
        <v>100</v>
      </c>
      <c r="K812" t="s">
        <v>36</v>
      </c>
      <c r="L812">
        <v>52</v>
      </c>
      <c r="M812" t="s">
        <v>21</v>
      </c>
    </row>
    <row r="813" spans="1:13" x14ac:dyDescent="0.35">
      <c r="A813" t="s">
        <v>1418</v>
      </c>
      <c r="B813" t="s">
        <v>178</v>
      </c>
      <c r="C813" t="s">
        <v>1275</v>
      </c>
      <c r="D813" t="s">
        <v>16</v>
      </c>
      <c r="E813" t="s">
        <v>17</v>
      </c>
      <c r="F813" t="s">
        <v>18</v>
      </c>
      <c r="G813" t="s">
        <v>49</v>
      </c>
      <c r="H813">
        <v>679</v>
      </c>
      <c r="I813">
        <v>30</v>
      </c>
      <c r="J813">
        <v>0</v>
      </c>
      <c r="K813" t="s">
        <v>20</v>
      </c>
      <c r="L813">
        <v>46</v>
      </c>
      <c r="M813" t="s">
        <v>21</v>
      </c>
    </row>
    <row r="814" spans="1:13" x14ac:dyDescent="0.35">
      <c r="A814" t="s">
        <v>1419</v>
      </c>
      <c r="B814" t="s">
        <v>339</v>
      </c>
      <c r="C814" t="s">
        <v>1206</v>
      </c>
      <c r="D814" t="s">
        <v>53</v>
      </c>
      <c r="E814" t="s">
        <v>54</v>
      </c>
      <c r="F814" t="s">
        <v>55</v>
      </c>
      <c r="G814" t="s">
        <v>176</v>
      </c>
      <c r="H814">
        <v>625</v>
      </c>
      <c r="I814">
        <v>20</v>
      </c>
      <c r="J814">
        <v>50</v>
      </c>
      <c r="K814" t="s">
        <v>36</v>
      </c>
      <c r="L814">
        <v>27</v>
      </c>
      <c r="M814" t="s">
        <v>21</v>
      </c>
    </row>
    <row r="815" spans="1:13" x14ac:dyDescent="0.35">
      <c r="A815" t="s">
        <v>1420</v>
      </c>
      <c r="B815" t="s">
        <v>310</v>
      </c>
      <c r="C815" t="s">
        <v>1421</v>
      </c>
      <c r="D815" t="s">
        <v>16</v>
      </c>
      <c r="E815" t="s">
        <v>131</v>
      </c>
      <c r="F815" t="s">
        <v>55</v>
      </c>
      <c r="G815" t="s">
        <v>28</v>
      </c>
      <c r="H815">
        <v>495</v>
      </c>
      <c r="I815">
        <v>40</v>
      </c>
      <c r="J815">
        <v>0</v>
      </c>
      <c r="K815" t="s">
        <v>36</v>
      </c>
      <c r="L815">
        <v>21</v>
      </c>
      <c r="M815" t="s">
        <v>21</v>
      </c>
    </row>
    <row r="816" spans="1:13" x14ac:dyDescent="0.35">
      <c r="A816" t="s">
        <v>1422</v>
      </c>
      <c r="B816" t="s">
        <v>207</v>
      </c>
      <c r="C816" t="s">
        <v>1423</v>
      </c>
      <c r="D816" t="s">
        <v>46</v>
      </c>
      <c r="E816" t="s">
        <v>148</v>
      </c>
      <c r="F816" t="s">
        <v>27</v>
      </c>
      <c r="G816" t="s">
        <v>35</v>
      </c>
      <c r="H816">
        <v>793</v>
      </c>
      <c r="I816">
        <v>50</v>
      </c>
      <c r="J816">
        <v>50</v>
      </c>
      <c r="K816" t="s">
        <v>20</v>
      </c>
      <c r="L816">
        <v>44</v>
      </c>
      <c r="M816" t="s">
        <v>21</v>
      </c>
    </row>
    <row r="817" spans="1:13" x14ac:dyDescent="0.35">
      <c r="A817" t="s">
        <v>1424</v>
      </c>
      <c r="B817" t="s">
        <v>218</v>
      </c>
      <c r="C817" t="s">
        <v>1218</v>
      </c>
      <c r="D817" t="s">
        <v>46</v>
      </c>
      <c r="E817" t="s">
        <v>70</v>
      </c>
      <c r="F817" t="s">
        <v>18</v>
      </c>
      <c r="G817" t="s">
        <v>19</v>
      </c>
      <c r="H817">
        <v>465</v>
      </c>
      <c r="I817">
        <v>50</v>
      </c>
      <c r="J817">
        <v>20</v>
      </c>
      <c r="K817" t="s">
        <v>29</v>
      </c>
      <c r="L817">
        <v>59</v>
      </c>
      <c r="M817" t="s">
        <v>21</v>
      </c>
    </row>
    <row r="818" spans="1:13" x14ac:dyDescent="0.35">
      <c r="A818" t="s">
        <v>1425</v>
      </c>
      <c r="B818" t="s">
        <v>38</v>
      </c>
      <c r="C818" t="s">
        <v>1199</v>
      </c>
      <c r="D818" t="s">
        <v>25</v>
      </c>
      <c r="E818" t="s">
        <v>34</v>
      </c>
      <c r="F818" t="s">
        <v>27</v>
      </c>
      <c r="G818" t="s">
        <v>19</v>
      </c>
      <c r="H818">
        <v>348</v>
      </c>
      <c r="I818">
        <v>40</v>
      </c>
      <c r="J818">
        <v>0</v>
      </c>
      <c r="K818" t="s">
        <v>29</v>
      </c>
      <c r="L818">
        <v>56</v>
      </c>
      <c r="M818" t="s">
        <v>21</v>
      </c>
    </row>
    <row r="819" spans="1:13" x14ac:dyDescent="0.35">
      <c r="A819" t="s">
        <v>1426</v>
      </c>
      <c r="B819" t="s">
        <v>273</v>
      </c>
      <c r="C819" t="s">
        <v>94</v>
      </c>
      <c r="D819" t="s">
        <v>25</v>
      </c>
      <c r="E819" t="s">
        <v>34</v>
      </c>
      <c r="F819" t="s">
        <v>27</v>
      </c>
      <c r="G819" t="s">
        <v>19</v>
      </c>
      <c r="H819">
        <v>672</v>
      </c>
      <c r="I819">
        <v>40</v>
      </c>
      <c r="J819">
        <v>30</v>
      </c>
      <c r="K819" t="s">
        <v>20</v>
      </c>
      <c r="L819">
        <v>55</v>
      </c>
      <c r="M819" t="s">
        <v>30</v>
      </c>
    </row>
    <row r="820" spans="1:13" x14ac:dyDescent="0.35">
      <c r="A820" t="s">
        <v>1427</v>
      </c>
      <c r="B820" t="s">
        <v>432</v>
      </c>
      <c r="C820" t="s">
        <v>1428</v>
      </c>
      <c r="D820" t="s">
        <v>40</v>
      </c>
      <c r="E820" t="s">
        <v>111</v>
      </c>
      <c r="F820" t="s">
        <v>18</v>
      </c>
      <c r="G820" t="s">
        <v>59</v>
      </c>
      <c r="H820">
        <v>332</v>
      </c>
      <c r="I820">
        <v>50</v>
      </c>
      <c r="J820">
        <v>50</v>
      </c>
      <c r="K820" t="s">
        <v>29</v>
      </c>
      <c r="L820">
        <v>37</v>
      </c>
      <c r="M820" t="s">
        <v>21</v>
      </c>
    </row>
    <row r="821" spans="1:13" x14ac:dyDescent="0.35">
      <c r="A821" t="s">
        <v>1429</v>
      </c>
      <c r="B821" t="s">
        <v>136</v>
      </c>
      <c r="C821" t="s">
        <v>1430</v>
      </c>
      <c r="D821" t="s">
        <v>53</v>
      </c>
      <c r="E821" t="s">
        <v>84</v>
      </c>
      <c r="F821" t="s">
        <v>85</v>
      </c>
      <c r="G821" t="s">
        <v>35</v>
      </c>
      <c r="H821">
        <v>588</v>
      </c>
      <c r="I821">
        <v>40</v>
      </c>
      <c r="J821">
        <v>0</v>
      </c>
      <c r="K821" t="s">
        <v>20</v>
      </c>
      <c r="L821">
        <v>34</v>
      </c>
      <c r="M821" t="s">
        <v>30</v>
      </c>
    </row>
    <row r="822" spans="1:13" x14ac:dyDescent="0.35">
      <c r="A822" t="s">
        <v>1431</v>
      </c>
      <c r="B822" t="s">
        <v>136</v>
      </c>
      <c r="C822" t="s">
        <v>1432</v>
      </c>
      <c r="D822" t="s">
        <v>46</v>
      </c>
      <c r="E822" t="s">
        <v>148</v>
      </c>
      <c r="F822" t="s">
        <v>27</v>
      </c>
      <c r="G822" t="s">
        <v>28</v>
      </c>
      <c r="H822">
        <v>252</v>
      </c>
      <c r="I822">
        <v>30</v>
      </c>
      <c r="J822">
        <v>0</v>
      </c>
      <c r="K822" t="s">
        <v>29</v>
      </c>
      <c r="L822">
        <v>43</v>
      </c>
      <c r="M822" t="s">
        <v>21</v>
      </c>
    </row>
    <row r="823" spans="1:13" x14ac:dyDescent="0.35">
      <c r="A823" t="s">
        <v>1433</v>
      </c>
      <c r="B823" t="s">
        <v>65</v>
      </c>
      <c r="C823" t="s">
        <v>1434</v>
      </c>
      <c r="D823" t="s">
        <v>53</v>
      </c>
      <c r="E823" t="s">
        <v>84</v>
      </c>
      <c r="F823" t="s">
        <v>85</v>
      </c>
      <c r="G823" t="s">
        <v>19</v>
      </c>
      <c r="H823">
        <v>257</v>
      </c>
      <c r="I823">
        <v>40</v>
      </c>
      <c r="J823">
        <v>100</v>
      </c>
      <c r="K823" t="s">
        <v>29</v>
      </c>
      <c r="L823">
        <v>53</v>
      </c>
      <c r="M823" t="s">
        <v>21</v>
      </c>
    </row>
    <row r="824" spans="1:13" x14ac:dyDescent="0.35">
      <c r="A824" t="s">
        <v>1435</v>
      </c>
      <c r="B824" t="s">
        <v>192</v>
      </c>
      <c r="C824" t="s">
        <v>991</v>
      </c>
      <c r="D824" t="s">
        <v>40</v>
      </c>
      <c r="E824" t="s">
        <v>67</v>
      </c>
      <c r="F824" t="s">
        <v>48</v>
      </c>
      <c r="G824" t="s">
        <v>176</v>
      </c>
      <c r="H824">
        <v>290</v>
      </c>
      <c r="I824">
        <v>40</v>
      </c>
      <c r="J824">
        <v>100</v>
      </c>
      <c r="K824" t="s">
        <v>36</v>
      </c>
      <c r="L824">
        <v>35</v>
      </c>
      <c r="M824" t="s">
        <v>21</v>
      </c>
    </row>
    <row r="825" spans="1:13" x14ac:dyDescent="0.35">
      <c r="A825" t="s">
        <v>1436</v>
      </c>
      <c r="B825" t="s">
        <v>244</v>
      </c>
      <c r="C825" t="s">
        <v>482</v>
      </c>
      <c r="D825" t="s">
        <v>40</v>
      </c>
      <c r="E825" t="s">
        <v>111</v>
      </c>
      <c r="F825" t="s">
        <v>18</v>
      </c>
      <c r="G825" t="s">
        <v>19</v>
      </c>
      <c r="H825">
        <v>205</v>
      </c>
      <c r="I825">
        <v>20</v>
      </c>
      <c r="J825">
        <v>0</v>
      </c>
      <c r="K825" t="s">
        <v>29</v>
      </c>
      <c r="L825">
        <v>40</v>
      </c>
      <c r="M825" t="s">
        <v>30</v>
      </c>
    </row>
    <row r="826" spans="1:13" x14ac:dyDescent="0.35">
      <c r="A826" t="s">
        <v>1437</v>
      </c>
      <c r="B826" t="s">
        <v>368</v>
      </c>
      <c r="C826" t="s">
        <v>886</v>
      </c>
      <c r="D826" t="s">
        <v>25</v>
      </c>
      <c r="E826" t="s">
        <v>34</v>
      </c>
      <c r="F826" t="s">
        <v>27</v>
      </c>
      <c r="G826" t="s">
        <v>107</v>
      </c>
      <c r="H826">
        <v>427</v>
      </c>
      <c r="I826">
        <v>20</v>
      </c>
      <c r="J826">
        <v>30</v>
      </c>
      <c r="K826" t="s">
        <v>20</v>
      </c>
      <c r="L826">
        <v>54</v>
      </c>
      <c r="M826" t="s">
        <v>21</v>
      </c>
    </row>
    <row r="827" spans="1:13" x14ac:dyDescent="0.35">
      <c r="A827" t="s">
        <v>1438</v>
      </c>
      <c r="B827" t="s">
        <v>126</v>
      </c>
      <c r="C827" t="s">
        <v>642</v>
      </c>
      <c r="D827" t="s">
        <v>53</v>
      </c>
      <c r="E827" t="s">
        <v>54</v>
      </c>
      <c r="F827" t="s">
        <v>55</v>
      </c>
      <c r="G827" t="s">
        <v>107</v>
      </c>
      <c r="H827">
        <v>307</v>
      </c>
      <c r="I827">
        <v>40</v>
      </c>
      <c r="J827">
        <v>0</v>
      </c>
      <c r="K827" t="s">
        <v>36</v>
      </c>
      <c r="L827">
        <v>28</v>
      </c>
      <c r="M827" t="s">
        <v>21</v>
      </c>
    </row>
    <row r="828" spans="1:13" x14ac:dyDescent="0.35">
      <c r="A828" t="s">
        <v>1439</v>
      </c>
      <c r="B828" t="s">
        <v>379</v>
      </c>
      <c r="C828" t="s">
        <v>373</v>
      </c>
      <c r="D828" t="s">
        <v>25</v>
      </c>
      <c r="E828" t="s">
        <v>78</v>
      </c>
      <c r="F828" t="s">
        <v>48</v>
      </c>
      <c r="G828" t="s">
        <v>35</v>
      </c>
      <c r="H828">
        <v>599</v>
      </c>
      <c r="I828">
        <v>40</v>
      </c>
      <c r="J828">
        <v>30</v>
      </c>
      <c r="K828" t="s">
        <v>29</v>
      </c>
      <c r="L828">
        <v>36</v>
      </c>
      <c r="M828" t="s">
        <v>30</v>
      </c>
    </row>
    <row r="829" spans="1:13" x14ac:dyDescent="0.35">
      <c r="A829" t="s">
        <v>1440</v>
      </c>
      <c r="B829" t="s">
        <v>368</v>
      </c>
      <c r="C829" t="s">
        <v>1441</v>
      </c>
      <c r="D829" t="s">
        <v>53</v>
      </c>
      <c r="E829" t="s">
        <v>84</v>
      </c>
      <c r="F829" t="s">
        <v>85</v>
      </c>
      <c r="G829" t="s">
        <v>28</v>
      </c>
      <c r="H829">
        <v>216</v>
      </c>
      <c r="I829">
        <v>30</v>
      </c>
      <c r="J829">
        <v>30</v>
      </c>
      <c r="K829" t="s">
        <v>20</v>
      </c>
      <c r="L829">
        <v>30</v>
      </c>
      <c r="M829" t="s">
        <v>21</v>
      </c>
    </row>
    <row r="830" spans="1:13" x14ac:dyDescent="0.35">
      <c r="A830" t="s">
        <v>1442</v>
      </c>
      <c r="B830" t="s">
        <v>178</v>
      </c>
      <c r="C830" t="s">
        <v>155</v>
      </c>
      <c r="D830" t="s">
        <v>46</v>
      </c>
      <c r="E830" t="s">
        <v>47</v>
      </c>
      <c r="F830" t="s">
        <v>48</v>
      </c>
      <c r="G830" t="s">
        <v>107</v>
      </c>
      <c r="H830">
        <v>614</v>
      </c>
      <c r="I830">
        <v>20</v>
      </c>
      <c r="J830">
        <v>0</v>
      </c>
      <c r="K830" t="s">
        <v>20</v>
      </c>
      <c r="L830">
        <v>50</v>
      </c>
      <c r="M830" t="s">
        <v>21</v>
      </c>
    </row>
    <row r="831" spans="1:13" x14ac:dyDescent="0.35">
      <c r="A831" t="s">
        <v>1443</v>
      </c>
      <c r="B831" t="s">
        <v>207</v>
      </c>
      <c r="C831" t="s">
        <v>555</v>
      </c>
      <c r="D831" t="s">
        <v>25</v>
      </c>
      <c r="E831" t="s">
        <v>78</v>
      </c>
      <c r="F831" t="s">
        <v>48</v>
      </c>
      <c r="G831" t="s">
        <v>74</v>
      </c>
      <c r="H831">
        <v>486</v>
      </c>
      <c r="I831">
        <v>20</v>
      </c>
      <c r="J831">
        <v>30</v>
      </c>
      <c r="K831" t="s">
        <v>20</v>
      </c>
      <c r="L831">
        <v>35</v>
      </c>
      <c r="M831" t="s">
        <v>21</v>
      </c>
    </row>
    <row r="832" spans="1:13" x14ac:dyDescent="0.35">
      <c r="A832" t="s">
        <v>1444</v>
      </c>
      <c r="B832" t="s">
        <v>454</v>
      </c>
      <c r="C832" t="s">
        <v>1445</v>
      </c>
      <c r="D832" t="s">
        <v>46</v>
      </c>
      <c r="E832" t="s">
        <v>47</v>
      </c>
      <c r="F832" t="s">
        <v>48</v>
      </c>
      <c r="G832" t="s">
        <v>176</v>
      </c>
      <c r="H832">
        <v>153</v>
      </c>
      <c r="I832">
        <v>30</v>
      </c>
      <c r="J832">
        <v>50</v>
      </c>
      <c r="K832" t="s">
        <v>29</v>
      </c>
      <c r="L832">
        <v>22</v>
      </c>
      <c r="M832" t="s">
        <v>21</v>
      </c>
    </row>
    <row r="833" spans="1:13" x14ac:dyDescent="0.35">
      <c r="A833" t="s">
        <v>1446</v>
      </c>
      <c r="B833" t="s">
        <v>199</v>
      </c>
      <c r="C833" t="s">
        <v>1421</v>
      </c>
      <c r="D833" t="s">
        <v>53</v>
      </c>
      <c r="E833" t="s">
        <v>54</v>
      </c>
      <c r="F833" t="s">
        <v>55</v>
      </c>
      <c r="G833" t="s">
        <v>19</v>
      </c>
      <c r="H833">
        <v>617</v>
      </c>
      <c r="I833">
        <v>40</v>
      </c>
      <c r="J833">
        <v>20</v>
      </c>
      <c r="K833" t="s">
        <v>20</v>
      </c>
      <c r="L833">
        <v>45</v>
      </c>
      <c r="M833" t="s">
        <v>21</v>
      </c>
    </row>
    <row r="834" spans="1:13" x14ac:dyDescent="0.35">
      <c r="A834" t="s">
        <v>1447</v>
      </c>
      <c r="B834" t="s">
        <v>80</v>
      </c>
      <c r="C834" t="s">
        <v>489</v>
      </c>
      <c r="D834" t="s">
        <v>53</v>
      </c>
      <c r="E834" t="s">
        <v>152</v>
      </c>
      <c r="F834" t="s">
        <v>18</v>
      </c>
      <c r="G834" t="s">
        <v>59</v>
      </c>
      <c r="H834">
        <v>500</v>
      </c>
      <c r="I834">
        <v>20</v>
      </c>
      <c r="J834">
        <v>20</v>
      </c>
      <c r="K834" t="s">
        <v>29</v>
      </c>
      <c r="L834">
        <v>51</v>
      </c>
      <c r="M834" t="s">
        <v>21</v>
      </c>
    </row>
    <row r="835" spans="1:13" x14ac:dyDescent="0.35">
      <c r="A835" t="s">
        <v>1448</v>
      </c>
      <c r="B835" t="s">
        <v>118</v>
      </c>
      <c r="C835" t="s">
        <v>573</v>
      </c>
      <c r="D835" t="s">
        <v>40</v>
      </c>
      <c r="E835" t="s">
        <v>41</v>
      </c>
      <c r="F835" t="s">
        <v>27</v>
      </c>
      <c r="G835" t="s">
        <v>28</v>
      </c>
      <c r="H835">
        <v>549</v>
      </c>
      <c r="I835">
        <v>40</v>
      </c>
      <c r="J835">
        <v>20</v>
      </c>
      <c r="K835" t="s">
        <v>20</v>
      </c>
      <c r="L835">
        <v>54</v>
      </c>
      <c r="M835" t="s">
        <v>21</v>
      </c>
    </row>
    <row r="836" spans="1:13" x14ac:dyDescent="0.35">
      <c r="A836" t="s">
        <v>1449</v>
      </c>
      <c r="B836" t="s">
        <v>322</v>
      </c>
      <c r="C836" t="s">
        <v>1450</v>
      </c>
      <c r="D836" t="s">
        <v>16</v>
      </c>
      <c r="E836" t="s">
        <v>89</v>
      </c>
      <c r="F836" t="s">
        <v>18</v>
      </c>
      <c r="G836" t="s">
        <v>28</v>
      </c>
      <c r="H836">
        <v>678</v>
      </c>
      <c r="I836">
        <v>20</v>
      </c>
      <c r="J836">
        <v>20</v>
      </c>
      <c r="K836" t="s">
        <v>20</v>
      </c>
      <c r="L836">
        <v>48</v>
      </c>
      <c r="M836" t="s">
        <v>21</v>
      </c>
    </row>
    <row r="837" spans="1:13" x14ac:dyDescent="0.35">
      <c r="A837" t="s">
        <v>1451</v>
      </c>
      <c r="B837" t="s">
        <v>129</v>
      </c>
      <c r="C837" t="s">
        <v>747</v>
      </c>
      <c r="D837" t="s">
        <v>46</v>
      </c>
      <c r="E837" t="s">
        <v>70</v>
      </c>
      <c r="F837" t="s">
        <v>18</v>
      </c>
      <c r="G837" t="s">
        <v>35</v>
      </c>
      <c r="H837">
        <v>388</v>
      </c>
      <c r="I837">
        <v>30</v>
      </c>
      <c r="J837">
        <v>30</v>
      </c>
      <c r="K837" t="s">
        <v>29</v>
      </c>
      <c r="L837">
        <v>57</v>
      </c>
      <c r="M837" t="s">
        <v>21</v>
      </c>
    </row>
    <row r="838" spans="1:13" x14ac:dyDescent="0.35">
      <c r="A838" t="s">
        <v>1452</v>
      </c>
      <c r="B838" t="s">
        <v>291</v>
      </c>
      <c r="C838" t="s">
        <v>1453</v>
      </c>
      <c r="D838" t="s">
        <v>25</v>
      </c>
      <c r="E838" t="s">
        <v>34</v>
      </c>
      <c r="F838" t="s">
        <v>27</v>
      </c>
      <c r="G838" t="s">
        <v>74</v>
      </c>
      <c r="H838">
        <v>597</v>
      </c>
      <c r="I838">
        <v>30</v>
      </c>
      <c r="J838">
        <v>100</v>
      </c>
      <c r="K838" t="s">
        <v>36</v>
      </c>
      <c r="L838">
        <v>30</v>
      </c>
      <c r="M838" t="s">
        <v>21</v>
      </c>
    </row>
    <row r="839" spans="1:13" x14ac:dyDescent="0.35">
      <c r="A839" t="s">
        <v>1454</v>
      </c>
      <c r="B839" t="s">
        <v>342</v>
      </c>
      <c r="C839" t="s">
        <v>1455</v>
      </c>
      <c r="D839" t="s">
        <v>25</v>
      </c>
      <c r="E839" t="s">
        <v>34</v>
      </c>
      <c r="F839" t="s">
        <v>27</v>
      </c>
      <c r="G839" t="s">
        <v>63</v>
      </c>
      <c r="H839">
        <v>371</v>
      </c>
      <c r="I839">
        <v>20</v>
      </c>
      <c r="J839">
        <v>50</v>
      </c>
      <c r="K839" t="s">
        <v>20</v>
      </c>
      <c r="L839">
        <v>23</v>
      </c>
      <c r="M839" t="s">
        <v>21</v>
      </c>
    </row>
    <row r="840" spans="1:13" x14ac:dyDescent="0.35">
      <c r="A840" t="s">
        <v>1456</v>
      </c>
      <c r="B840" t="s">
        <v>297</v>
      </c>
      <c r="C840" t="s">
        <v>1457</v>
      </c>
      <c r="D840" t="s">
        <v>40</v>
      </c>
      <c r="E840" t="s">
        <v>41</v>
      </c>
      <c r="F840" t="s">
        <v>27</v>
      </c>
      <c r="G840" t="s">
        <v>35</v>
      </c>
      <c r="H840">
        <v>261</v>
      </c>
      <c r="I840">
        <v>20</v>
      </c>
      <c r="J840">
        <v>30</v>
      </c>
      <c r="K840" t="s">
        <v>36</v>
      </c>
      <c r="L840">
        <v>52</v>
      </c>
      <c r="M840" t="s">
        <v>21</v>
      </c>
    </row>
    <row r="841" spans="1:13" x14ac:dyDescent="0.35">
      <c r="A841" t="s">
        <v>1458</v>
      </c>
      <c r="B841" t="s">
        <v>69</v>
      </c>
      <c r="C841" t="s">
        <v>1459</v>
      </c>
      <c r="D841" t="s">
        <v>53</v>
      </c>
      <c r="E841" t="s">
        <v>54</v>
      </c>
      <c r="F841" t="s">
        <v>55</v>
      </c>
      <c r="G841" t="s">
        <v>107</v>
      </c>
      <c r="H841">
        <v>496</v>
      </c>
      <c r="I841">
        <v>20</v>
      </c>
      <c r="J841">
        <v>100</v>
      </c>
      <c r="K841" t="s">
        <v>36</v>
      </c>
      <c r="L841">
        <v>29</v>
      </c>
      <c r="M841" t="s">
        <v>21</v>
      </c>
    </row>
    <row r="842" spans="1:13" x14ac:dyDescent="0.35">
      <c r="A842" t="s">
        <v>1460</v>
      </c>
      <c r="B842" t="s">
        <v>342</v>
      </c>
      <c r="C842" t="s">
        <v>1461</v>
      </c>
      <c r="D842" t="s">
        <v>25</v>
      </c>
      <c r="E842" t="s">
        <v>26</v>
      </c>
      <c r="F842" t="s">
        <v>27</v>
      </c>
      <c r="G842" t="s">
        <v>59</v>
      </c>
      <c r="H842">
        <v>577</v>
      </c>
      <c r="I842">
        <v>20</v>
      </c>
      <c r="J842">
        <v>0</v>
      </c>
      <c r="K842" t="s">
        <v>20</v>
      </c>
      <c r="L842">
        <v>53</v>
      </c>
      <c r="M842" t="s">
        <v>21</v>
      </c>
    </row>
    <row r="843" spans="1:13" x14ac:dyDescent="0.35">
      <c r="A843" t="s">
        <v>1462</v>
      </c>
      <c r="B843" t="s">
        <v>109</v>
      </c>
      <c r="C843" t="s">
        <v>184</v>
      </c>
      <c r="D843" t="s">
        <v>40</v>
      </c>
      <c r="E843" t="s">
        <v>111</v>
      </c>
      <c r="F843" t="s">
        <v>18</v>
      </c>
      <c r="G843" t="s">
        <v>59</v>
      </c>
      <c r="H843">
        <v>359</v>
      </c>
      <c r="I843">
        <v>40</v>
      </c>
      <c r="J843">
        <v>0</v>
      </c>
      <c r="K843" t="s">
        <v>36</v>
      </c>
      <c r="L843">
        <v>56</v>
      </c>
      <c r="M843" t="s">
        <v>21</v>
      </c>
    </row>
    <row r="844" spans="1:13" x14ac:dyDescent="0.35">
      <c r="A844" t="s">
        <v>1463</v>
      </c>
      <c r="B844" t="s">
        <v>146</v>
      </c>
      <c r="C844" t="s">
        <v>1073</v>
      </c>
      <c r="D844" t="s">
        <v>25</v>
      </c>
      <c r="E844" t="s">
        <v>26</v>
      </c>
      <c r="F844" t="s">
        <v>27</v>
      </c>
      <c r="G844" t="s">
        <v>35</v>
      </c>
      <c r="H844">
        <v>265</v>
      </c>
      <c r="I844">
        <v>40</v>
      </c>
      <c r="J844">
        <v>30</v>
      </c>
      <c r="K844" t="s">
        <v>36</v>
      </c>
      <c r="L844">
        <v>60</v>
      </c>
      <c r="M844" t="s">
        <v>21</v>
      </c>
    </row>
    <row r="845" spans="1:13" x14ac:dyDescent="0.35">
      <c r="A845" t="s">
        <v>1464</v>
      </c>
      <c r="B845" t="s">
        <v>91</v>
      </c>
      <c r="C845" t="s">
        <v>52</v>
      </c>
      <c r="D845" t="s">
        <v>46</v>
      </c>
      <c r="E845" t="s">
        <v>70</v>
      </c>
      <c r="F845" t="s">
        <v>18</v>
      </c>
      <c r="G845" t="s">
        <v>19</v>
      </c>
      <c r="H845">
        <v>654</v>
      </c>
      <c r="I845">
        <v>50</v>
      </c>
      <c r="J845">
        <v>30</v>
      </c>
      <c r="K845" t="s">
        <v>29</v>
      </c>
      <c r="L845">
        <v>50</v>
      </c>
      <c r="M845" t="s">
        <v>21</v>
      </c>
    </row>
    <row r="846" spans="1:13" x14ac:dyDescent="0.35">
      <c r="A846" t="s">
        <v>1465</v>
      </c>
      <c r="B846" t="s">
        <v>568</v>
      </c>
      <c r="C846" t="s">
        <v>141</v>
      </c>
      <c r="D846" t="s">
        <v>46</v>
      </c>
      <c r="E846" t="s">
        <v>70</v>
      </c>
      <c r="F846" t="s">
        <v>18</v>
      </c>
      <c r="G846" t="s">
        <v>74</v>
      </c>
      <c r="H846">
        <v>422</v>
      </c>
      <c r="I846">
        <v>20</v>
      </c>
      <c r="J846">
        <v>0</v>
      </c>
      <c r="K846" t="s">
        <v>20</v>
      </c>
      <c r="L846">
        <v>30</v>
      </c>
      <c r="M846" t="s">
        <v>21</v>
      </c>
    </row>
    <row r="847" spans="1:13" x14ac:dyDescent="0.35">
      <c r="A847" t="s">
        <v>1466</v>
      </c>
      <c r="B847" t="s">
        <v>44</v>
      </c>
      <c r="C847" t="s">
        <v>1467</v>
      </c>
      <c r="D847" t="s">
        <v>40</v>
      </c>
      <c r="E847" t="s">
        <v>41</v>
      </c>
      <c r="F847" t="s">
        <v>27</v>
      </c>
      <c r="G847" t="s">
        <v>49</v>
      </c>
      <c r="H847">
        <v>357</v>
      </c>
      <c r="I847">
        <v>20</v>
      </c>
      <c r="J847">
        <v>30</v>
      </c>
      <c r="K847" t="s">
        <v>29</v>
      </c>
      <c r="L847">
        <v>34</v>
      </c>
      <c r="M847" t="s">
        <v>21</v>
      </c>
    </row>
    <row r="848" spans="1:13" x14ac:dyDescent="0.35">
      <c r="A848" t="s">
        <v>1468</v>
      </c>
      <c r="B848" t="s">
        <v>329</v>
      </c>
      <c r="C848" t="s">
        <v>535</v>
      </c>
      <c r="D848" t="s">
        <v>16</v>
      </c>
      <c r="E848" t="s">
        <v>17</v>
      </c>
      <c r="F848" t="s">
        <v>18</v>
      </c>
      <c r="G848" t="s">
        <v>176</v>
      </c>
      <c r="H848">
        <v>510</v>
      </c>
      <c r="I848">
        <v>30</v>
      </c>
      <c r="J848">
        <v>0</v>
      </c>
      <c r="K848" t="s">
        <v>29</v>
      </c>
      <c r="L848">
        <v>38</v>
      </c>
      <c r="M848" t="s">
        <v>21</v>
      </c>
    </row>
    <row r="849" spans="1:13" x14ac:dyDescent="0.35">
      <c r="A849" t="s">
        <v>1469</v>
      </c>
      <c r="B849" t="s">
        <v>583</v>
      </c>
      <c r="C849" t="s">
        <v>1470</v>
      </c>
      <c r="D849" t="s">
        <v>46</v>
      </c>
      <c r="E849" t="s">
        <v>70</v>
      </c>
      <c r="F849" t="s">
        <v>18</v>
      </c>
      <c r="G849" t="s">
        <v>42</v>
      </c>
      <c r="H849">
        <v>359</v>
      </c>
      <c r="I849">
        <v>30</v>
      </c>
      <c r="J849">
        <v>20</v>
      </c>
      <c r="K849" t="s">
        <v>20</v>
      </c>
      <c r="L849">
        <v>60</v>
      </c>
      <c r="M849" t="s">
        <v>21</v>
      </c>
    </row>
    <row r="850" spans="1:13" x14ac:dyDescent="0.35">
      <c r="A850" t="s">
        <v>1471</v>
      </c>
      <c r="B850" t="s">
        <v>271</v>
      </c>
      <c r="C850" t="s">
        <v>1472</v>
      </c>
      <c r="D850" t="s">
        <v>40</v>
      </c>
      <c r="E850" t="s">
        <v>67</v>
      </c>
      <c r="F850" t="s">
        <v>48</v>
      </c>
      <c r="G850" t="s">
        <v>49</v>
      </c>
      <c r="H850">
        <v>727</v>
      </c>
      <c r="I850">
        <v>20</v>
      </c>
      <c r="J850">
        <v>50</v>
      </c>
      <c r="K850" t="s">
        <v>29</v>
      </c>
      <c r="L850">
        <v>60</v>
      </c>
      <c r="M850" t="s">
        <v>21</v>
      </c>
    </row>
    <row r="851" spans="1:13" x14ac:dyDescent="0.35">
      <c r="A851" t="s">
        <v>1473</v>
      </c>
      <c r="B851" t="s">
        <v>295</v>
      </c>
      <c r="C851" t="s">
        <v>1022</v>
      </c>
      <c r="D851" t="s">
        <v>16</v>
      </c>
      <c r="E851" t="s">
        <v>17</v>
      </c>
      <c r="F851" t="s">
        <v>18</v>
      </c>
      <c r="G851" t="s">
        <v>42</v>
      </c>
      <c r="H851">
        <v>240</v>
      </c>
      <c r="I851">
        <v>30</v>
      </c>
      <c r="J851">
        <v>20</v>
      </c>
      <c r="K851" t="s">
        <v>29</v>
      </c>
      <c r="L851">
        <v>35</v>
      </c>
      <c r="M851" t="s">
        <v>21</v>
      </c>
    </row>
    <row r="852" spans="1:13" x14ac:dyDescent="0.35">
      <c r="A852" t="s">
        <v>1474</v>
      </c>
      <c r="B852" t="s">
        <v>568</v>
      </c>
      <c r="C852" t="s">
        <v>163</v>
      </c>
      <c r="D852" t="s">
        <v>46</v>
      </c>
      <c r="E852" t="s">
        <v>70</v>
      </c>
      <c r="F852" t="s">
        <v>18</v>
      </c>
      <c r="G852" t="s">
        <v>19</v>
      </c>
      <c r="H852">
        <v>506</v>
      </c>
      <c r="I852">
        <v>30</v>
      </c>
      <c r="J852">
        <v>50</v>
      </c>
      <c r="K852" t="s">
        <v>29</v>
      </c>
      <c r="L852">
        <v>44</v>
      </c>
      <c r="M852" t="s">
        <v>21</v>
      </c>
    </row>
    <row r="853" spans="1:13" x14ac:dyDescent="0.35">
      <c r="A853" t="s">
        <v>1475</v>
      </c>
      <c r="B853" t="s">
        <v>600</v>
      </c>
      <c r="C853" t="s">
        <v>797</v>
      </c>
      <c r="D853" t="s">
        <v>16</v>
      </c>
      <c r="E853" t="s">
        <v>131</v>
      </c>
      <c r="F853" t="s">
        <v>55</v>
      </c>
      <c r="G853" t="s">
        <v>19</v>
      </c>
      <c r="H853">
        <v>153</v>
      </c>
      <c r="I853">
        <v>50</v>
      </c>
      <c r="J853">
        <v>50</v>
      </c>
      <c r="K853" t="s">
        <v>29</v>
      </c>
      <c r="L853">
        <v>35</v>
      </c>
      <c r="M853" t="s">
        <v>21</v>
      </c>
    </row>
    <row r="854" spans="1:13" x14ac:dyDescent="0.35">
      <c r="A854" t="s">
        <v>1476</v>
      </c>
      <c r="B854" t="s">
        <v>218</v>
      </c>
      <c r="C854" t="s">
        <v>1477</v>
      </c>
      <c r="D854" t="s">
        <v>16</v>
      </c>
      <c r="E854" t="s">
        <v>131</v>
      </c>
      <c r="F854" t="s">
        <v>55</v>
      </c>
      <c r="G854" t="s">
        <v>28</v>
      </c>
      <c r="H854">
        <v>710</v>
      </c>
      <c r="I854">
        <v>30</v>
      </c>
      <c r="J854">
        <v>100</v>
      </c>
      <c r="K854" t="s">
        <v>36</v>
      </c>
      <c r="L854">
        <v>27</v>
      </c>
      <c r="M854" t="s">
        <v>21</v>
      </c>
    </row>
    <row r="855" spans="1:13" x14ac:dyDescent="0.35">
      <c r="A855" t="s">
        <v>1478</v>
      </c>
      <c r="B855" t="s">
        <v>388</v>
      </c>
      <c r="C855" t="s">
        <v>313</v>
      </c>
      <c r="D855" t="s">
        <v>40</v>
      </c>
      <c r="E855" t="s">
        <v>41</v>
      </c>
      <c r="F855" t="s">
        <v>27</v>
      </c>
      <c r="G855" t="s">
        <v>19</v>
      </c>
      <c r="H855">
        <v>535</v>
      </c>
      <c r="I855">
        <v>30</v>
      </c>
      <c r="J855">
        <v>20</v>
      </c>
      <c r="K855" t="s">
        <v>20</v>
      </c>
      <c r="L855">
        <v>47</v>
      </c>
      <c r="M855" t="s">
        <v>21</v>
      </c>
    </row>
    <row r="856" spans="1:13" x14ac:dyDescent="0.35">
      <c r="A856" t="s">
        <v>1479</v>
      </c>
      <c r="B856" t="s">
        <v>65</v>
      </c>
      <c r="C856" t="s">
        <v>664</v>
      </c>
      <c r="D856" t="s">
        <v>53</v>
      </c>
      <c r="E856" t="s">
        <v>152</v>
      </c>
      <c r="F856" t="s">
        <v>18</v>
      </c>
      <c r="G856" t="s">
        <v>19</v>
      </c>
      <c r="H856">
        <v>215</v>
      </c>
      <c r="I856">
        <v>30</v>
      </c>
      <c r="J856">
        <v>20</v>
      </c>
      <c r="K856" t="s">
        <v>20</v>
      </c>
      <c r="L856">
        <v>49</v>
      </c>
      <c r="M856" t="s">
        <v>21</v>
      </c>
    </row>
    <row r="857" spans="1:13" x14ac:dyDescent="0.35">
      <c r="A857" t="s">
        <v>1480</v>
      </c>
      <c r="B857" t="s">
        <v>113</v>
      </c>
      <c r="C857" t="s">
        <v>743</v>
      </c>
      <c r="D857" t="s">
        <v>46</v>
      </c>
      <c r="E857" t="s">
        <v>148</v>
      </c>
      <c r="F857" t="s">
        <v>27</v>
      </c>
      <c r="G857" t="s">
        <v>176</v>
      </c>
      <c r="H857">
        <v>361</v>
      </c>
      <c r="I857">
        <v>20</v>
      </c>
      <c r="J857">
        <v>20</v>
      </c>
      <c r="K857" t="s">
        <v>29</v>
      </c>
      <c r="L857">
        <v>49</v>
      </c>
      <c r="M857" t="s">
        <v>21</v>
      </c>
    </row>
    <row r="858" spans="1:13" x14ac:dyDescent="0.35">
      <c r="A858" t="s">
        <v>1481</v>
      </c>
      <c r="B858" t="s">
        <v>133</v>
      </c>
      <c r="C858" t="s">
        <v>1482</v>
      </c>
      <c r="D858" t="s">
        <v>25</v>
      </c>
      <c r="E858" t="s">
        <v>78</v>
      </c>
      <c r="F858" t="s">
        <v>48</v>
      </c>
      <c r="G858" t="s">
        <v>176</v>
      </c>
      <c r="H858">
        <v>180</v>
      </c>
      <c r="I858">
        <v>30</v>
      </c>
      <c r="J858">
        <v>20</v>
      </c>
      <c r="K858" t="s">
        <v>20</v>
      </c>
      <c r="L858">
        <v>20</v>
      </c>
      <c r="M858" t="s">
        <v>30</v>
      </c>
    </row>
    <row r="859" spans="1:13" x14ac:dyDescent="0.35">
      <c r="A859" t="s">
        <v>1483</v>
      </c>
      <c r="B859" t="s">
        <v>129</v>
      </c>
      <c r="C859" t="s">
        <v>675</v>
      </c>
      <c r="D859" t="s">
        <v>40</v>
      </c>
      <c r="E859" t="s">
        <v>67</v>
      </c>
      <c r="F859" t="s">
        <v>48</v>
      </c>
      <c r="G859" t="s">
        <v>35</v>
      </c>
      <c r="H859">
        <v>667</v>
      </c>
      <c r="I859">
        <v>40</v>
      </c>
      <c r="J859">
        <v>0</v>
      </c>
      <c r="K859" t="s">
        <v>20</v>
      </c>
      <c r="L859">
        <v>40</v>
      </c>
      <c r="M859" t="s">
        <v>21</v>
      </c>
    </row>
    <row r="860" spans="1:13" x14ac:dyDescent="0.35">
      <c r="A860" t="s">
        <v>1484</v>
      </c>
      <c r="B860" t="s">
        <v>300</v>
      </c>
      <c r="C860" t="s">
        <v>163</v>
      </c>
      <c r="D860" t="s">
        <v>16</v>
      </c>
      <c r="E860" t="s">
        <v>131</v>
      </c>
      <c r="F860" t="s">
        <v>55</v>
      </c>
      <c r="G860" t="s">
        <v>42</v>
      </c>
      <c r="H860">
        <v>249</v>
      </c>
      <c r="I860">
        <v>20</v>
      </c>
      <c r="J860">
        <v>100</v>
      </c>
      <c r="K860" t="s">
        <v>20</v>
      </c>
      <c r="L860">
        <v>54</v>
      </c>
      <c r="M860" t="s">
        <v>21</v>
      </c>
    </row>
    <row r="861" spans="1:13" x14ac:dyDescent="0.35">
      <c r="A861" t="s">
        <v>1485</v>
      </c>
      <c r="B861" t="s">
        <v>271</v>
      </c>
      <c r="C861" t="s">
        <v>1128</v>
      </c>
      <c r="D861" t="s">
        <v>53</v>
      </c>
      <c r="E861" t="s">
        <v>84</v>
      </c>
      <c r="F861" t="s">
        <v>85</v>
      </c>
      <c r="G861" t="s">
        <v>107</v>
      </c>
      <c r="H861">
        <v>573</v>
      </c>
      <c r="I861">
        <v>40</v>
      </c>
      <c r="J861">
        <v>0</v>
      </c>
      <c r="K861" t="s">
        <v>20</v>
      </c>
      <c r="L861">
        <v>37</v>
      </c>
      <c r="M861" t="s">
        <v>21</v>
      </c>
    </row>
    <row r="862" spans="1:13" x14ac:dyDescent="0.35">
      <c r="A862" t="s">
        <v>1486</v>
      </c>
      <c r="B862" t="s">
        <v>541</v>
      </c>
      <c r="C862" t="s">
        <v>200</v>
      </c>
      <c r="D862" t="s">
        <v>53</v>
      </c>
      <c r="E862" t="s">
        <v>84</v>
      </c>
      <c r="F862" t="s">
        <v>85</v>
      </c>
      <c r="G862" t="s">
        <v>176</v>
      </c>
      <c r="H862">
        <v>532</v>
      </c>
      <c r="I862">
        <v>20</v>
      </c>
      <c r="J862">
        <v>20</v>
      </c>
      <c r="K862" t="s">
        <v>29</v>
      </c>
      <c r="L862">
        <v>36</v>
      </c>
      <c r="M862" t="s">
        <v>21</v>
      </c>
    </row>
    <row r="863" spans="1:13" x14ac:dyDescent="0.35">
      <c r="A863" t="s">
        <v>1487</v>
      </c>
      <c r="B863" t="s">
        <v>600</v>
      </c>
      <c r="C863" t="s">
        <v>521</v>
      </c>
      <c r="D863" t="s">
        <v>40</v>
      </c>
      <c r="E863" t="s">
        <v>41</v>
      </c>
      <c r="F863" t="s">
        <v>27</v>
      </c>
      <c r="G863" t="s">
        <v>176</v>
      </c>
      <c r="H863">
        <v>279</v>
      </c>
      <c r="I863">
        <v>20</v>
      </c>
      <c r="J863">
        <v>0</v>
      </c>
      <c r="K863" t="s">
        <v>36</v>
      </c>
      <c r="L863">
        <v>37</v>
      </c>
      <c r="M863" t="s">
        <v>30</v>
      </c>
    </row>
    <row r="864" spans="1:13" x14ac:dyDescent="0.35">
      <c r="A864" t="s">
        <v>1488</v>
      </c>
      <c r="B864" t="s">
        <v>286</v>
      </c>
      <c r="C864" t="s">
        <v>884</v>
      </c>
      <c r="D864" t="s">
        <v>46</v>
      </c>
      <c r="E864" t="s">
        <v>47</v>
      </c>
      <c r="F864" t="s">
        <v>48</v>
      </c>
      <c r="G864" t="s">
        <v>19</v>
      </c>
      <c r="H864">
        <v>272</v>
      </c>
      <c r="I864">
        <v>30</v>
      </c>
      <c r="J864">
        <v>20</v>
      </c>
      <c r="K864" t="s">
        <v>36</v>
      </c>
      <c r="L864">
        <v>46</v>
      </c>
      <c r="M864" t="s">
        <v>21</v>
      </c>
    </row>
    <row r="865" spans="1:13" x14ac:dyDescent="0.35">
      <c r="A865" t="s">
        <v>1489</v>
      </c>
      <c r="B865" t="s">
        <v>38</v>
      </c>
      <c r="C865" t="s">
        <v>1490</v>
      </c>
      <c r="D865" t="s">
        <v>16</v>
      </c>
      <c r="E865" t="s">
        <v>131</v>
      </c>
      <c r="F865" t="s">
        <v>55</v>
      </c>
      <c r="G865" t="s">
        <v>35</v>
      </c>
      <c r="H865">
        <v>736</v>
      </c>
      <c r="I865">
        <v>50</v>
      </c>
      <c r="J865">
        <v>20</v>
      </c>
      <c r="K865" t="s">
        <v>20</v>
      </c>
      <c r="L865">
        <v>60</v>
      </c>
      <c r="M865" t="s">
        <v>21</v>
      </c>
    </row>
    <row r="866" spans="1:13" x14ac:dyDescent="0.35">
      <c r="A866" t="s">
        <v>1491</v>
      </c>
      <c r="B866" t="s">
        <v>61</v>
      </c>
      <c r="C866" t="s">
        <v>1374</v>
      </c>
      <c r="D866" t="s">
        <v>25</v>
      </c>
      <c r="E866" t="s">
        <v>78</v>
      </c>
      <c r="F866" t="s">
        <v>48</v>
      </c>
      <c r="G866" t="s">
        <v>59</v>
      </c>
      <c r="H866">
        <v>534</v>
      </c>
      <c r="I866">
        <v>20</v>
      </c>
      <c r="J866">
        <v>30</v>
      </c>
      <c r="K866" t="s">
        <v>29</v>
      </c>
      <c r="L866">
        <v>29</v>
      </c>
      <c r="M866" t="s">
        <v>21</v>
      </c>
    </row>
    <row r="867" spans="1:13" x14ac:dyDescent="0.35">
      <c r="A867" t="s">
        <v>1492</v>
      </c>
      <c r="B867" t="s">
        <v>280</v>
      </c>
      <c r="C867" t="s">
        <v>516</v>
      </c>
      <c r="D867" t="s">
        <v>25</v>
      </c>
      <c r="E867" t="s">
        <v>78</v>
      </c>
      <c r="F867" t="s">
        <v>48</v>
      </c>
      <c r="G867" t="s">
        <v>176</v>
      </c>
      <c r="H867">
        <v>165</v>
      </c>
      <c r="I867">
        <v>50</v>
      </c>
      <c r="J867">
        <v>0</v>
      </c>
      <c r="K867" t="s">
        <v>20</v>
      </c>
      <c r="L867">
        <v>23</v>
      </c>
      <c r="M867" t="s">
        <v>21</v>
      </c>
    </row>
    <row r="868" spans="1:13" x14ac:dyDescent="0.35">
      <c r="A868" t="s">
        <v>1493</v>
      </c>
      <c r="B868" t="s">
        <v>181</v>
      </c>
      <c r="C868" t="s">
        <v>623</v>
      </c>
      <c r="D868" t="s">
        <v>53</v>
      </c>
      <c r="E868" t="s">
        <v>84</v>
      </c>
      <c r="F868" t="s">
        <v>85</v>
      </c>
      <c r="G868" t="s">
        <v>63</v>
      </c>
      <c r="H868">
        <v>187</v>
      </c>
      <c r="I868">
        <v>20</v>
      </c>
      <c r="J868">
        <v>30</v>
      </c>
      <c r="K868" t="s">
        <v>20</v>
      </c>
      <c r="L868">
        <v>48</v>
      </c>
      <c r="M868" t="s">
        <v>21</v>
      </c>
    </row>
    <row r="869" spans="1:13" x14ac:dyDescent="0.35">
      <c r="A869" t="s">
        <v>1494</v>
      </c>
      <c r="B869" t="s">
        <v>23</v>
      </c>
      <c r="C869" t="s">
        <v>1495</v>
      </c>
      <c r="D869" t="s">
        <v>16</v>
      </c>
      <c r="E869" t="s">
        <v>89</v>
      </c>
      <c r="F869" t="s">
        <v>18</v>
      </c>
      <c r="G869" t="s">
        <v>35</v>
      </c>
      <c r="H869">
        <v>172</v>
      </c>
      <c r="I869">
        <v>20</v>
      </c>
      <c r="J869">
        <v>30</v>
      </c>
      <c r="K869" t="s">
        <v>36</v>
      </c>
      <c r="L869">
        <v>21</v>
      </c>
      <c r="M869" t="s">
        <v>21</v>
      </c>
    </row>
    <row r="870" spans="1:13" x14ac:dyDescent="0.35">
      <c r="A870" t="s">
        <v>1496</v>
      </c>
      <c r="B870" t="s">
        <v>244</v>
      </c>
      <c r="C870" t="s">
        <v>1226</v>
      </c>
      <c r="D870" t="s">
        <v>25</v>
      </c>
      <c r="E870" t="s">
        <v>78</v>
      </c>
      <c r="F870" t="s">
        <v>48</v>
      </c>
      <c r="G870" t="s">
        <v>59</v>
      </c>
      <c r="H870">
        <v>418</v>
      </c>
      <c r="I870">
        <v>20</v>
      </c>
      <c r="J870">
        <v>30</v>
      </c>
      <c r="K870" t="s">
        <v>20</v>
      </c>
      <c r="L870">
        <v>40</v>
      </c>
      <c r="M870" t="s">
        <v>30</v>
      </c>
    </row>
    <row r="871" spans="1:13" x14ac:dyDescent="0.35">
      <c r="A871" t="s">
        <v>1497</v>
      </c>
      <c r="B871" t="s">
        <v>174</v>
      </c>
      <c r="C871" t="s">
        <v>1498</v>
      </c>
      <c r="D871" t="s">
        <v>25</v>
      </c>
      <c r="E871" t="s">
        <v>78</v>
      </c>
      <c r="F871" t="s">
        <v>48</v>
      </c>
      <c r="G871" t="s">
        <v>28</v>
      </c>
      <c r="H871">
        <v>626</v>
      </c>
      <c r="I871">
        <v>40</v>
      </c>
      <c r="J871">
        <v>100</v>
      </c>
      <c r="K871" t="s">
        <v>20</v>
      </c>
      <c r="L871">
        <v>58</v>
      </c>
      <c r="M871" t="s">
        <v>21</v>
      </c>
    </row>
    <row r="872" spans="1:13" x14ac:dyDescent="0.35">
      <c r="A872" t="s">
        <v>1499</v>
      </c>
      <c r="B872" t="s">
        <v>150</v>
      </c>
      <c r="C872" t="s">
        <v>728</v>
      </c>
      <c r="D872" t="s">
        <v>25</v>
      </c>
      <c r="E872" t="s">
        <v>26</v>
      </c>
      <c r="F872" t="s">
        <v>27</v>
      </c>
      <c r="G872" t="s">
        <v>49</v>
      </c>
      <c r="H872">
        <v>192</v>
      </c>
      <c r="I872">
        <v>40</v>
      </c>
      <c r="J872">
        <v>0</v>
      </c>
      <c r="K872" t="s">
        <v>20</v>
      </c>
      <c r="L872">
        <v>38</v>
      </c>
      <c r="M872" t="s">
        <v>21</v>
      </c>
    </row>
    <row r="873" spans="1:13" x14ac:dyDescent="0.35">
      <c r="A873" t="s">
        <v>1500</v>
      </c>
      <c r="B873" t="s">
        <v>473</v>
      </c>
      <c r="C873" t="s">
        <v>83</v>
      </c>
      <c r="D873" t="s">
        <v>40</v>
      </c>
      <c r="E873" t="s">
        <v>111</v>
      </c>
      <c r="F873" t="s">
        <v>18</v>
      </c>
      <c r="G873" t="s">
        <v>107</v>
      </c>
      <c r="H873">
        <v>264</v>
      </c>
      <c r="I873">
        <v>50</v>
      </c>
      <c r="J873">
        <v>30</v>
      </c>
      <c r="K873" t="s">
        <v>36</v>
      </c>
      <c r="L873">
        <v>60</v>
      </c>
      <c r="M873" t="s">
        <v>21</v>
      </c>
    </row>
    <row r="874" spans="1:13" x14ac:dyDescent="0.35">
      <c r="A874" t="s">
        <v>1501</v>
      </c>
      <c r="B874" t="s">
        <v>65</v>
      </c>
      <c r="C874" t="s">
        <v>634</v>
      </c>
      <c r="D874" t="s">
        <v>46</v>
      </c>
      <c r="E874" t="s">
        <v>70</v>
      </c>
      <c r="F874" t="s">
        <v>18</v>
      </c>
      <c r="G874" t="s">
        <v>42</v>
      </c>
      <c r="H874">
        <v>694</v>
      </c>
      <c r="I874">
        <v>40</v>
      </c>
      <c r="J874">
        <v>0</v>
      </c>
      <c r="K874" t="s">
        <v>36</v>
      </c>
      <c r="L874">
        <v>34</v>
      </c>
      <c r="M874" t="s">
        <v>21</v>
      </c>
    </row>
    <row r="875" spans="1:13" x14ac:dyDescent="0.35">
      <c r="A875" t="s">
        <v>1502</v>
      </c>
      <c r="B875" t="s">
        <v>398</v>
      </c>
      <c r="C875" t="s">
        <v>838</v>
      </c>
      <c r="D875" t="s">
        <v>16</v>
      </c>
      <c r="E875" t="s">
        <v>17</v>
      </c>
      <c r="F875" t="s">
        <v>18</v>
      </c>
      <c r="G875" t="s">
        <v>176</v>
      </c>
      <c r="H875">
        <v>574</v>
      </c>
      <c r="I875">
        <v>40</v>
      </c>
      <c r="J875">
        <v>0</v>
      </c>
      <c r="K875" t="s">
        <v>20</v>
      </c>
      <c r="L875">
        <v>47</v>
      </c>
      <c r="M875" t="s">
        <v>21</v>
      </c>
    </row>
    <row r="876" spans="1:13" x14ac:dyDescent="0.35">
      <c r="A876" t="s">
        <v>1503</v>
      </c>
      <c r="B876" t="s">
        <v>167</v>
      </c>
      <c r="C876" t="s">
        <v>363</v>
      </c>
      <c r="D876" t="s">
        <v>40</v>
      </c>
      <c r="E876" t="s">
        <v>67</v>
      </c>
      <c r="F876" t="s">
        <v>48</v>
      </c>
      <c r="G876" t="s">
        <v>63</v>
      </c>
      <c r="H876">
        <v>240</v>
      </c>
      <c r="I876">
        <v>40</v>
      </c>
      <c r="J876">
        <v>30</v>
      </c>
      <c r="K876" t="s">
        <v>20</v>
      </c>
      <c r="L876">
        <v>58</v>
      </c>
      <c r="M876" t="s">
        <v>21</v>
      </c>
    </row>
    <row r="877" spans="1:13" x14ac:dyDescent="0.35">
      <c r="A877" t="s">
        <v>1504</v>
      </c>
      <c r="B877" t="s">
        <v>32</v>
      </c>
      <c r="C877" t="s">
        <v>1505</v>
      </c>
      <c r="D877" t="s">
        <v>46</v>
      </c>
      <c r="E877" t="s">
        <v>148</v>
      </c>
      <c r="F877" t="s">
        <v>27</v>
      </c>
      <c r="G877" t="s">
        <v>19</v>
      </c>
      <c r="H877">
        <v>428</v>
      </c>
      <c r="I877">
        <v>30</v>
      </c>
      <c r="J877">
        <v>50</v>
      </c>
      <c r="K877" t="s">
        <v>20</v>
      </c>
      <c r="L877">
        <v>26</v>
      </c>
      <c r="M877" t="s">
        <v>21</v>
      </c>
    </row>
    <row r="878" spans="1:13" x14ac:dyDescent="0.35">
      <c r="A878" t="s">
        <v>1506</v>
      </c>
      <c r="B878" t="s">
        <v>339</v>
      </c>
      <c r="C878" t="s">
        <v>1507</v>
      </c>
      <c r="D878" t="s">
        <v>46</v>
      </c>
      <c r="E878" t="s">
        <v>148</v>
      </c>
      <c r="F878" t="s">
        <v>27</v>
      </c>
      <c r="G878" t="s">
        <v>49</v>
      </c>
      <c r="H878">
        <v>502</v>
      </c>
      <c r="I878">
        <v>20</v>
      </c>
      <c r="J878">
        <v>100</v>
      </c>
      <c r="K878" t="s">
        <v>29</v>
      </c>
      <c r="L878">
        <v>24</v>
      </c>
      <c r="M878" t="s">
        <v>21</v>
      </c>
    </row>
    <row r="879" spans="1:13" x14ac:dyDescent="0.35">
      <c r="A879" t="s">
        <v>1508</v>
      </c>
      <c r="B879" t="s">
        <v>154</v>
      </c>
      <c r="C879" t="s">
        <v>233</v>
      </c>
      <c r="D879" t="s">
        <v>16</v>
      </c>
      <c r="E879" t="s">
        <v>131</v>
      </c>
      <c r="F879" t="s">
        <v>55</v>
      </c>
      <c r="G879" t="s">
        <v>35</v>
      </c>
      <c r="H879">
        <v>736</v>
      </c>
      <c r="I879">
        <v>50</v>
      </c>
      <c r="J879">
        <v>30</v>
      </c>
      <c r="K879" t="s">
        <v>36</v>
      </c>
      <c r="L879">
        <v>29</v>
      </c>
      <c r="M879" t="s">
        <v>21</v>
      </c>
    </row>
    <row r="880" spans="1:13" x14ac:dyDescent="0.35">
      <c r="A880" t="s">
        <v>1509</v>
      </c>
      <c r="B880" t="s">
        <v>87</v>
      </c>
      <c r="C880" t="s">
        <v>421</v>
      </c>
      <c r="D880" t="s">
        <v>25</v>
      </c>
      <c r="E880" t="s">
        <v>78</v>
      </c>
      <c r="F880" t="s">
        <v>48</v>
      </c>
      <c r="G880" t="s">
        <v>176</v>
      </c>
      <c r="H880">
        <v>784</v>
      </c>
      <c r="I880">
        <v>30</v>
      </c>
      <c r="J880">
        <v>20</v>
      </c>
      <c r="K880" t="s">
        <v>29</v>
      </c>
      <c r="L880">
        <v>38</v>
      </c>
      <c r="M880" t="s">
        <v>21</v>
      </c>
    </row>
    <row r="881" spans="1:13" x14ac:dyDescent="0.35">
      <c r="A881" t="s">
        <v>1510</v>
      </c>
      <c r="B881" t="s">
        <v>300</v>
      </c>
      <c r="C881" t="s">
        <v>1313</v>
      </c>
      <c r="D881" t="s">
        <v>25</v>
      </c>
      <c r="E881" t="s">
        <v>26</v>
      </c>
      <c r="F881" t="s">
        <v>27</v>
      </c>
      <c r="G881" t="s">
        <v>107</v>
      </c>
      <c r="H881">
        <v>468</v>
      </c>
      <c r="I881">
        <v>40</v>
      </c>
      <c r="J881">
        <v>100</v>
      </c>
      <c r="K881" t="s">
        <v>36</v>
      </c>
      <c r="L881">
        <v>39</v>
      </c>
      <c r="M881" t="s">
        <v>21</v>
      </c>
    </row>
    <row r="882" spans="1:13" x14ac:dyDescent="0.35">
      <c r="A882" t="s">
        <v>1511</v>
      </c>
      <c r="B882" t="s">
        <v>600</v>
      </c>
      <c r="C882" t="s">
        <v>337</v>
      </c>
      <c r="D882" t="s">
        <v>25</v>
      </c>
      <c r="E882" t="s">
        <v>34</v>
      </c>
      <c r="F882" t="s">
        <v>27</v>
      </c>
      <c r="G882" t="s">
        <v>176</v>
      </c>
      <c r="H882">
        <v>552</v>
      </c>
      <c r="I882">
        <v>30</v>
      </c>
      <c r="J882">
        <v>100</v>
      </c>
      <c r="K882" t="s">
        <v>20</v>
      </c>
      <c r="L882">
        <v>22</v>
      </c>
      <c r="M882" t="s">
        <v>21</v>
      </c>
    </row>
    <row r="883" spans="1:13" x14ac:dyDescent="0.35">
      <c r="A883" t="s">
        <v>1512</v>
      </c>
      <c r="B883" t="s">
        <v>342</v>
      </c>
      <c r="C883" t="s">
        <v>686</v>
      </c>
      <c r="D883" t="s">
        <v>25</v>
      </c>
      <c r="E883" t="s">
        <v>78</v>
      </c>
      <c r="F883" t="s">
        <v>48</v>
      </c>
      <c r="G883" t="s">
        <v>107</v>
      </c>
      <c r="H883">
        <v>568</v>
      </c>
      <c r="I883">
        <v>30</v>
      </c>
      <c r="J883">
        <v>30</v>
      </c>
      <c r="K883" t="s">
        <v>20</v>
      </c>
      <c r="L883">
        <v>51</v>
      </c>
      <c r="M883" t="s">
        <v>21</v>
      </c>
    </row>
    <row r="884" spans="1:13" x14ac:dyDescent="0.35">
      <c r="A884" t="s">
        <v>1513</v>
      </c>
      <c r="B884" t="s">
        <v>99</v>
      </c>
      <c r="C884" t="s">
        <v>1514</v>
      </c>
      <c r="D884" t="s">
        <v>46</v>
      </c>
      <c r="E884" t="s">
        <v>148</v>
      </c>
      <c r="F884" t="s">
        <v>27</v>
      </c>
      <c r="G884" t="s">
        <v>176</v>
      </c>
      <c r="H884">
        <v>601</v>
      </c>
      <c r="I884">
        <v>40</v>
      </c>
      <c r="J884">
        <v>100</v>
      </c>
      <c r="K884" t="s">
        <v>29</v>
      </c>
      <c r="L884">
        <v>58</v>
      </c>
      <c r="M884" t="s">
        <v>21</v>
      </c>
    </row>
    <row r="885" spans="1:13" x14ac:dyDescent="0.35">
      <c r="A885" t="s">
        <v>1515</v>
      </c>
      <c r="B885" t="s">
        <v>247</v>
      </c>
      <c r="C885" t="s">
        <v>263</v>
      </c>
      <c r="D885" t="s">
        <v>40</v>
      </c>
      <c r="E885" t="s">
        <v>41</v>
      </c>
      <c r="F885" t="s">
        <v>27</v>
      </c>
      <c r="G885" t="s">
        <v>74</v>
      </c>
      <c r="H885">
        <v>391</v>
      </c>
      <c r="I885">
        <v>50</v>
      </c>
      <c r="J885">
        <v>0</v>
      </c>
      <c r="K885" t="s">
        <v>29</v>
      </c>
      <c r="L885">
        <v>59</v>
      </c>
      <c r="M885" t="s">
        <v>21</v>
      </c>
    </row>
    <row r="886" spans="1:13" x14ac:dyDescent="0.35">
      <c r="A886" t="s">
        <v>1516</v>
      </c>
      <c r="B886" t="s">
        <v>252</v>
      </c>
      <c r="C886" t="s">
        <v>211</v>
      </c>
      <c r="D886" t="s">
        <v>40</v>
      </c>
      <c r="E886" t="s">
        <v>111</v>
      </c>
      <c r="F886" t="s">
        <v>18</v>
      </c>
      <c r="G886" t="s">
        <v>176</v>
      </c>
      <c r="H886">
        <v>582</v>
      </c>
      <c r="I886">
        <v>30</v>
      </c>
      <c r="J886">
        <v>50</v>
      </c>
      <c r="K886" t="s">
        <v>20</v>
      </c>
      <c r="L886">
        <v>26</v>
      </c>
      <c r="M886" t="s">
        <v>21</v>
      </c>
    </row>
    <row r="887" spans="1:13" x14ac:dyDescent="0.35">
      <c r="A887" t="s">
        <v>1517</v>
      </c>
      <c r="B887" t="s">
        <v>136</v>
      </c>
      <c r="C887" t="s">
        <v>1518</v>
      </c>
      <c r="D887" t="s">
        <v>16</v>
      </c>
      <c r="E887" t="s">
        <v>89</v>
      </c>
      <c r="F887" t="s">
        <v>18</v>
      </c>
      <c r="G887" t="s">
        <v>176</v>
      </c>
      <c r="H887">
        <v>438</v>
      </c>
      <c r="I887">
        <v>20</v>
      </c>
      <c r="J887">
        <v>50</v>
      </c>
      <c r="K887" t="s">
        <v>36</v>
      </c>
      <c r="L887">
        <v>27</v>
      </c>
      <c r="M887" t="s">
        <v>21</v>
      </c>
    </row>
    <row r="888" spans="1:13" x14ac:dyDescent="0.35">
      <c r="A888" t="s">
        <v>1519</v>
      </c>
      <c r="B888" t="s">
        <v>388</v>
      </c>
      <c r="C888" t="s">
        <v>66</v>
      </c>
      <c r="D888" t="s">
        <v>53</v>
      </c>
      <c r="E888" t="s">
        <v>54</v>
      </c>
      <c r="F888" t="s">
        <v>55</v>
      </c>
      <c r="G888" t="s">
        <v>49</v>
      </c>
      <c r="H888">
        <v>337</v>
      </c>
      <c r="I888">
        <v>50</v>
      </c>
      <c r="J888">
        <v>0</v>
      </c>
      <c r="K888" t="s">
        <v>29</v>
      </c>
      <c r="L888">
        <v>25</v>
      </c>
      <c r="M888" t="s">
        <v>21</v>
      </c>
    </row>
    <row r="889" spans="1:13" x14ac:dyDescent="0.35">
      <c r="A889" t="s">
        <v>1520</v>
      </c>
      <c r="B889" t="s">
        <v>72</v>
      </c>
      <c r="C889" t="s">
        <v>1521</v>
      </c>
      <c r="D889" t="s">
        <v>16</v>
      </c>
      <c r="E889" t="s">
        <v>89</v>
      </c>
      <c r="F889" t="s">
        <v>18</v>
      </c>
      <c r="G889" t="s">
        <v>28</v>
      </c>
      <c r="H889">
        <v>467</v>
      </c>
      <c r="I889">
        <v>20</v>
      </c>
      <c r="J889">
        <v>30</v>
      </c>
      <c r="K889" t="s">
        <v>36</v>
      </c>
      <c r="L889">
        <v>31</v>
      </c>
      <c r="M889" t="s">
        <v>21</v>
      </c>
    </row>
    <row r="890" spans="1:13" x14ac:dyDescent="0.35">
      <c r="A890" t="s">
        <v>1522</v>
      </c>
      <c r="B890" t="s">
        <v>435</v>
      </c>
      <c r="C890" t="s">
        <v>1247</v>
      </c>
      <c r="D890" t="s">
        <v>40</v>
      </c>
      <c r="E890" t="s">
        <v>67</v>
      </c>
      <c r="F890" t="s">
        <v>48</v>
      </c>
      <c r="G890" t="s">
        <v>42</v>
      </c>
      <c r="H890">
        <v>781</v>
      </c>
      <c r="I890">
        <v>20</v>
      </c>
      <c r="J890">
        <v>100</v>
      </c>
      <c r="K890" t="s">
        <v>36</v>
      </c>
      <c r="L890">
        <v>55</v>
      </c>
      <c r="M890" t="s">
        <v>21</v>
      </c>
    </row>
    <row r="891" spans="1:13" x14ac:dyDescent="0.35">
      <c r="A891" t="s">
        <v>1523</v>
      </c>
      <c r="B891" t="s">
        <v>339</v>
      </c>
      <c r="C891" t="s">
        <v>694</v>
      </c>
      <c r="D891" t="s">
        <v>40</v>
      </c>
      <c r="E891" t="s">
        <v>41</v>
      </c>
      <c r="F891" t="s">
        <v>27</v>
      </c>
      <c r="G891" t="s">
        <v>176</v>
      </c>
      <c r="H891">
        <v>519</v>
      </c>
      <c r="I891">
        <v>30</v>
      </c>
      <c r="J891">
        <v>30</v>
      </c>
      <c r="K891" t="s">
        <v>20</v>
      </c>
      <c r="L891">
        <v>54</v>
      </c>
      <c r="M891" t="s">
        <v>21</v>
      </c>
    </row>
    <row r="892" spans="1:13" x14ac:dyDescent="0.35">
      <c r="A892" t="s">
        <v>1524</v>
      </c>
      <c r="B892" t="s">
        <v>339</v>
      </c>
      <c r="C892" t="s">
        <v>557</v>
      </c>
      <c r="D892" t="s">
        <v>46</v>
      </c>
      <c r="E892" t="s">
        <v>47</v>
      </c>
      <c r="F892" t="s">
        <v>48</v>
      </c>
      <c r="G892" t="s">
        <v>59</v>
      </c>
      <c r="H892">
        <v>173</v>
      </c>
      <c r="I892">
        <v>30</v>
      </c>
      <c r="J892">
        <v>30</v>
      </c>
      <c r="K892" t="s">
        <v>36</v>
      </c>
      <c r="L892">
        <v>51</v>
      </c>
      <c r="M892" t="s">
        <v>21</v>
      </c>
    </row>
    <row r="893" spans="1:13" x14ac:dyDescent="0.35">
      <c r="A893" t="s">
        <v>1525</v>
      </c>
      <c r="B893" t="s">
        <v>189</v>
      </c>
      <c r="C893" t="s">
        <v>553</v>
      </c>
      <c r="D893" t="s">
        <v>46</v>
      </c>
      <c r="E893" t="s">
        <v>70</v>
      </c>
      <c r="F893" t="s">
        <v>18</v>
      </c>
      <c r="G893" t="s">
        <v>63</v>
      </c>
      <c r="H893">
        <v>512</v>
      </c>
      <c r="I893">
        <v>20</v>
      </c>
      <c r="J893">
        <v>50</v>
      </c>
      <c r="K893" t="s">
        <v>20</v>
      </c>
      <c r="L893">
        <v>29</v>
      </c>
      <c r="M893" t="s">
        <v>21</v>
      </c>
    </row>
    <row r="894" spans="1:13" x14ac:dyDescent="0.35">
      <c r="A894" t="s">
        <v>1526</v>
      </c>
      <c r="B894" t="s">
        <v>213</v>
      </c>
      <c r="C894" t="s">
        <v>484</v>
      </c>
      <c r="D894" t="s">
        <v>40</v>
      </c>
      <c r="E894" t="s">
        <v>41</v>
      </c>
      <c r="F894" t="s">
        <v>27</v>
      </c>
      <c r="G894" t="s">
        <v>63</v>
      </c>
      <c r="H894">
        <v>754</v>
      </c>
      <c r="I894">
        <v>20</v>
      </c>
      <c r="J894">
        <v>100</v>
      </c>
      <c r="K894" t="s">
        <v>29</v>
      </c>
      <c r="L894">
        <v>23</v>
      </c>
      <c r="M894" t="s">
        <v>21</v>
      </c>
    </row>
    <row r="895" spans="1:13" x14ac:dyDescent="0.35">
      <c r="A895" t="s">
        <v>1527</v>
      </c>
      <c r="B895" t="s">
        <v>109</v>
      </c>
      <c r="C895" t="s">
        <v>1528</v>
      </c>
      <c r="D895" t="s">
        <v>16</v>
      </c>
      <c r="E895" t="s">
        <v>89</v>
      </c>
      <c r="F895" t="s">
        <v>18</v>
      </c>
      <c r="G895" t="s">
        <v>59</v>
      </c>
      <c r="H895">
        <v>471</v>
      </c>
      <c r="I895">
        <v>20</v>
      </c>
      <c r="J895">
        <v>100</v>
      </c>
      <c r="K895" t="s">
        <v>20</v>
      </c>
      <c r="L895">
        <v>53</v>
      </c>
      <c r="M895" t="s">
        <v>21</v>
      </c>
    </row>
    <row r="896" spans="1:13" x14ac:dyDescent="0.35">
      <c r="A896" t="s">
        <v>1529</v>
      </c>
      <c r="B896" t="s">
        <v>562</v>
      </c>
      <c r="C896" t="s">
        <v>1530</v>
      </c>
      <c r="D896" t="s">
        <v>46</v>
      </c>
      <c r="E896" t="s">
        <v>148</v>
      </c>
      <c r="F896" t="s">
        <v>27</v>
      </c>
      <c r="G896" t="s">
        <v>63</v>
      </c>
      <c r="H896">
        <v>290</v>
      </c>
      <c r="I896">
        <v>50</v>
      </c>
      <c r="J896">
        <v>100</v>
      </c>
      <c r="K896" t="s">
        <v>36</v>
      </c>
      <c r="L896">
        <v>41</v>
      </c>
      <c r="M896" t="s">
        <v>21</v>
      </c>
    </row>
    <row r="897" spans="1:13" x14ac:dyDescent="0.35">
      <c r="A897" t="s">
        <v>1531</v>
      </c>
      <c r="B897" t="s">
        <v>109</v>
      </c>
      <c r="C897" t="s">
        <v>1532</v>
      </c>
      <c r="D897" t="s">
        <v>46</v>
      </c>
      <c r="E897" t="s">
        <v>70</v>
      </c>
      <c r="F897" t="s">
        <v>18</v>
      </c>
      <c r="G897" t="s">
        <v>176</v>
      </c>
      <c r="H897">
        <v>647</v>
      </c>
      <c r="I897">
        <v>30</v>
      </c>
      <c r="J897">
        <v>30</v>
      </c>
      <c r="K897" t="s">
        <v>36</v>
      </c>
      <c r="L897">
        <v>55</v>
      </c>
      <c r="M897" t="s">
        <v>21</v>
      </c>
    </row>
    <row r="898" spans="1:13" x14ac:dyDescent="0.35">
      <c r="A898" t="s">
        <v>1533</v>
      </c>
      <c r="B898" t="s">
        <v>102</v>
      </c>
      <c r="C898" t="s">
        <v>1534</v>
      </c>
      <c r="D898" t="s">
        <v>53</v>
      </c>
      <c r="E898" t="s">
        <v>54</v>
      </c>
      <c r="F898" t="s">
        <v>55</v>
      </c>
      <c r="G898" t="s">
        <v>63</v>
      </c>
      <c r="H898">
        <v>315</v>
      </c>
      <c r="I898">
        <v>20</v>
      </c>
      <c r="J898">
        <v>20</v>
      </c>
      <c r="K898" t="s">
        <v>20</v>
      </c>
      <c r="L898">
        <v>29</v>
      </c>
      <c r="M898" t="s">
        <v>21</v>
      </c>
    </row>
    <row r="899" spans="1:13" x14ac:dyDescent="0.35">
      <c r="A899" t="s">
        <v>1535</v>
      </c>
      <c r="B899" t="s">
        <v>150</v>
      </c>
      <c r="C899" t="s">
        <v>501</v>
      </c>
      <c r="D899" t="s">
        <v>40</v>
      </c>
      <c r="E899" t="s">
        <v>111</v>
      </c>
      <c r="F899" t="s">
        <v>18</v>
      </c>
      <c r="G899" t="s">
        <v>176</v>
      </c>
      <c r="H899">
        <v>415</v>
      </c>
      <c r="I899">
        <v>30</v>
      </c>
      <c r="J899">
        <v>30</v>
      </c>
      <c r="K899" t="s">
        <v>20</v>
      </c>
      <c r="L899">
        <v>60</v>
      </c>
      <c r="M899" t="s">
        <v>21</v>
      </c>
    </row>
    <row r="900" spans="1:13" x14ac:dyDescent="0.35">
      <c r="A900" t="s">
        <v>1536</v>
      </c>
      <c r="B900" t="s">
        <v>476</v>
      </c>
      <c r="C900" t="s">
        <v>1537</v>
      </c>
      <c r="D900" t="s">
        <v>40</v>
      </c>
      <c r="E900" t="s">
        <v>111</v>
      </c>
      <c r="F900" t="s">
        <v>18</v>
      </c>
      <c r="G900" t="s">
        <v>49</v>
      </c>
      <c r="H900">
        <v>327</v>
      </c>
      <c r="I900">
        <v>40</v>
      </c>
      <c r="J900">
        <v>20</v>
      </c>
      <c r="K900" t="s">
        <v>20</v>
      </c>
      <c r="L900">
        <v>42</v>
      </c>
      <c r="M900" t="s">
        <v>21</v>
      </c>
    </row>
    <row r="901" spans="1:13" x14ac:dyDescent="0.35">
      <c r="A901" t="s">
        <v>1538</v>
      </c>
      <c r="B901" t="s">
        <v>226</v>
      </c>
      <c r="C901" t="s">
        <v>1539</v>
      </c>
      <c r="D901" t="s">
        <v>16</v>
      </c>
      <c r="E901" t="s">
        <v>89</v>
      </c>
      <c r="F901" t="s">
        <v>18</v>
      </c>
      <c r="G901" t="s">
        <v>35</v>
      </c>
      <c r="H901">
        <v>478</v>
      </c>
      <c r="I901">
        <v>30</v>
      </c>
      <c r="J901">
        <v>0</v>
      </c>
      <c r="K901" t="s">
        <v>36</v>
      </c>
      <c r="L901">
        <v>33</v>
      </c>
      <c r="M901" t="s">
        <v>21</v>
      </c>
    </row>
    <row r="902" spans="1:13" x14ac:dyDescent="0.35">
      <c r="A902" t="s">
        <v>1540</v>
      </c>
      <c r="B902" t="s">
        <v>388</v>
      </c>
      <c r="C902" t="s">
        <v>496</v>
      </c>
      <c r="D902" t="s">
        <v>53</v>
      </c>
      <c r="E902" t="s">
        <v>54</v>
      </c>
      <c r="F902" t="s">
        <v>55</v>
      </c>
      <c r="G902" t="s">
        <v>59</v>
      </c>
      <c r="H902">
        <v>249</v>
      </c>
      <c r="I902">
        <v>50</v>
      </c>
      <c r="J902">
        <v>100</v>
      </c>
      <c r="K902" t="s">
        <v>29</v>
      </c>
      <c r="L902">
        <v>31</v>
      </c>
      <c r="M902" t="s">
        <v>21</v>
      </c>
    </row>
    <row r="903" spans="1:13" x14ac:dyDescent="0.35">
      <c r="A903" t="s">
        <v>1541</v>
      </c>
      <c r="B903" t="s">
        <v>326</v>
      </c>
      <c r="C903" t="s">
        <v>94</v>
      </c>
      <c r="D903" t="s">
        <v>46</v>
      </c>
      <c r="E903" t="s">
        <v>148</v>
      </c>
      <c r="F903" t="s">
        <v>27</v>
      </c>
      <c r="G903" t="s">
        <v>28</v>
      </c>
      <c r="H903">
        <v>664</v>
      </c>
      <c r="I903">
        <v>50</v>
      </c>
      <c r="J903">
        <v>30</v>
      </c>
      <c r="K903" t="s">
        <v>20</v>
      </c>
      <c r="L903">
        <v>39</v>
      </c>
      <c r="M903" t="s">
        <v>21</v>
      </c>
    </row>
    <row r="904" spans="1:13" x14ac:dyDescent="0.35">
      <c r="A904" t="s">
        <v>1542</v>
      </c>
      <c r="B904" t="s">
        <v>32</v>
      </c>
      <c r="C904" t="s">
        <v>702</v>
      </c>
      <c r="D904" t="s">
        <v>53</v>
      </c>
      <c r="E904" t="s">
        <v>84</v>
      </c>
      <c r="F904" t="s">
        <v>85</v>
      </c>
      <c r="G904" t="s">
        <v>42</v>
      </c>
      <c r="H904">
        <v>678</v>
      </c>
      <c r="I904">
        <v>20</v>
      </c>
      <c r="J904">
        <v>100</v>
      </c>
      <c r="K904" t="s">
        <v>36</v>
      </c>
      <c r="L904">
        <v>60</v>
      </c>
      <c r="M904" t="s">
        <v>21</v>
      </c>
    </row>
    <row r="905" spans="1:13" x14ac:dyDescent="0.35">
      <c r="A905" t="s">
        <v>1543</v>
      </c>
      <c r="B905" t="s">
        <v>205</v>
      </c>
      <c r="C905" t="s">
        <v>399</v>
      </c>
      <c r="D905" t="s">
        <v>40</v>
      </c>
      <c r="E905" t="s">
        <v>67</v>
      </c>
      <c r="F905" t="s">
        <v>48</v>
      </c>
      <c r="G905" t="s">
        <v>59</v>
      </c>
      <c r="H905">
        <v>728</v>
      </c>
      <c r="I905">
        <v>30</v>
      </c>
      <c r="J905">
        <v>100</v>
      </c>
      <c r="K905" t="s">
        <v>29</v>
      </c>
      <c r="L905">
        <v>20</v>
      </c>
      <c r="M905" t="s">
        <v>30</v>
      </c>
    </row>
    <row r="906" spans="1:13" x14ac:dyDescent="0.35">
      <c r="A906" t="s">
        <v>1544</v>
      </c>
      <c r="B906" t="s">
        <v>136</v>
      </c>
      <c r="C906" t="s">
        <v>918</v>
      </c>
      <c r="D906" t="s">
        <v>53</v>
      </c>
      <c r="E906" t="s">
        <v>152</v>
      </c>
      <c r="F906" t="s">
        <v>18</v>
      </c>
      <c r="G906" t="s">
        <v>49</v>
      </c>
      <c r="H906">
        <v>577</v>
      </c>
      <c r="I906">
        <v>40</v>
      </c>
      <c r="J906">
        <v>0</v>
      </c>
      <c r="K906" t="s">
        <v>29</v>
      </c>
      <c r="L906">
        <v>33</v>
      </c>
      <c r="M906" t="s">
        <v>21</v>
      </c>
    </row>
    <row r="907" spans="1:13" x14ac:dyDescent="0.35">
      <c r="A907" t="s">
        <v>1545</v>
      </c>
      <c r="B907" t="s">
        <v>568</v>
      </c>
      <c r="C907" t="s">
        <v>899</v>
      </c>
      <c r="D907" t="s">
        <v>53</v>
      </c>
      <c r="E907" t="s">
        <v>84</v>
      </c>
      <c r="F907" t="s">
        <v>85</v>
      </c>
      <c r="G907" t="s">
        <v>59</v>
      </c>
      <c r="H907">
        <v>613</v>
      </c>
      <c r="I907">
        <v>40</v>
      </c>
      <c r="J907">
        <v>0</v>
      </c>
      <c r="K907" t="s">
        <v>36</v>
      </c>
      <c r="L907">
        <v>54</v>
      </c>
      <c r="M907" t="s">
        <v>21</v>
      </c>
    </row>
    <row r="908" spans="1:13" x14ac:dyDescent="0.35">
      <c r="A908" t="s">
        <v>1546</v>
      </c>
      <c r="B908" t="s">
        <v>449</v>
      </c>
      <c r="C908" t="s">
        <v>1547</v>
      </c>
      <c r="D908" t="s">
        <v>46</v>
      </c>
      <c r="E908" t="s">
        <v>47</v>
      </c>
      <c r="F908" t="s">
        <v>48</v>
      </c>
      <c r="G908" t="s">
        <v>176</v>
      </c>
      <c r="H908">
        <v>555</v>
      </c>
      <c r="I908">
        <v>30</v>
      </c>
      <c r="J908">
        <v>100</v>
      </c>
      <c r="K908" t="s">
        <v>29</v>
      </c>
      <c r="L908">
        <v>48</v>
      </c>
      <c r="M908" t="s">
        <v>21</v>
      </c>
    </row>
    <row r="909" spans="1:13" x14ac:dyDescent="0.35">
      <c r="A909" t="s">
        <v>1548</v>
      </c>
      <c r="B909" t="s">
        <v>174</v>
      </c>
      <c r="C909" t="s">
        <v>1423</v>
      </c>
      <c r="D909" t="s">
        <v>53</v>
      </c>
      <c r="E909" t="s">
        <v>54</v>
      </c>
      <c r="F909" t="s">
        <v>55</v>
      </c>
      <c r="G909" t="s">
        <v>35</v>
      </c>
      <c r="H909">
        <v>730</v>
      </c>
      <c r="I909">
        <v>20</v>
      </c>
      <c r="J909">
        <v>100</v>
      </c>
      <c r="K909" t="s">
        <v>20</v>
      </c>
      <c r="L909">
        <v>23</v>
      </c>
      <c r="M909" t="s">
        <v>21</v>
      </c>
    </row>
    <row r="910" spans="1:13" x14ac:dyDescent="0.35">
      <c r="A910" t="s">
        <v>1549</v>
      </c>
      <c r="B910" t="s">
        <v>154</v>
      </c>
      <c r="C910" t="s">
        <v>844</v>
      </c>
      <c r="D910" t="s">
        <v>16</v>
      </c>
      <c r="E910" t="s">
        <v>17</v>
      </c>
      <c r="F910" t="s">
        <v>18</v>
      </c>
      <c r="G910" t="s">
        <v>28</v>
      </c>
      <c r="H910">
        <v>312</v>
      </c>
      <c r="I910">
        <v>40</v>
      </c>
      <c r="J910">
        <v>0</v>
      </c>
      <c r="K910" t="s">
        <v>36</v>
      </c>
      <c r="L910">
        <v>54</v>
      </c>
      <c r="M910" t="s">
        <v>21</v>
      </c>
    </row>
    <row r="911" spans="1:13" x14ac:dyDescent="0.35">
      <c r="A911" t="s">
        <v>1550</v>
      </c>
      <c r="B911" t="s">
        <v>109</v>
      </c>
      <c r="C911" t="s">
        <v>73</v>
      </c>
      <c r="D911" t="s">
        <v>46</v>
      </c>
      <c r="E911" t="s">
        <v>70</v>
      </c>
      <c r="F911" t="s">
        <v>18</v>
      </c>
      <c r="G911" t="s">
        <v>63</v>
      </c>
      <c r="H911">
        <v>536</v>
      </c>
      <c r="I911">
        <v>40</v>
      </c>
      <c r="J911">
        <v>20</v>
      </c>
      <c r="K911" t="s">
        <v>29</v>
      </c>
      <c r="L911">
        <v>35</v>
      </c>
      <c r="M911" t="s">
        <v>21</v>
      </c>
    </row>
    <row r="912" spans="1:13" x14ac:dyDescent="0.35">
      <c r="A912" t="s">
        <v>1551</v>
      </c>
      <c r="B912" t="s">
        <v>280</v>
      </c>
      <c r="C912" t="s">
        <v>430</v>
      </c>
      <c r="D912" t="s">
        <v>40</v>
      </c>
      <c r="E912" t="s">
        <v>67</v>
      </c>
      <c r="F912" t="s">
        <v>48</v>
      </c>
      <c r="G912" t="s">
        <v>107</v>
      </c>
      <c r="H912">
        <v>259</v>
      </c>
      <c r="I912">
        <v>50</v>
      </c>
      <c r="J912">
        <v>50</v>
      </c>
      <c r="K912" t="s">
        <v>36</v>
      </c>
      <c r="L912">
        <v>43</v>
      </c>
      <c r="M912" t="s">
        <v>21</v>
      </c>
    </row>
    <row r="913" spans="1:13" x14ac:dyDescent="0.35">
      <c r="A913" t="s">
        <v>1552</v>
      </c>
      <c r="B913" t="s">
        <v>393</v>
      </c>
      <c r="C913" t="s">
        <v>1098</v>
      </c>
      <c r="D913" t="s">
        <v>46</v>
      </c>
      <c r="E913" t="s">
        <v>148</v>
      </c>
      <c r="F913" t="s">
        <v>27</v>
      </c>
      <c r="G913" t="s">
        <v>28</v>
      </c>
      <c r="H913">
        <v>536</v>
      </c>
      <c r="I913">
        <v>40</v>
      </c>
      <c r="J913">
        <v>20</v>
      </c>
      <c r="K913" t="s">
        <v>29</v>
      </c>
      <c r="L913">
        <v>31</v>
      </c>
      <c r="M913" t="s">
        <v>21</v>
      </c>
    </row>
    <row r="914" spans="1:13" x14ac:dyDescent="0.35">
      <c r="A914" t="s">
        <v>1553</v>
      </c>
      <c r="B914" t="s">
        <v>291</v>
      </c>
      <c r="C914" t="s">
        <v>1012</v>
      </c>
      <c r="D914" t="s">
        <v>25</v>
      </c>
      <c r="E914" t="s">
        <v>78</v>
      </c>
      <c r="F914" t="s">
        <v>48</v>
      </c>
      <c r="G914" t="s">
        <v>28</v>
      </c>
      <c r="H914">
        <v>635</v>
      </c>
      <c r="I914">
        <v>50</v>
      </c>
      <c r="J914">
        <v>100</v>
      </c>
      <c r="K914" t="s">
        <v>20</v>
      </c>
      <c r="L914">
        <v>47</v>
      </c>
      <c r="M914" t="s">
        <v>21</v>
      </c>
    </row>
    <row r="915" spans="1:13" x14ac:dyDescent="0.35">
      <c r="A915" t="s">
        <v>1554</v>
      </c>
      <c r="B915" t="s">
        <v>14</v>
      </c>
      <c r="C915" t="s">
        <v>1406</v>
      </c>
      <c r="D915" t="s">
        <v>40</v>
      </c>
      <c r="E915" t="s">
        <v>41</v>
      </c>
      <c r="F915" t="s">
        <v>27</v>
      </c>
      <c r="G915" t="s">
        <v>176</v>
      </c>
      <c r="H915">
        <v>377</v>
      </c>
      <c r="I915">
        <v>30</v>
      </c>
      <c r="J915">
        <v>30</v>
      </c>
      <c r="K915" t="s">
        <v>36</v>
      </c>
      <c r="L915">
        <v>30</v>
      </c>
      <c r="M915" t="s">
        <v>21</v>
      </c>
    </row>
    <row r="916" spans="1:13" x14ac:dyDescent="0.35">
      <c r="A916" t="s">
        <v>1555</v>
      </c>
      <c r="B916" t="s">
        <v>454</v>
      </c>
      <c r="C916" t="s">
        <v>849</v>
      </c>
      <c r="D916" t="s">
        <v>25</v>
      </c>
      <c r="E916" t="s">
        <v>78</v>
      </c>
      <c r="F916" t="s">
        <v>48</v>
      </c>
      <c r="G916" t="s">
        <v>107</v>
      </c>
      <c r="H916">
        <v>462</v>
      </c>
      <c r="I916">
        <v>20</v>
      </c>
      <c r="J916">
        <v>0</v>
      </c>
      <c r="K916" t="s">
        <v>29</v>
      </c>
      <c r="L916">
        <v>45</v>
      </c>
      <c r="M916" t="s">
        <v>21</v>
      </c>
    </row>
    <row r="917" spans="1:13" x14ac:dyDescent="0.35">
      <c r="A917" t="s">
        <v>1556</v>
      </c>
      <c r="B917" t="s">
        <v>109</v>
      </c>
      <c r="C917" t="s">
        <v>94</v>
      </c>
      <c r="D917" t="s">
        <v>16</v>
      </c>
      <c r="E917" t="s">
        <v>89</v>
      </c>
      <c r="F917" t="s">
        <v>18</v>
      </c>
      <c r="G917" t="s">
        <v>59</v>
      </c>
      <c r="H917">
        <v>425</v>
      </c>
      <c r="I917">
        <v>20</v>
      </c>
      <c r="J917">
        <v>20</v>
      </c>
      <c r="K917" t="s">
        <v>36</v>
      </c>
      <c r="L917">
        <v>23</v>
      </c>
      <c r="M917" t="s">
        <v>21</v>
      </c>
    </row>
    <row r="918" spans="1:13" x14ac:dyDescent="0.35">
      <c r="A918" t="s">
        <v>1557</v>
      </c>
      <c r="B918" t="s">
        <v>305</v>
      </c>
      <c r="C918" t="s">
        <v>1378</v>
      </c>
      <c r="D918" t="s">
        <v>40</v>
      </c>
      <c r="E918" t="s">
        <v>67</v>
      </c>
      <c r="F918" t="s">
        <v>48</v>
      </c>
      <c r="G918" t="s">
        <v>63</v>
      </c>
      <c r="H918">
        <v>461</v>
      </c>
      <c r="I918">
        <v>40</v>
      </c>
      <c r="J918">
        <v>50</v>
      </c>
      <c r="K918" t="s">
        <v>36</v>
      </c>
      <c r="L918">
        <v>58</v>
      </c>
      <c r="M918" t="s">
        <v>21</v>
      </c>
    </row>
    <row r="919" spans="1:13" x14ac:dyDescent="0.35">
      <c r="A919" t="s">
        <v>1558</v>
      </c>
      <c r="B919" t="s">
        <v>326</v>
      </c>
      <c r="C919" t="s">
        <v>1152</v>
      </c>
      <c r="D919" t="s">
        <v>46</v>
      </c>
      <c r="E919" t="s">
        <v>148</v>
      </c>
      <c r="F919" t="s">
        <v>27</v>
      </c>
      <c r="G919" t="s">
        <v>59</v>
      </c>
      <c r="H919">
        <v>485</v>
      </c>
      <c r="I919">
        <v>40</v>
      </c>
      <c r="J919">
        <v>50</v>
      </c>
      <c r="K919" t="s">
        <v>29</v>
      </c>
      <c r="L919">
        <v>38</v>
      </c>
      <c r="M919" t="s">
        <v>21</v>
      </c>
    </row>
    <row r="920" spans="1:13" x14ac:dyDescent="0.35">
      <c r="A920" t="s">
        <v>1559</v>
      </c>
      <c r="B920" t="s">
        <v>473</v>
      </c>
      <c r="C920" t="s">
        <v>1014</v>
      </c>
      <c r="D920" t="s">
        <v>46</v>
      </c>
      <c r="E920" t="s">
        <v>148</v>
      </c>
      <c r="F920" t="s">
        <v>27</v>
      </c>
      <c r="G920" t="s">
        <v>107</v>
      </c>
      <c r="H920">
        <v>587</v>
      </c>
      <c r="I920">
        <v>20</v>
      </c>
      <c r="J920">
        <v>50</v>
      </c>
      <c r="K920" t="s">
        <v>29</v>
      </c>
      <c r="L920">
        <v>21</v>
      </c>
      <c r="M920" t="s">
        <v>21</v>
      </c>
    </row>
    <row r="921" spans="1:13" x14ac:dyDescent="0.35">
      <c r="A921" t="s">
        <v>1560</v>
      </c>
      <c r="B921" t="s">
        <v>57</v>
      </c>
      <c r="C921" t="s">
        <v>1561</v>
      </c>
      <c r="D921" t="s">
        <v>16</v>
      </c>
      <c r="E921" t="s">
        <v>89</v>
      </c>
      <c r="F921" t="s">
        <v>18</v>
      </c>
      <c r="G921" t="s">
        <v>176</v>
      </c>
      <c r="H921">
        <v>587</v>
      </c>
      <c r="I921">
        <v>30</v>
      </c>
      <c r="J921">
        <v>100</v>
      </c>
      <c r="K921" t="s">
        <v>29</v>
      </c>
      <c r="L921">
        <v>53</v>
      </c>
      <c r="M921" t="s">
        <v>21</v>
      </c>
    </row>
    <row r="922" spans="1:13" x14ac:dyDescent="0.35">
      <c r="A922" t="s">
        <v>1562</v>
      </c>
      <c r="B922" t="s">
        <v>44</v>
      </c>
      <c r="C922" t="s">
        <v>1563</v>
      </c>
      <c r="D922" t="s">
        <v>40</v>
      </c>
      <c r="E922" t="s">
        <v>67</v>
      </c>
      <c r="F922" t="s">
        <v>48</v>
      </c>
      <c r="G922" t="s">
        <v>176</v>
      </c>
      <c r="H922">
        <v>604</v>
      </c>
      <c r="I922">
        <v>50</v>
      </c>
      <c r="J922">
        <v>50</v>
      </c>
      <c r="K922" t="s">
        <v>29</v>
      </c>
      <c r="L922">
        <v>22</v>
      </c>
      <c r="M922" t="s">
        <v>21</v>
      </c>
    </row>
    <row r="923" spans="1:13" x14ac:dyDescent="0.35">
      <c r="A923" t="s">
        <v>1564</v>
      </c>
      <c r="B923" t="s">
        <v>342</v>
      </c>
      <c r="C923" t="s">
        <v>219</v>
      </c>
      <c r="D923" t="s">
        <v>16</v>
      </c>
      <c r="E923" t="s">
        <v>89</v>
      </c>
      <c r="F923" t="s">
        <v>18</v>
      </c>
      <c r="G923" t="s">
        <v>42</v>
      </c>
      <c r="H923">
        <v>502</v>
      </c>
      <c r="I923">
        <v>50</v>
      </c>
      <c r="J923">
        <v>30</v>
      </c>
      <c r="K923" t="s">
        <v>20</v>
      </c>
      <c r="L923">
        <v>27</v>
      </c>
      <c r="M923" t="s">
        <v>21</v>
      </c>
    </row>
    <row r="924" spans="1:13" x14ac:dyDescent="0.35">
      <c r="A924" t="s">
        <v>1565</v>
      </c>
      <c r="B924" t="s">
        <v>280</v>
      </c>
      <c r="C924" t="s">
        <v>756</v>
      </c>
      <c r="D924" t="s">
        <v>40</v>
      </c>
      <c r="E924" t="s">
        <v>111</v>
      </c>
      <c r="F924" t="s">
        <v>18</v>
      </c>
      <c r="G924" t="s">
        <v>74</v>
      </c>
      <c r="H924">
        <v>702</v>
      </c>
      <c r="I924">
        <v>50</v>
      </c>
      <c r="J924">
        <v>50</v>
      </c>
      <c r="K924" t="s">
        <v>20</v>
      </c>
      <c r="L924">
        <v>32</v>
      </c>
      <c r="M924" t="s">
        <v>21</v>
      </c>
    </row>
    <row r="925" spans="1:13" x14ac:dyDescent="0.35">
      <c r="A925" t="s">
        <v>1566</v>
      </c>
      <c r="B925" t="s">
        <v>398</v>
      </c>
      <c r="C925" t="s">
        <v>1147</v>
      </c>
      <c r="D925" t="s">
        <v>25</v>
      </c>
      <c r="E925" t="s">
        <v>26</v>
      </c>
      <c r="F925" t="s">
        <v>27</v>
      </c>
      <c r="G925" t="s">
        <v>59</v>
      </c>
      <c r="H925">
        <v>687</v>
      </c>
      <c r="I925">
        <v>40</v>
      </c>
      <c r="J925">
        <v>100</v>
      </c>
      <c r="K925" t="s">
        <v>29</v>
      </c>
      <c r="L925">
        <v>38</v>
      </c>
      <c r="M925" t="s">
        <v>21</v>
      </c>
    </row>
    <row r="926" spans="1:13" x14ac:dyDescent="0.35">
      <c r="A926" t="s">
        <v>1567</v>
      </c>
      <c r="B926" t="s">
        <v>136</v>
      </c>
      <c r="C926" t="s">
        <v>433</v>
      </c>
      <c r="D926" t="s">
        <v>16</v>
      </c>
      <c r="E926" t="s">
        <v>89</v>
      </c>
      <c r="F926" t="s">
        <v>18</v>
      </c>
      <c r="G926" t="s">
        <v>49</v>
      </c>
      <c r="H926">
        <v>199</v>
      </c>
      <c r="I926">
        <v>40</v>
      </c>
      <c r="J926">
        <v>100</v>
      </c>
      <c r="K926" t="s">
        <v>29</v>
      </c>
      <c r="L926">
        <v>45</v>
      </c>
      <c r="M926" t="s">
        <v>21</v>
      </c>
    </row>
    <row r="927" spans="1:13" x14ac:dyDescent="0.35">
      <c r="A927" t="s">
        <v>1568</v>
      </c>
      <c r="B927" t="s">
        <v>247</v>
      </c>
      <c r="C927" t="s">
        <v>879</v>
      </c>
      <c r="D927" t="s">
        <v>40</v>
      </c>
      <c r="E927" t="s">
        <v>41</v>
      </c>
      <c r="F927" t="s">
        <v>27</v>
      </c>
      <c r="G927" t="s">
        <v>74</v>
      </c>
      <c r="H927">
        <v>668</v>
      </c>
      <c r="I927">
        <v>40</v>
      </c>
      <c r="J927">
        <v>100</v>
      </c>
      <c r="K927" t="s">
        <v>20</v>
      </c>
      <c r="L927">
        <v>33</v>
      </c>
      <c r="M927" t="s">
        <v>21</v>
      </c>
    </row>
    <row r="928" spans="1:13" x14ac:dyDescent="0.35">
      <c r="A928" t="s">
        <v>1569</v>
      </c>
      <c r="B928" t="s">
        <v>339</v>
      </c>
      <c r="C928" t="s">
        <v>307</v>
      </c>
      <c r="D928" t="s">
        <v>46</v>
      </c>
      <c r="E928" t="s">
        <v>70</v>
      </c>
      <c r="F928" t="s">
        <v>18</v>
      </c>
      <c r="G928" t="s">
        <v>59</v>
      </c>
      <c r="H928">
        <v>357</v>
      </c>
      <c r="I928">
        <v>20</v>
      </c>
      <c r="J928">
        <v>30</v>
      </c>
      <c r="K928" t="s">
        <v>20</v>
      </c>
      <c r="L928">
        <v>43</v>
      </c>
      <c r="M928" t="s">
        <v>21</v>
      </c>
    </row>
    <row r="929" spans="1:13" x14ac:dyDescent="0.35">
      <c r="A929" t="s">
        <v>1570</v>
      </c>
      <c r="B929" t="s">
        <v>199</v>
      </c>
      <c r="C929" t="s">
        <v>1571</v>
      </c>
      <c r="D929" t="s">
        <v>25</v>
      </c>
      <c r="E929" t="s">
        <v>26</v>
      </c>
      <c r="F929" t="s">
        <v>27</v>
      </c>
      <c r="G929" t="s">
        <v>35</v>
      </c>
      <c r="H929">
        <v>584</v>
      </c>
      <c r="I929">
        <v>30</v>
      </c>
      <c r="J929">
        <v>50</v>
      </c>
      <c r="K929" t="s">
        <v>29</v>
      </c>
      <c r="L929">
        <v>48</v>
      </c>
      <c r="M929" t="s">
        <v>21</v>
      </c>
    </row>
    <row r="930" spans="1:13" x14ac:dyDescent="0.35">
      <c r="A930" t="s">
        <v>1572</v>
      </c>
      <c r="B930" t="s">
        <v>568</v>
      </c>
      <c r="C930" t="s">
        <v>1573</v>
      </c>
      <c r="D930" t="s">
        <v>40</v>
      </c>
      <c r="E930" t="s">
        <v>111</v>
      </c>
      <c r="F930" t="s">
        <v>18</v>
      </c>
      <c r="G930" t="s">
        <v>35</v>
      </c>
      <c r="H930">
        <v>667</v>
      </c>
      <c r="I930">
        <v>50</v>
      </c>
      <c r="J930">
        <v>20</v>
      </c>
      <c r="K930" t="s">
        <v>29</v>
      </c>
      <c r="L930">
        <v>54</v>
      </c>
      <c r="M930" t="s">
        <v>21</v>
      </c>
    </row>
    <row r="931" spans="1:13" x14ac:dyDescent="0.35">
      <c r="A931" t="s">
        <v>1574</v>
      </c>
      <c r="B931" t="s">
        <v>271</v>
      </c>
      <c r="C931" t="s">
        <v>779</v>
      </c>
      <c r="D931" t="s">
        <v>40</v>
      </c>
      <c r="E931" t="s">
        <v>67</v>
      </c>
      <c r="F931" t="s">
        <v>48</v>
      </c>
      <c r="G931" t="s">
        <v>35</v>
      </c>
      <c r="H931">
        <v>406</v>
      </c>
      <c r="I931">
        <v>50</v>
      </c>
      <c r="J931">
        <v>50</v>
      </c>
      <c r="K931" t="s">
        <v>20</v>
      </c>
      <c r="L931">
        <v>43</v>
      </c>
      <c r="M931" t="s">
        <v>21</v>
      </c>
    </row>
    <row r="932" spans="1:13" x14ac:dyDescent="0.35">
      <c r="A932" t="s">
        <v>1575</v>
      </c>
      <c r="B932" t="s">
        <v>336</v>
      </c>
      <c r="C932" t="s">
        <v>1344</v>
      </c>
      <c r="D932" t="s">
        <v>25</v>
      </c>
      <c r="E932" t="s">
        <v>34</v>
      </c>
      <c r="F932" t="s">
        <v>27</v>
      </c>
      <c r="G932" t="s">
        <v>49</v>
      </c>
      <c r="H932">
        <v>368</v>
      </c>
      <c r="I932">
        <v>30</v>
      </c>
      <c r="J932">
        <v>100</v>
      </c>
      <c r="K932" t="s">
        <v>29</v>
      </c>
      <c r="L932">
        <v>28</v>
      </c>
      <c r="M932" t="s">
        <v>21</v>
      </c>
    </row>
    <row r="933" spans="1:13" x14ac:dyDescent="0.35">
      <c r="A933" t="s">
        <v>1576</v>
      </c>
      <c r="B933" t="s">
        <v>133</v>
      </c>
      <c r="C933" t="s">
        <v>818</v>
      </c>
      <c r="D933" t="s">
        <v>46</v>
      </c>
      <c r="E933" t="s">
        <v>148</v>
      </c>
      <c r="F933" t="s">
        <v>27</v>
      </c>
      <c r="G933" t="s">
        <v>19</v>
      </c>
      <c r="H933">
        <v>750</v>
      </c>
      <c r="I933">
        <v>30</v>
      </c>
      <c r="J933">
        <v>100</v>
      </c>
      <c r="K933" t="s">
        <v>20</v>
      </c>
      <c r="L933">
        <v>37</v>
      </c>
      <c r="M933" t="s">
        <v>21</v>
      </c>
    </row>
    <row r="934" spans="1:13" x14ac:dyDescent="0.35">
      <c r="A934" t="s">
        <v>1577</v>
      </c>
      <c r="B934" t="s">
        <v>118</v>
      </c>
      <c r="C934" t="s">
        <v>441</v>
      </c>
      <c r="D934" t="s">
        <v>25</v>
      </c>
      <c r="E934" t="s">
        <v>78</v>
      </c>
      <c r="F934" t="s">
        <v>48</v>
      </c>
      <c r="G934" t="s">
        <v>42</v>
      </c>
      <c r="H934">
        <v>530</v>
      </c>
      <c r="I934">
        <v>30</v>
      </c>
      <c r="J934">
        <v>100</v>
      </c>
      <c r="K934" t="s">
        <v>36</v>
      </c>
      <c r="L934">
        <v>54</v>
      </c>
      <c r="M934" t="s">
        <v>21</v>
      </c>
    </row>
    <row r="935" spans="1:13" x14ac:dyDescent="0.35">
      <c r="A935" t="s">
        <v>1578</v>
      </c>
      <c r="B935" t="s">
        <v>657</v>
      </c>
      <c r="C935" t="s">
        <v>276</v>
      </c>
      <c r="D935" t="s">
        <v>53</v>
      </c>
      <c r="E935" t="s">
        <v>54</v>
      </c>
      <c r="F935" t="s">
        <v>55</v>
      </c>
      <c r="G935" t="s">
        <v>176</v>
      </c>
      <c r="H935">
        <v>427</v>
      </c>
      <c r="I935">
        <v>50</v>
      </c>
      <c r="J935">
        <v>50</v>
      </c>
      <c r="K935" t="s">
        <v>20</v>
      </c>
      <c r="L935">
        <v>45</v>
      </c>
      <c r="M935" t="s">
        <v>21</v>
      </c>
    </row>
    <row r="936" spans="1:13" x14ac:dyDescent="0.35">
      <c r="A936" t="s">
        <v>1579</v>
      </c>
      <c r="B936" t="s">
        <v>105</v>
      </c>
      <c r="C936" t="s">
        <v>287</v>
      </c>
      <c r="D936" t="s">
        <v>53</v>
      </c>
      <c r="E936" t="s">
        <v>84</v>
      </c>
      <c r="F936" t="s">
        <v>85</v>
      </c>
      <c r="G936" t="s">
        <v>176</v>
      </c>
      <c r="H936">
        <v>779</v>
      </c>
      <c r="I936">
        <v>20</v>
      </c>
      <c r="J936">
        <v>20</v>
      </c>
      <c r="K936" t="s">
        <v>20</v>
      </c>
      <c r="L936">
        <v>58</v>
      </c>
      <c r="M936" t="s">
        <v>30</v>
      </c>
    </row>
    <row r="937" spans="1:13" x14ac:dyDescent="0.35">
      <c r="A937" t="s">
        <v>1580</v>
      </c>
      <c r="B937" t="s">
        <v>583</v>
      </c>
      <c r="C937" t="s">
        <v>1581</v>
      </c>
      <c r="D937" t="s">
        <v>46</v>
      </c>
      <c r="E937" t="s">
        <v>70</v>
      </c>
      <c r="F937" t="s">
        <v>18</v>
      </c>
      <c r="G937" t="s">
        <v>176</v>
      </c>
      <c r="H937">
        <v>580</v>
      </c>
      <c r="I937">
        <v>50</v>
      </c>
      <c r="J937">
        <v>20</v>
      </c>
      <c r="K937" t="s">
        <v>29</v>
      </c>
      <c r="L937">
        <v>57</v>
      </c>
      <c r="M937" t="s">
        <v>21</v>
      </c>
    </row>
    <row r="938" spans="1:13" x14ac:dyDescent="0.35">
      <c r="A938" t="s">
        <v>1582</v>
      </c>
      <c r="B938" t="s">
        <v>207</v>
      </c>
      <c r="C938" t="s">
        <v>1197</v>
      </c>
      <c r="D938" t="s">
        <v>16</v>
      </c>
      <c r="E938" t="s">
        <v>131</v>
      </c>
      <c r="F938" t="s">
        <v>55</v>
      </c>
      <c r="G938" t="s">
        <v>176</v>
      </c>
      <c r="H938">
        <v>279</v>
      </c>
      <c r="I938">
        <v>40</v>
      </c>
      <c r="J938">
        <v>30</v>
      </c>
      <c r="K938" t="s">
        <v>20</v>
      </c>
      <c r="L938">
        <v>20</v>
      </c>
      <c r="M938" t="s">
        <v>21</v>
      </c>
    </row>
    <row r="939" spans="1:13" x14ac:dyDescent="0.35">
      <c r="A939" t="s">
        <v>1583</v>
      </c>
      <c r="B939" t="s">
        <v>580</v>
      </c>
      <c r="C939" t="s">
        <v>200</v>
      </c>
      <c r="D939" t="s">
        <v>46</v>
      </c>
      <c r="E939" t="s">
        <v>148</v>
      </c>
      <c r="F939" t="s">
        <v>27</v>
      </c>
      <c r="G939" t="s">
        <v>74</v>
      </c>
      <c r="H939">
        <v>240</v>
      </c>
      <c r="I939">
        <v>30</v>
      </c>
      <c r="J939">
        <v>100</v>
      </c>
      <c r="K939" t="s">
        <v>29</v>
      </c>
      <c r="L939">
        <v>41</v>
      </c>
      <c r="M939" t="s">
        <v>21</v>
      </c>
    </row>
    <row r="940" spans="1:13" x14ac:dyDescent="0.35">
      <c r="A940" t="s">
        <v>1584</v>
      </c>
      <c r="B940" t="s">
        <v>105</v>
      </c>
      <c r="C940" t="s">
        <v>708</v>
      </c>
      <c r="D940" t="s">
        <v>25</v>
      </c>
      <c r="E940" t="s">
        <v>78</v>
      </c>
      <c r="F940" t="s">
        <v>48</v>
      </c>
      <c r="G940" t="s">
        <v>49</v>
      </c>
      <c r="H940">
        <v>661</v>
      </c>
      <c r="I940">
        <v>20</v>
      </c>
      <c r="J940">
        <v>20</v>
      </c>
      <c r="K940" t="s">
        <v>29</v>
      </c>
      <c r="L940">
        <v>27</v>
      </c>
      <c r="M940" t="s">
        <v>21</v>
      </c>
    </row>
    <row r="941" spans="1:13" x14ac:dyDescent="0.35">
      <c r="A941" t="s">
        <v>1585</v>
      </c>
      <c r="B941" t="s">
        <v>226</v>
      </c>
      <c r="C941" t="s">
        <v>956</v>
      </c>
      <c r="D941" t="s">
        <v>40</v>
      </c>
      <c r="E941" t="s">
        <v>41</v>
      </c>
      <c r="F941" t="s">
        <v>27</v>
      </c>
      <c r="G941" t="s">
        <v>59</v>
      </c>
      <c r="H941">
        <v>249</v>
      </c>
      <c r="I941">
        <v>50</v>
      </c>
      <c r="J941">
        <v>50</v>
      </c>
      <c r="K941" t="s">
        <v>29</v>
      </c>
      <c r="L941">
        <v>34</v>
      </c>
      <c r="M941" t="s">
        <v>21</v>
      </c>
    </row>
    <row r="942" spans="1:13" x14ac:dyDescent="0.35">
      <c r="A942" t="s">
        <v>1586</v>
      </c>
      <c r="B942" t="s">
        <v>129</v>
      </c>
      <c r="C942" t="s">
        <v>385</v>
      </c>
      <c r="D942" t="s">
        <v>53</v>
      </c>
      <c r="E942" t="s">
        <v>152</v>
      </c>
      <c r="F942" t="s">
        <v>18</v>
      </c>
      <c r="G942" t="s">
        <v>28</v>
      </c>
      <c r="H942">
        <v>165</v>
      </c>
      <c r="I942">
        <v>40</v>
      </c>
      <c r="J942">
        <v>0</v>
      </c>
      <c r="K942" t="s">
        <v>29</v>
      </c>
      <c r="L942">
        <v>30</v>
      </c>
      <c r="M942" t="s">
        <v>21</v>
      </c>
    </row>
    <row r="943" spans="1:13" x14ac:dyDescent="0.35">
      <c r="A943" t="s">
        <v>1587</v>
      </c>
      <c r="B943" t="s">
        <v>339</v>
      </c>
      <c r="C943" t="s">
        <v>193</v>
      </c>
      <c r="D943" t="s">
        <v>53</v>
      </c>
      <c r="E943" t="s">
        <v>54</v>
      </c>
      <c r="F943" t="s">
        <v>55</v>
      </c>
      <c r="G943" t="s">
        <v>63</v>
      </c>
      <c r="H943">
        <v>408</v>
      </c>
      <c r="I943">
        <v>40</v>
      </c>
      <c r="J943">
        <v>30</v>
      </c>
      <c r="K943" t="s">
        <v>36</v>
      </c>
      <c r="L943">
        <v>48</v>
      </c>
      <c r="M943" t="s">
        <v>21</v>
      </c>
    </row>
    <row r="944" spans="1:13" x14ac:dyDescent="0.35">
      <c r="A944" t="s">
        <v>1588</v>
      </c>
      <c r="B944" t="s">
        <v>32</v>
      </c>
      <c r="C944" t="s">
        <v>1589</v>
      </c>
      <c r="D944" t="s">
        <v>25</v>
      </c>
      <c r="E944" t="s">
        <v>78</v>
      </c>
      <c r="F944" t="s">
        <v>48</v>
      </c>
      <c r="G944" t="s">
        <v>19</v>
      </c>
      <c r="H944">
        <v>228</v>
      </c>
      <c r="I944">
        <v>30</v>
      </c>
      <c r="J944">
        <v>0</v>
      </c>
      <c r="K944" t="s">
        <v>36</v>
      </c>
      <c r="L944">
        <v>40</v>
      </c>
      <c r="M944" t="s">
        <v>21</v>
      </c>
    </row>
    <row r="945" spans="1:13" x14ac:dyDescent="0.35">
      <c r="A945" t="s">
        <v>1590</v>
      </c>
      <c r="B945" t="s">
        <v>379</v>
      </c>
      <c r="C945" t="s">
        <v>625</v>
      </c>
      <c r="D945" t="s">
        <v>53</v>
      </c>
      <c r="E945" t="s">
        <v>84</v>
      </c>
      <c r="F945" t="s">
        <v>85</v>
      </c>
      <c r="G945" t="s">
        <v>35</v>
      </c>
      <c r="H945">
        <v>233</v>
      </c>
      <c r="I945">
        <v>20</v>
      </c>
      <c r="J945">
        <v>50</v>
      </c>
      <c r="K945" t="s">
        <v>20</v>
      </c>
      <c r="L945">
        <v>38</v>
      </c>
      <c r="M945" t="s">
        <v>21</v>
      </c>
    </row>
    <row r="946" spans="1:13" x14ac:dyDescent="0.35">
      <c r="A946" t="s">
        <v>1591</v>
      </c>
      <c r="B946" t="s">
        <v>150</v>
      </c>
      <c r="C946" t="s">
        <v>452</v>
      </c>
      <c r="D946" t="s">
        <v>46</v>
      </c>
      <c r="E946" t="s">
        <v>148</v>
      </c>
      <c r="F946" t="s">
        <v>27</v>
      </c>
      <c r="G946" t="s">
        <v>63</v>
      </c>
      <c r="H946">
        <v>337</v>
      </c>
      <c r="I946">
        <v>20</v>
      </c>
      <c r="J946">
        <v>50</v>
      </c>
      <c r="K946" t="s">
        <v>29</v>
      </c>
      <c r="L946">
        <v>55</v>
      </c>
      <c r="M946" t="s">
        <v>21</v>
      </c>
    </row>
    <row r="947" spans="1:13" x14ac:dyDescent="0.35">
      <c r="A947" t="s">
        <v>1592</v>
      </c>
      <c r="B947" t="s">
        <v>393</v>
      </c>
      <c r="C947" t="s">
        <v>1593</v>
      </c>
      <c r="D947" t="s">
        <v>46</v>
      </c>
      <c r="E947" t="s">
        <v>47</v>
      </c>
      <c r="F947" t="s">
        <v>48</v>
      </c>
      <c r="G947" t="s">
        <v>49</v>
      </c>
      <c r="H947">
        <v>730</v>
      </c>
      <c r="I947">
        <v>40</v>
      </c>
      <c r="J947">
        <v>30</v>
      </c>
      <c r="K947" t="s">
        <v>29</v>
      </c>
      <c r="L947">
        <v>42</v>
      </c>
      <c r="M947" t="s">
        <v>21</v>
      </c>
    </row>
    <row r="948" spans="1:13" x14ac:dyDescent="0.35">
      <c r="A948" t="s">
        <v>1594</v>
      </c>
      <c r="B948" t="s">
        <v>57</v>
      </c>
      <c r="C948" t="s">
        <v>623</v>
      </c>
      <c r="D948" t="s">
        <v>53</v>
      </c>
      <c r="E948" t="s">
        <v>152</v>
      </c>
      <c r="F948" t="s">
        <v>18</v>
      </c>
      <c r="G948" t="s">
        <v>19</v>
      </c>
      <c r="H948">
        <v>367</v>
      </c>
      <c r="I948">
        <v>40</v>
      </c>
      <c r="J948">
        <v>100</v>
      </c>
      <c r="K948" t="s">
        <v>20</v>
      </c>
      <c r="L948">
        <v>45</v>
      </c>
      <c r="M948" t="s">
        <v>21</v>
      </c>
    </row>
    <row r="949" spans="1:13" x14ac:dyDescent="0.35">
      <c r="A949" t="s">
        <v>1595</v>
      </c>
      <c r="B949" t="s">
        <v>583</v>
      </c>
      <c r="C949" t="s">
        <v>1563</v>
      </c>
      <c r="D949" t="s">
        <v>53</v>
      </c>
      <c r="E949" t="s">
        <v>84</v>
      </c>
      <c r="F949" t="s">
        <v>85</v>
      </c>
      <c r="G949" t="s">
        <v>107</v>
      </c>
      <c r="H949">
        <v>341</v>
      </c>
      <c r="I949">
        <v>50</v>
      </c>
      <c r="J949">
        <v>20</v>
      </c>
      <c r="K949" t="s">
        <v>29</v>
      </c>
      <c r="L949">
        <v>24</v>
      </c>
      <c r="M949" t="s">
        <v>21</v>
      </c>
    </row>
    <row r="950" spans="1:13" x14ac:dyDescent="0.35">
      <c r="A950" t="s">
        <v>1596</v>
      </c>
      <c r="B950" t="s">
        <v>271</v>
      </c>
      <c r="C950" t="s">
        <v>414</v>
      </c>
      <c r="D950" t="s">
        <v>40</v>
      </c>
      <c r="E950" t="s">
        <v>67</v>
      </c>
      <c r="F950" t="s">
        <v>48</v>
      </c>
      <c r="G950" t="s">
        <v>35</v>
      </c>
      <c r="H950">
        <v>799</v>
      </c>
      <c r="I950">
        <v>50</v>
      </c>
      <c r="J950">
        <v>0</v>
      </c>
      <c r="K950" t="s">
        <v>29</v>
      </c>
      <c r="L950">
        <v>57</v>
      </c>
      <c r="M950" t="s">
        <v>21</v>
      </c>
    </row>
    <row r="951" spans="1:13" x14ac:dyDescent="0.35">
      <c r="A951" t="s">
        <v>1597</v>
      </c>
      <c r="B951" t="s">
        <v>129</v>
      </c>
      <c r="C951" t="s">
        <v>1598</v>
      </c>
      <c r="D951" t="s">
        <v>53</v>
      </c>
      <c r="E951" t="s">
        <v>54</v>
      </c>
      <c r="F951" t="s">
        <v>55</v>
      </c>
      <c r="G951" t="s">
        <v>42</v>
      </c>
      <c r="H951">
        <v>413</v>
      </c>
      <c r="I951">
        <v>20</v>
      </c>
      <c r="J951">
        <v>0</v>
      </c>
      <c r="K951" t="s">
        <v>29</v>
      </c>
      <c r="L951">
        <v>25</v>
      </c>
      <c r="M951" t="s">
        <v>21</v>
      </c>
    </row>
    <row r="952" spans="1:13" x14ac:dyDescent="0.35">
      <c r="A952" t="s">
        <v>1599</v>
      </c>
      <c r="B952" t="s">
        <v>416</v>
      </c>
      <c r="C952" t="s">
        <v>130</v>
      </c>
      <c r="D952" t="s">
        <v>46</v>
      </c>
      <c r="E952" t="s">
        <v>47</v>
      </c>
      <c r="F952" t="s">
        <v>48</v>
      </c>
      <c r="G952" t="s">
        <v>49</v>
      </c>
      <c r="H952">
        <v>377</v>
      </c>
      <c r="I952">
        <v>30</v>
      </c>
      <c r="J952">
        <v>30</v>
      </c>
      <c r="K952" t="s">
        <v>20</v>
      </c>
      <c r="L952">
        <v>29</v>
      </c>
      <c r="M952" t="s">
        <v>21</v>
      </c>
    </row>
    <row r="953" spans="1:13" x14ac:dyDescent="0.35">
      <c r="A953" t="s">
        <v>1600</v>
      </c>
      <c r="B953" t="s">
        <v>286</v>
      </c>
      <c r="C953" t="s">
        <v>644</v>
      </c>
      <c r="D953" t="s">
        <v>40</v>
      </c>
      <c r="E953" t="s">
        <v>111</v>
      </c>
      <c r="F953" t="s">
        <v>18</v>
      </c>
      <c r="G953" t="s">
        <v>63</v>
      </c>
      <c r="H953">
        <v>700</v>
      </c>
      <c r="I953">
        <v>40</v>
      </c>
      <c r="J953">
        <v>20</v>
      </c>
      <c r="K953" t="s">
        <v>29</v>
      </c>
      <c r="L953">
        <v>22</v>
      </c>
      <c r="M953" t="s">
        <v>21</v>
      </c>
    </row>
    <row r="954" spans="1:13" x14ac:dyDescent="0.35">
      <c r="A954" t="s">
        <v>1601</v>
      </c>
      <c r="B954" t="s">
        <v>473</v>
      </c>
      <c r="C954" t="s">
        <v>551</v>
      </c>
      <c r="D954" t="s">
        <v>25</v>
      </c>
      <c r="E954" t="s">
        <v>26</v>
      </c>
      <c r="F954" t="s">
        <v>27</v>
      </c>
      <c r="G954" t="s">
        <v>49</v>
      </c>
      <c r="H954">
        <v>777</v>
      </c>
      <c r="I954">
        <v>20</v>
      </c>
      <c r="J954">
        <v>50</v>
      </c>
      <c r="K954" t="s">
        <v>36</v>
      </c>
      <c r="L954">
        <v>38</v>
      </c>
      <c r="M954" t="s">
        <v>21</v>
      </c>
    </row>
    <row r="955" spans="1:13" x14ac:dyDescent="0.35">
      <c r="A955" t="s">
        <v>1602</v>
      </c>
      <c r="B955" t="s">
        <v>271</v>
      </c>
      <c r="C955" t="s">
        <v>737</v>
      </c>
      <c r="D955" t="s">
        <v>40</v>
      </c>
      <c r="E955" t="s">
        <v>67</v>
      </c>
      <c r="F955" t="s">
        <v>48</v>
      </c>
      <c r="G955" t="s">
        <v>35</v>
      </c>
      <c r="H955">
        <v>150</v>
      </c>
      <c r="I955">
        <v>40</v>
      </c>
      <c r="J955">
        <v>0</v>
      </c>
      <c r="K955" t="s">
        <v>20</v>
      </c>
      <c r="L955">
        <v>44</v>
      </c>
      <c r="M955" t="s">
        <v>21</v>
      </c>
    </row>
    <row r="956" spans="1:13" x14ac:dyDescent="0.35">
      <c r="A956" t="s">
        <v>1603</v>
      </c>
      <c r="B956" t="s">
        <v>244</v>
      </c>
      <c r="C956" t="s">
        <v>1604</v>
      </c>
      <c r="D956" t="s">
        <v>16</v>
      </c>
      <c r="E956" t="s">
        <v>89</v>
      </c>
      <c r="F956" t="s">
        <v>18</v>
      </c>
      <c r="G956" t="s">
        <v>63</v>
      </c>
      <c r="H956">
        <v>665</v>
      </c>
      <c r="I956">
        <v>40</v>
      </c>
      <c r="J956">
        <v>0</v>
      </c>
      <c r="K956" t="s">
        <v>36</v>
      </c>
      <c r="L956">
        <v>32</v>
      </c>
      <c r="M956" t="s">
        <v>21</v>
      </c>
    </row>
    <row r="957" spans="1:13" x14ac:dyDescent="0.35">
      <c r="A957" t="s">
        <v>1605</v>
      </c>
      <c r="B957" t="s">
        <v>368</v>
      </c>
      <c r="C957" t="s">
        <v>124</v>
      </c>
      <c r="D957" t="s">
        <v>40</v>
      </c>
      <c r="E957" t="s">
        <v>67</v>
      </c>
      <c r="F957" t="s">
        <v>48</v>
      </c>
      <c r="G957" t="s">
        <v>35</v>
      </c>
      <c r="H957">
        <v>202</v>
      </c>
      <c r="I957">
        <v>50</v>
      </c>
      <c r="J957">
        <v>100</v>
      </c>
      <c r="K957" t="s">
        <v>29</v>
      </c>
      <c r="L957">
        <v>24</v>
      </c>
      <c r="M957" t="s">
        <v>21</v>
      </c>
    </row>
    <row r="958" spans="1:13" x14ac:dyDescent="0.35">
      <c r="A958" t="s">
        <v>1606</v>
      </c>
      <c r="B958" t="s">
        <v>189</v>
      </c>
      <c r="C958" t="s">
        <v>555</v>
      </c>
      <c r="D958" t="s">
        <v>46</v>
      </c>
      <c r="E958" t="s">
        <v>47</v>
      </c>
      <c r="F958" t="s">
        <v>48</v>
      </c>
      <c r="G958" t="s">
        <v>176</v>
      </c>
      <c r="H958">
        <v>225</v>
      </c>
      <c r="I958">
        <v>30</v>
      </c>
      <c r="J958">
        <v>100</v>
      </c>
      <c r="K958" t="s">
        <v>20</v>
      </c>
      <c r="L958">
        <v>50</v>
      </c>
      <c r="M958" t="s">
        <v>21</v>
      </c>
    </row>
    <row r="959" spans="1:13" x14ac:dyDescent="0.35">
      <c r="A959" t="s">
        <v>1607</v>
      </c>
      <c r="B959" t="s">
        <v>14</v>
      </c>
      <c r="C959" t="s">
        <v>1022</v>
      </c>
      <c r="D959" t="s">
        <v>53</v>
      </c>
      <c r="E959" t="s">
        <v>84</v>
      </c>
      <c r="F959" t="s">
        <v>85</v>
      </c>
      <c r="G959" t="s">
        <v>49</v>
      </c>
      <c r="H959">
        <v>347</v>
      </c>
      <c r="I959">
        <v>20</v>
      </c>
      <c r="J959">
        <v>100</v>
      </c>
      <c r="K959" t="s">
        <v>36</v>
      </c>
      <c r="L959">
        <v>51</v>
      </c>
      <c r="M959" t="s">
        <v>21</v>
      </c>
    </row>
    <row r="960" spans="1:13" x14ac:dyDescent="0.35">
      <c r="A960" t="s">
        <v>1608</v>
      </c>
      <c r="B960" t="s">
        <v>44</v>
      </c>
      <c r="C960" t="s">
        <v>1088</v>
      </c>
      <c r="D960" t="s">
        <v>53</v>
      </c>
      <c r="E960" t="s">
        <v>152</v>
      </c>
      <c r="F960" t="s">
        <v>18</v>
      </c>
      <c r="G960" t="s">
        <v>107</v>
      </c>
      <c r="H960">
        <v>557</v>
      </c>
      <c r="I960">
        <v>40</v>
      </c>
      <c r="J960">
        <v>30</v>
      </c>
      <c r="K960" t="s">
        <v>29</v>
      </c>
      <c r="L960">
        <v>24</v>
      </c>
      <c r="M960" t="s">
        <v>21</v>
      </c>
    </row>
    <row r="961" spans="1:13" x14ac:dyDescent="0.35">
      <c r="A961" t="s">
        <v>1609</v>
      </c>
      <c r="B961" t="s">
        <v>44</v>
      </c>
      <c r="C961" t="s">
        <v>884</v>
      </c>
      <c r="D961" t="s">
        <v>46</v>
      </c>
      <c r="E961" t="s">
        <v>47</v>
      </c>
      <c r="F961" t="s">
        <v>48</v>
      </c>
      <c r="G961" t="s">
        <v>42</v>
      </c>
      <c r="H961">
        <v>530</v>
      </c>
      <c r="I961">
        <v>30</v>
      </c>
      <c r="J961">
        <v>20</v>
      </c>
      <c r="K961" t="s">
        <v>20</v>
      </c>
      <c r="L961">
        <v>21</v>
      </c>
      <c r="M961" t="s">
        <v>21</v>
      </c>
    </row>
    <row r="962" spans="1:13" x14ac:dyDescent="0.35">
      <c r="A962" t="s">
        <v>1610</v>
      </c>
      <c r="B962" t="s">
        <v>657</v>
      </c>
      <c r="C962" t="s">
        <v>698</v>
      </c>
      <c r="D962" t="s">
        <v>40</v>
      </c>
      <c r="E962" t="s">
        <v>67</v>
      </c>
      <c r="F962" t="s">
        <v>48</v>
      </c>
      <c r="G962" t="s">
        <v>107</v>
      </c>
      <c r="H962">
        <v>554</v>
      </c>
      <c r="I962">
        <v>50</v>
      </c>
      <c r="J962">
        <v>0</v>
      </c>
      <c r="K962" t="s">
        <v>36</v>
      </c>
      <c r="L962">
        <v>21</v>
      </c>
      <c r="M962" t="s">
        <v>21</v>
      </c>
    </row>
    <row r="963" spans="1:13" x14ac:dyDescent="0.35">
      <c r="A963" t="s">
        <v>1611</v>
      </c>
      <c r="B963" t="s">
        <v>44</v>
      </c>
      <c r="C963" t="s">
        <v>1612</v>
      </c>
      <c r="D963" t="s">
        <v>40</v>
      </c>
      <c r="E963" t="s">
        <v>111</v>
      </c>
      <c r="F963" t="s">
        <v>18</v>
      </c>
      <c r="G963" t="s">
        <v>59</v>
      </c>
      <c r="H963">
        <v>160</v>
      </c>
      <c r="I963">
        <v>50</v>
      </c>
      <c r="J963">
        <v>0</v>
      </c>
      <c r="K963" t="s">
        <v>29</v>
      </c>
      <c r="L963">
        <v>56</v>
      </c>
      <c r="M963" t="s">
        <v>21</v>
      </c>
    </row>
    <row r="964" spans="1:13" x14ac:dyDescent="0.35">
      <c r="A964" t="s">
        <v>1613</v>
      </c>
      <c r="B964" t="s">
        <v>87</v>
      </c>
      <c r="C964" t="s">
        <v>330</v>
      </c>
      <c r="D964" t="s">
        <v>40</v>
      </c>
      <c r="E964" t="s">
        <v>111</v>
      </c>
      <c r="F964" t="s">
        <v>18</v>
      </c>
      <c r="G964" t="s">
        <v>74</v>
      </c>
      <c r="H964">
        <v>675</v>
      </c>
      <c r="I964">
        <v>50</v>
      </c>
      <c r="J964">
        <v>20</v>
      </c>
      <c r="K964" t="s">
        <v>36</v>
      </c>
      <c r="L964">
        <v>25</v>
      </c>
      <c r="M964" t="s">
        <v>21</v>
      </c>
    </row>
    <row r="965" spans="1:13" x14ac:dyDescent="0.35">
      <c r="A965" t="s">
        <v>1614</v>
      </c>
      <c r="B965" t="s">
        <v>286</v>
      </c>
      <c r="C965" t="s">
        <v>1421</v>
      </c>
      <c r="D965" t="s">
        <v>25</v>
      </c>
      <c r="E965" t="s">
        <v>78</v>
      </c>
      <c r="F965" t="s">
        <v>48</v>
      </c>
      <c r="G965" t="s">
        <v>19</v>
      </c>
      <c r="H965">
        <v>372</v>
      </c>
      <c r="I965">
        <v>50</v>
      </c>
      <c r="J965">
        <v>20</v>
      </c>
      <c r="K965" t="s">
        <v>20</v>
      </c>
      <c r="L965">
        <v>51</v>
      </c>
      <c r="M965" t="s">
        <v>21</v>
      </c>
    </row>
    <row r="966" spans="1:13" x14ac:dyDescent="0.35">
      <c r="A966" t="s">
        <v>1615</v>
      </c>
      <c r="B966" t="s">
        <v>568</v>
      </c>
      <c r="C966" t="s">
        <v>1453</v>
      </c>
      <c r="D966" t="s">
        <v>40</v>
      </c>
      <c r="E966" t="s">
        <v>111</v>
      </c>
      <c r="F966" t="s">
        <v>18</v>
      </c>
      <c r="G966" t="s">
        <v>74</v>
      </c>
      <c r="H966">
        <v>324</v>
      </c>
      <c r="I966">
        <v>50</v>
      </c>
      <c r="J966">
        <v>0</v>
      </c>
      <c r="K966" t="s">
        <v>20</v>
      </c>
      <c r="L966">
        <v>41</v>
      </c>
      <c r="M966" t="s">
        <v>21</v>
      </c>
    </row>
    <row r="967" spans="1:13" x14ac:dyDescent="0.35">
      <c r="A967" t="s">
        <v>1616</v>
      </c>
      <c r="B967" t="s">
        <v>118</v>
      </c>
      <c r="C967" t="s">
        <v>1617</v>
      </c>
      <c r="D967" t="s">
        <v>46</v>
      </c>
      <c r="E967" t="s">
        <v>70</v>
      </c>
      <c r="F967" t="s">
        <v>18</v>
      </c>
      <c r="G967" t="s">
        <v>63</v>
      </c>
      <c r="H967">
        <v>217</v>
      </c>
      <c r="I967">
        <v>20</v>
      </c>
      <c r="J967">
        <v>50</v>
      </c>
      <c r="K967" t="s">
        <v>20</v>
      </c>
      <c r="L967">
        <v>59</v>
      </c>
      <c r="M967" t="s">
        <v>21</v>
      </c>
    </row>
    <row r="968" spans="1:13" x14ac:dyDescent="0.35">
      <c r="A968" t="s">
        <v>1618</v>
      </c>
      <c r="B968" t="s">
        <v>432</v>
      </c>
      <c r="C968" t="s">
        <v>399</v>
      </c>
      <c r="D968" t="s">
        <v>53</v>
      </c>
      <c r="E968" t="s">
        <v>54</v>
      </c>
      <c r="F968" t="s">
        <v>55</v>
      </c>
      <c r="G968" t="s">
        <v>107</v>
      </c>
      <c r="H968">
        <v>245</v>
      </c>
      <c r="I968">
        <v>50</v>
      </c>
      <c r="J968">
        <v>0</v>
      </c>
      <c r="K968" t="s">
        <v>29</v>
      </c>
      <c r="L968">
        <v>21</v>
      </c>
      <c r="M968" t="s">
        <v>21</v>
      </c>
    </row>
    <row r="969" spans="1:13" x14ac:dyDescent="0.35">
      <c r="A969" t="s">
        <v>1619</v>
      </c>
      <c r="B969" t="s">
        <v>136</v>
      </c>
      <c r="C969" t="s">
        <v>263</v>
      </c>
      <c r="D969" t="s">
        <v>16</v>
      </c>
      <c r="E969" t="s">
        <v>131</v>
      </c>
      <c r="F969" t="s">
        <v>55</v>
      </c>
      <c r="G969" t="s">
        <v>19</v>
      </c>
      <c r="H969">
        <v>392</v>
      </c>
      <c r="I969">
        <v>40</v>
      </c>
      <c r="J969">
        <v>100</v>
      </c>
      <c r="K969" t="s">
        <v>36</v>
      </c>
      <c r="L969">
        <v>29</v>
      </c>
      <c r="M969" t="s">
        <v>21</v>
      </c>
    </row>
    <row r="970" spans="1:13" x14ac:dyDescent="0.35">
      <c r="A970" t="s">
        <v>1620</v>
      </c>
      <c r="B970" t="s">
        <v>167</v>
      </c>
      <c r="C970" t="s">
        <v>1621</v>
      </c>
      <c r="D970" t="s">
        <v>46</v>
      </c>
      <c r="E970" t="s">
        <v>148</v>
      </c>
      <c r="F970" t="s">
        <v>27</v>
      </c>
      <c r="G970" t="s">
        <v>35</v>
      </c>
      <c r="H970">
        <v>437</v>
      </c>
      <c r="I970">
        <v>50</v>
      </c>
      <c r="J970">
        <v>30</v>
      </c>
      <c r="K970" t="s">
        <v>29</v>
      </c>
      <c r="L970">
        <v>37</v>
      </c>
      <c r="M970" t="s">
        <v>21</v>
      </c>
    </row>
    <row r="971" spans="1:13" x14ac:dyDescent="0.35">
      <c r="A971" t="s">
        <v>1622</v>
      </c>
      <c r="B971" t="s">
        <v>181</v>
      </c>
      <c r="C971" t="s">
        <v>303</v>
      </c>
      <c r="D971" t="s">
        <v>16</v>
      </c>
      <c r="E971" t="s">
        <v>17</v>
      </c>
      <c r="F971" t="s">
        <v>18</v>
      </c>
      <c r="G971" t="s">
        <v>28</v>
      </c>
      <c r="H971">
        <v>470</v>
      </c>
      <c r="I971">
        <v>20</v>
      </c>
      <c r="J971">
        <v>20</v>
      </c>
      <c r="K971" t="s">
        <v>20</v>
      </c>
      <c r="L971">
        <v>39</v>
      </c>
      <c r="M971" t="s">
        <v>21</v>
      </c>
    </row>
    <row r="972" spans="1:13" x14ac:dyDescent="0.35">
      <c r="A972" t="s">
        <v>1623</v>
      </c>
      <c r="B972" t="s">
        <v>113</v>
      </c>
      <c r="C972" t="s">
        <v>1624</v>
      </c>
      <c r="D972" t="s">
        <v>25</v>
      </c>
      <c r="E972" t="s">
        <v>78</v>
      </c>
      <c r="F972" t="s">
        <v>48</v>
      </c>
      <c r="G972" t="s">
        <v>35</v>
      </c>
      <c r="H972">
        <v>236</v>
      </c>
      <c r="I972">
        <v>20</v>
      </c>
      <c r="J972">
        <v>30</v>
      </c>
      <c r="K972" t="s">
        <v>29</v>
      </c>
      <c r="L972">
        <v>36</v>
      </c>
      <c r="M972" t="s">
        <v>30</v>
      </c>
    </row>
    <row r="973" spans="1:13" x14ac:dyDescent="0.35">
      <c r="A973" t="s">
        <v>1625</v>
      </c>
      <c r="B973" t="s">
        <v>102</v>
      </c>
      <c r="C973" t="s">
        <v>92</v>
      </c>
      <c r="D973" t="s">
        <v>53</v>
      </c>
      <c r="E973" t="s">
        <v>84</v>
      </c>
      <c r="F973" t="s">
        <v>85</v>
      </c>
      <c r="G973" t="s">
        <v>107</v>
      </c>
      <c r="H973">
        <v>726</v>
      </c>
      <c r="I973">
        <v>40</v>
      </c>
      <c r="J973">
        <v>100</v>
      </c>
      <c r="K973" t="s">
        <v>29</v>
      </c>
      <c r="L973">
        <v>21</v>
      </c>
      <c r="M973" t="s">
        <v>21</v>
      </c>
    </row>
    <row r="974" spans="1:13" x14ac:dyDescent="0.35">
      <c r="A974" t="s">
        <v>1626</v>
      </c>
      <c r="B974" t="s">
        <v>486</v>
      </c>
      <c r="C974" t="s">
        <v>1338</v>
      </c>
      <c r="D974" t="s">
        <v>46</v>
      </c>
      <c r="E974" t="s">
        <v>148</v>
      </c>
      <c r="F974" t="s">
        <v>27</v>
      </c>
      <c r="G974" t="s">
        <v>19</v>
      </c>
      <c r="H974">
        <v>439</v>
      </c>
      <c r="I974">
        <v>30</v>
      </c>
      <c r="J974">
        <v>0</v>
      </c>
      <c r="K974" t="s">
        <v>20</v>
      </c>
      <c r="L974">
        <v>44</v>
      </c>
      <c r="M974" t="s">
        <v>21</v>
      </c>
    </row>
    <row r="975" spans="1:13" x14ac:dyDescent="0.35">
      <c r="A975" t="s">
        <v>1627</v>
      </c>
      <c r="B975" t="s">
        <v>295</v>
      </c>
      <c r="C975" t="s">
        <v>1421</v>
      </c>
      <c r="D975" t="s">
        <v>46</v>
      </c>
      <c r="E975" t="s">
        <v>47</v>
      </c>
      <c r="F975" t="s">
        <v>48</v>
      </c>
      <c r="G975" t="s">
        <v>42</v>
      </c>
      <c r="H975">
        <v>782</v>
      </c>
      <c r="I975">
        <v>20</v>
      </c>
      <c r="J975">
        <v>50</v>
      </c>
      <c r="K975" t="s">
        <v>20</v>
      </c>
      <c r="L975">
        <v>46</v>
      </c>
      <c r="M975" t="s">
        <v>21</v>
      </c>
    </row>
    <row r="976" spans="1:13" x14ac:dyDescent="0.35">
      <c r="A976" t="s">
        <v>1628</v>
      </c>
      <c r="B976" t="s">
        <v>305</v>
      </c>
      <c r="C976" t="s">
        <v>389</v>
      </c>
      <c r="D976" t="s">
        <v>46</v>
      </c>
      <c r="E976" t="s">
        <v>70</v>
      </c>
      <c r="F976" t="s">
        <v>18</v>
      </c>
      <c r="G976" t="s">
        <v>19</v>
      </c>
      <c r="H976">
        <v>168</v>
      </c>
      <c r="I976">
        <v>50</v>
      </c>
      <c r="J976">
        <v>100</v>
      </c>
      <c r="K976" t="s">
        <v>20</v>
      </c>
      <c r="L976">
        <v>35</v>
      </c>
      <c r="M976" t="s">
        <v>21</v>
      </c>
    </row>
    <row r="977" spans="1:13" x14ac:dyDescent="0.35">
      <c r="A977" t="s">
        <v>1629</v>
      </c>
      <c r="B977" t="s">
        <v>150</v>
      </c>
      <c r="C977" t="s">
        <v>1043</v>
      </c>
      <c r="D977" t="s">
        <v>53</v>
      </c>
      <c r="E977" t="s">
        <v>84</v>
      </c>
      <c r="F977" t="s">
        <v>85</v>
      </c>
      <c r="G977" t="s">
        <v>74</v>
      </c>
      <c r="H977">
        <v>415</v>
      </c>
      <c r="I977">
        <v>50</v>
      </c>
      <c r="J977">
        <v>50</v>
      </c>
      <c r="K977" t="s">
        <v>20</v>
      </c>
      <c r="L977">
        <v>24</v>
      </c>
      <c r="M977" t="s">
        <v>21</v>
      </c>
    </row>
    <row r="978" spans="1:13" x14ac:dyDescent="0.35">
      <c r="A978" t="s">
        <v>1630</v>
      </c>
      <c r="B978" t="s">
        <v>80</v>
      </c>
      <c r="C978" t="s">
        <v>1631</v>
      </c>
      <c r="D978" t="s">
        <v>16</v>
      </c>
      <c r="E978" t="s">
        <v>131</v>
      </c>
      <c r="F978" t="s">
        <v>55</v>
      </c>
      <c r="G978" t="s">
        <v>74</v>
      </c>
      <c r="H978">
        <v>752</v>
      </c>
      <c r="I978">
        <v>50</v>
      </c>
      <c r="J978">
        <v>100</v>
      </c>
      <c r="K978" t="s">
        <v>29</v>
      </c>
      <c r="L978">
        <v>40</v>
      </c>
      <c r="M978" t="s">
        <v>21</v>
      </c>
    </row>
    <row r="979" spans="1:13" x14ac:dyDescent="0.35">
      <c r="A979" t="s">
        <v>1632</v>
      </c>
      <c r="B979" t="s">
        <v>339</v>
      </c>
      <c r="C979" t="s">
        <v>1026</v>
      </c>
      <c r="D979" t="s">
        <v>46</v>
      </c>
      <c r="E979" t="s">
        <v>148</v>
      </c>
      <c r="F979" t="s">
        <v>27</v>
      </c>
      <c r="G979" t="s">
        <v>59</v>
      </c>
      <c r="H979">
        <v>306</v>
      </c>
      <c r="I979">
        <v>20</v>
      </c>
      <c r="J979">
        <v>50</v>
      </c>
      <c r="K979" t="s">
        <v>36</v>
      </c>
      <c r="L979">
        <v>22</v>
      </c>
      <c r="M979" t="s">
        <v>21</v>
      </c>
    </row>
    <row r="980" spans="1:13" x14ac:dyDescent="0.35">
      <c r="A980" t="s">
        <v>1633</v>
      </c>
      <c r="B980" t="s">
        <v>252</v>
      </c>
      <c r="C980" t="s">
        <v>1057</v>
      </c>
      <c r="D980" t="s">
        <v>25</v>
      </c>
      <c r="E980" t="s">
        <v>26</v>
      </c>
      <c r="F980" t="s">
        <v>27</v>
      </c>
      <c r="G980" t="s">
        <v>19</v>
      </c>
      <c r="H980">
        <v>355</v>
      </c>
      <c r="I980">
        <v>40</v>
      </c>
      <c r="J980">
        <v>30</v>
      </c>
      <c r="K980" t="s">
        <v>36</v>
      </c>
      <c r="L980">
        <v>42</v>
      </c>
      <c r="M980" t="s">
        <v>21</v>
      </c>
    </row>
    <row r="981" spans="1:13" x14ac:dyDescent="0.35">
      <c r="A981" t="s">
        <v>1634</v>
      </c>
      <c r="B981" t="s">
        <v>105</v>
      </c>
      <c r="C981" t="s">
        <v>575</v>
      </c>
      <c r="D981" t="s">
        <v>46</v>
      </c>
      <c r="E981" t="s">
        <v>47</v>
      </c>
      <c r="F981" t="s">
        <v>48</v>
      </c>
      <c r="G981" t="s">
        <v>59</v>
      </c>
      <c r="H981">
        <v>664</v>
      </c>
      <c r="I981">
        <v>40</v>
      </c>
      <c r="J981">
        <v>100</v>
      </c>
      <c r="K981" t="s">
        <v>36</v>
      </c>
      <c r="L981">
        <v>26</v>
      </c>
      <c r="M981" t="s">
        <v>21</v>
      </c>
    </row>
    <row r="982" spans="1:13" x14ac:dyDescent="0.35">
      <c r="A982" t="s">
        <v>1635</v>
      </c>
      <c r="B982" t="s">
        <v>189</v>
      </c>
      <c r="C982" t="s">
        <v>1636</v>
      </c>
      <c r="D982" t="s">
        <v>25</v>
      </c>
      <c r="E982" t="s">
        <v>78</v>
      </c>
      <c r="F982" t="s">
        <v>48</v>
      </c>
      <c r="G982" t="s">
        <v>35</v>
      </c>
      <c r="H982">
        <v>634</v>
      </c>
      <c r="I982">
        <v>30</v>
      </c>
      <c r="J982">
        <v>0</v>
      </c>
      <c r="K982" t="s">
        <v>36</v>
      </c>
      <c r="L982">
        <v>38</v>
      </c>
      <c r="M982" t="s">
        <v>30</v>
      </c>
    </row>
    <row r="983" spans="1:13" x14ac:dyDescent="0.35">
      <c r="A983" t="s">
        <v>1637</v>
      </c>
      <c r="B983" t="s">
        <v>322</v>
      </c>
      <c r="C983" t="s">
        <v>756</v>
      </c>
      <c r="D983" t="s">
        <v>46</v>
      </c>
      <c r="E983" t="s">
        <v>70</v>
      </c>
      <c r="F983" t="s">
        <v>18</v>
      </c>
      <c r="G983" t="s">
        <v>49</v>
      </c>
      <c r="H983">
        <v>344</v>
      </c>
      <c r="I983">
        <v>50</v>
      </c>
      <c r="J983">
        <v>50</v>
      </c>
      <c r="K983" t="s">
        <v>20</v>
      </c>
      <c r="L983">
        <v>23</v>
      </c>
      <c r="M983" t="s">
        <v>21</v>
      </c>
    </row>
    <row r="984" spans="1:13" x14ac:dyDescent="0.35">
      <c r="A984" t="s">
        <v>1638</v>
      </c>
      <c r="B984" t="s">
        <v>432</v>
      </c>
      <c r="C984" t="s">
        <v>849</v>
      </c>
      <c r="D984" t="s">
        <v>40</v>
      </c>
      <c r="E984" t="s">
        <v>111</v>
      </c>
      <c r="F984" t="s">
        <v>18</v>
      </c>
      <c r="G984" t="s">
        <v>176</v>
      </c>
      <c r="H984">
        <v>540</v>
      </c>
      <c r="I984">
        <v>50</v>
      </c>
      <c r="J984">
        <v>20</v>
      </c>
      <c r="K984" t="s">
        <v>20</v>
      </c>
      <c r="L984">
        <v>47</v>
      </c>
      <c r="M984" t="s">
        <v>21</v>
      </c>
    </row>
    <row r="985" spans="1:13" x14ac:dyDescent="0.35">
      <c r="A985" t="s">
        <v>1639</v>
      </c>
      <c r="B985" t="s">
        <v>513</v>
      </c>
      <c r="C985" t="s">
        <v>1547</v>
      </c>
      <c r="D985" t="s">
        <v>40</v>
      </c>
      <c r="E985" t="s">
        <v>111</v>
      </c>
      <c r="F985" t="s">
        <v>18</v>
      </c>
      <c r="G985" t="s">
        <v>19</v>
      </c>
      <c r="H985">
        <v>248</v>
      </c>
      <c r="I985">
        <v>50</v>
      </c>
      <c r="J985">
        <v>100</v>
      </c>
      <c r="K985" t="s">
        <v>29</v>
      </c>
      <c r="L985">
        <v>37</v>
      </c>
      <c r="M985" t="s">
        <v>21</v>
      </c>
    </row>
    <row r="986" spans="1:13" x14ac:dyDescent="0.35">
      <c r="A986" t="s">
        <v>1640</v>
      </c>
      <c r="B986" t="s">
        <v>61</v>
      </c>
      <c r="C986" t="s">
        <v>1247</v>
      </c>
      <c r="D986" t="s">
        <v>53</v>
      </c>
      <c r="E986" t="s">
        <v>84</v>
      </c>
      <c r="F986" t="s">
        <v>85</v>
      </c>
      <c r="G986" t="s">
        <v>42</v>
      </c>
      <c r="H986">
        <v>764</v>
      </c>
      <c r="I986">
        <v>50</v>
      </c>
      <c r="J986">
        <v>20</v>
      </c>
      <c r="K986" t="s">
        <v>20</v>
      </c>
      <c r="L986">
        <v>37</v>
      </c>
      <c r="M986" t="s">
        <v>30</v>
      </c>
    </row>
    <row r="987" spans="1:13" x14ac:dyDescent="0.35">
      <c r="A987" t="s">
        <v>1641</v>
      </c>
      <c r="B987" t="s">
        <v>541</v>
      </c>
      <c r="C987" t="s">
        <v>1141</v>
      </c>
      <c r="D987" t="s">
        <v>40</v>
      </c>
      <c r="E987" t="s">
        <v>41</v>
      </c>
      <c r="F987" t="s">
        <v>27</v>
      </c>
      <c r="G987" t="s">
        <v>107</v>
      </c>
      <c r="H987">
        <v>708</v>
      </c>
      <c r="I987">
        <v>50</v>
      </c>
      <c r="J987">
        <v>50</v>
      </c>
      <c r="K987" t="s">
        <v>29</v>
      </c>
      <c r="L987">
        <v>31</v>
      </c>
      <c r="M987" t="s">
        <v>21</v>
      </c>
    </row>
    <row r="988" spans="1:13" x14ac:dyDescent="0.35">
      <c r="A988" t="s">
        <v>1642</v>
      </c>
      <c r="B988" t="s">
        <v>247</v>
      </c>
      <c r="C988" t="s">
        <v>930</v>
      </c>
      <c r="D988" t="s">
        <v>53</v>
      </c>
      <c r="E988" t="s">
        <v>54</v>
      </c>
      <c r="F988" t="s">
        <v>55</v>
      </c>
      <c r="G988" t="s">
        <v>107</v>
      </c>
      <c r="H988">
        <v>628</v>
      </c>
      <c r="I988">
        <v>50</v>
      </c>
      <c r="J988">
        <v>20</v>
      </c>
      <c r="K988" t="s">
        <v>20</v>
      </c>
      <c r="L988">
        <v>40</v>
      </c>
      <c r="M988" t="s">
        <v>21</v>
      </c>
    </row>
    <row r="989" spans="1:13" x14ac:dyDescent="0.35">
      <c r="A989" t="s">
        <v>1643</v>
      </c>
      <c r="B989" t="s">
        <v>398</v>
      </c>
      <c r="C989" t="s">
        <v>147</v>
      </c>
      <c r="D989" t="s">
        <v>40</v>
      </c>
      <c r="E989" t="s">
        <v>41</v>
      </c>
      <c r="F989" t="s">
        <v>27</v>
      </c>
      <c r="G989" t="s">
        <v>107</v>
      </c>
      <c r="H989">
        <v>585</v>
      </c>
      <c r="I989">
        <v>30</v>
      </c>
      <c r="J989">
        <v>100</v>
      </c>
      <c r="K989" t="s">
        <v>29</v>
      </c>
      <c r="L989">
        <v>39</v>
      </c>
      <c r="M989" t="s">
        <v>21</v>
      </c>
    </row>
    <row r="990" spans="1:13" x14ac:dyDescent="0.35">
      <c r="A990" t="s">
        <v>1644</v>
      </c>
      <c r="B990" t="s">
        <v>150</v>
      </c>
      <c r="C990" t="s">
        <v>871</v>
      </c>
      <c r="D990" t="s">
        <v>16</v>
      </c>
      <c r="E990" t="s">
        <v>131</v>
      </c>
      <c r="F990" t="s">
        <v>55</v>
      </c>
      <c r="G990" t="s">
        <v>176</v>
      </c>
      <c r="H990">
        <v>296</v>
      </c>
      <c r="I990">
        <v>30</v>
      </c>
      <c r="J990">
        <v>20</v>
      </c>
      <c r="K990" t="s">
        <v>36</v>
      </c>
      <c r="L990">
        <v>40</v>
      </c>
      <c r="M990" t="s">
        <v>21</v>
      </c>
    </row>
    <row r="991" spans="1:13" x14ac:dyDescent="0.35">
      <c r="A991" t="s">
        <v>1645</v>
      </c>
      <c r="B991" t="s">
        <v>223</v>
      </c>
      <c r="C991" t="s">
        <v>1016</v>
      </c>
      <c r="D991" t="s">
        <v>16</v>
      </c>
      <c r="E991" t="s">
        <v>17</v>
      </c>
      <c r="F991" t="s">
        <v>18</v>
      </c>
      <c r="G991" t="s">
        <v>19</v>
      </c>
      <c r="H991">
        <v>353</v>
      </c>
      <c r="I991">
        <v>30</v>
      </c>
      <c r="J991">
        <v>0</v>
      </c>
      <c r="K991" t="s">
        <v>20</v>
      </c>
      <c r="L991">
        <v>42</v>
      </c>
      <c r="M991" t="s">
        <v>21</v>
      </c>
    </row>
    <row r="992" spans="1:13" x14ac:dyDescent="0.35">
      <c r="A992" t="s">
        <v>1646</v>
      </c>
      <c r="B992" t="s">
        <v>267</v>
      </c>
      <c r="C992" t="s">
        <v>1647</v>
      </c>
      <c r="D992" t="s">
        <v>16</v>
      </c>
      <c r="E992" t="s">
        <v>17</v>
      </c>
      <c r="F992" t="s">
        <v>18</v>
      </c>
      <c r="G992" t="s">
        <v>49</v>
      </c>
      <c r="H992">
        <v>419</v>
      </c>
      <c r="I992">
        <v>30</v>
      </c>
      <c r="J992">
        <v>0</v>
      </c>
      <c r="K992" t="s">
        <v>36</v>
      </c>
      <c r="L992">
        <v>53</v>
      </c>
      <c r="M992" t="s">
        <v>21</v>
      </c>
    </row>
    <row r="993" spans="1:13" x14ac:dyDescent="0.35">
      <c r="A993" t="s">
        <v>1648</v>
      </c>
      <c r="B993" t="s">
        <v>136</v>
      </c>
      <c r="C993" t="s">
        <v>1649</v>
      </c>
      <c r="D993" t="s">
        <v>16</v>
      </c>
      <c r="E993" t="s">
        <v>131</v>
      </c>
      <c r="F993" t="s">
        <v>55</v>
      </c>
      <c r="G993" t="s">
        <v>176</v>
      </c>
      <c r="H993">
        <v>185</v>
      </c>
      <c r="I993">
        <v>50</v>
      </c>
      <c r="J993">
        <v>0</v>
      </c>
      <c r="K993" t="s">
        <v>36</v>
      </c>
      <c r="L993">
        <v>27</v>
      </c>
      <c r="M993" t="s">
        <v>21</v>
      </c>
    </row>
    <row r="994" spans="1:13" x14ac:dyDescent="0.35">
      <c r="A994" t="s">
        <v>1650</v>
      </c>
      <c r="B994" t="s">
        <v>129</v>
      </c>
      <c r="C994" t="s">
        <v>551</v>
      </c>
      <c r="D994" t="s">
        <v>46</v>
      </c>
      <c r="E994" t="s">
        <v>47</v>
      </c>
      <c r="F994" t="s">
        <v>48</v>
      </c>
      <c r="G994" t="s">
        <v>59</v>
      </c>
      <c r="H994">
        <v>536</v>
      </c>
      <c r="I994">
        <v>50</v>
      </c>
      <c r="J994">
        <v>0</v>
      </c>
      <c r="K994" t="s">
        <v>20</v>
      </c>
      <c r="L994">
        <v>23</v>
      </c>
      <c r="M994" t="s">
        <v>21</v>
      </c>
    </row>
    <row r="995" spans="1:13" x14ac:dyDescent="0.35">
      <c r="A995" t="s">
        <v>1651</v>
      </c>
      <c r="B995" t="s">
        <v>342</v>
      </c>
      <c r="C995" t="s">
        <v>1652</v>
      </c>
      <c r="D995" t="s">
        <v>40</v>
      </c>
      <c r="E995" t="s">
        <v>41</v>
      </c>
      <c r="F995" t="s">
        <v>27</v>
      </c>
      <c r="G995" t="s">
        <v>74</v>
      </c>
      <c r="H995">
        <v>158</v>
      </c>
      <c r="I995">
        <v>40</v>
      </c>
      <c r="J995">
        <v>30</v>
      </c>
      <c r="K995" t="s">
        <v>29</v>
      </c>
      <c r="L995">
        <v>21</v>
      </c>
      <c r="M995" t="s">
        <v>21</v>
      </c>
    </row>
    <row r="996" spans="1:13" x14ac:dyDescent="0.35">
      <c r="A996" t="s">
        <v>1653</v>
      </c>
      <c r="B996" t="s">
        <v>105</v>
      </c>
      <c r="C996" t="s">
        <v>1241</v>
      </c>
      <c r="D996" t="s">
        <v>25</v>
      </c>
      <c r="E996" t="s">
        <v>34</v>
      </c>
      <c r="F996" t="s">
        <v>27</v>
      </c>
      <c r="G996" t="s">
        <v>19</v>
      </c>
      <c r="H996">
        <v>603</v>
      </c>
      <c r="I996">
        <v>20</v>
      </c>
      <c r="J996">
        <v>30</v>
      </c>
      <c r="K996" t="s">
        <v>20</v>
      </c>
      <c r="L996">
        <v>40</v>
      </c>
      <c r="M996" t="s">
        <v>21</v>
      </c>
    </row>
    <row r="997" spans="1:13" x14ac:dyDescent="0.35">
      <c r="A997" t="s">
        <v>1654</v>
      </c>
      <c r="B997" t="s">
        <v>150</v>
      </c>
      <c r="C997" t="s">
        <v>623</v>
      </c>
      <c r="D997" t="s">
        <v>40</v>
      </c>
      <c r="E997" t="s">
        <v>41</v>
      </c>
      <c r="F997" t="s">
        <v>27</v>
      </c>
      <c r="G997" t="s">
        <v>176</v>
      </c>
      <c r="H997">
        <v>360</v>
      </c>
      <c r="I997">
        <v>30</v>
      </c>
      <c r="J997">
        <v>30</v>
      </c>
      <c r="K997" t="s">
        <v>20</v>
      </c>
      <c r="L997">
        <v>26</v>
      </c>
      <c r="M997" t="s">
        <v>21</v>
      </c>
    </row>
    <row r="998" spans="1:13" x14ac:dyDescent="0.35">
      <c r="A998" t="s">
        <v>1655</v>
      </c>
      <c r="B998" t="s">
        <v>199</v>
      </c>
      <c r="C998" t="s">
        <v>421</v>
      </c>
      <c r="D998" t="s">
        <v>46</v>
      </c>
      <c r="E998" t="s">
        <v>47</v>
      </c>
      <c r="F998" t="s">
        <v>48</v>
      </c>
      <c r="G998" t="s">
        <v>59</v>
      </c>
      <c r="H998">
        <v>736</v>
      </c>
      <c r="I998">
        <v>50</v>
      </c>
      <c r="J998">
        <v>0</v>
      </c>
      <c r="K998" t="s">
        <v>29</v>
      </c>
      <c r="L998">
        <v>25</v>
      </c>
      <c r="M998" t="s">
        <v>21</v>
      </c>
    </row>
    <row r="999" spans="1:13" x14ac:dyDescent="0.35">
      <c r="A999" t="s">
        <v>1656</v>
      </c>
      <c r="B999" t="s">
        <v>526</v>
      </c>
      <c r="C999" t="s">
        <v>1318</v>
      </c>
      <c r="D999" t="s">
        <v>25</v>
      </c>
      <c r="E999" t="s">
        <v>78</v>
      </c>
      <c r="F999" t="s">
        <v>48</v>
      </c>
      <c r="G999" t="s">
        <v>28</v>
      </c>
      <c r="H999">
        <v>358</v>
      </c>
      <c r="I999">
        <v>40</v>
      </c>
      <c r="J999">
        <v>100</v>
      </c>
      <c r="K999" t="s">
        <v>29</v>
      </c>
      <c r="L999">
        <v>44</v>
      </c>
      <c r="M999" t="s">
        <v>21</v>
      </c>
    </row>
    <row r="1000" spans="1:13" x14ac:dyDescent="0.35">
      <c r="A1000" t="s">
        <v>1657</v>
      </c>
      <c r="B1000" t="s">
        <v>133</v>
      </c>
      <c r="C1000" t="s">
        <v>1658</v>
      </c>
      <c r="D1000" t="s">
        <v>53</v>
      </c>
      <c r="E1000" t="s">
        <v>152</v>
      </c>
      <c r="F1000" t="s">
        <v>18</v>
      </c>
      <c r="G1000" t="s">
        <v>19</v>
      </c>
      <c r="H1000">
        <v>475</v>
      </c>
      <c r="I1000">
        <v>40</v>
      </c>
      <c r="J1000">
        <v>100</v>
      </c>
      <c r="K1000" t="s">
        <v>36</v>
      </c>
      <c r="L1000">
        <v>48</v>
      </c>
      <c r="M1000" t="s">
        <v>30</v>
      </c>
    </row>
    <row r="1001" spans="1:13" x14ac:dyDescent="0.35">
      <c r="A1001" t="s">
        <v>1659</v>
      </c>
      <c r="B1001" t="s">
        <v>244</v>
      </c>
      <c r="C1001" t="s">
        <v>563</v>
      </c>
      <c r="D1001" t="s">
        <v>16</v>
      </c>
      <c r="E1001" t="s">
        <v>17</v>
      </c>
      <c r="F1001" t="s">
        <v>18</v>
      </c>
      <c r="G1001" t="s">
        <v>107</v>
      </c>
      <c r="H1001">
        <v>372</v>
      </c>
      <c r="I1001">
        <v>50</v>
      </c>
      <c r="J1001">
        <v>50</v>
      </c>
      <c r="K1001" t="s">
        <v>29</v>
      </c>
      <c r="L1001">
        <v>25</v>
      </c>
      <c r="M1001" t="s">
        <v>21</v>
      </c>
    </row>
    <row r="1002" spans="1:13" x14ac:dyDescent="0.35">
      <c r="A1002" t="s">
        <v>1660</v>
      </c>
      <c r="B1002" t="s">
        <v>223</v>
      </c>
      <c r="C1002" t="s">
        <v>1617</v>
      </c>
      <c r="D1002" t="s">
        <v>46</v>
      </c>
      <c r="E1002" t="s">
        <v>47</v>
      </c>
      <c r="F1002" t="s">
        <v>48</v>
      </c>
      <c r="G1002" t="s">
        <v>59</v>
      </c>
      <c r="H1002">
        <v>703</v>
      </c>
      <c r="I1002">
        <v>50</v>
      </c>
      <c r="J1002">
        <v>100</v>
      </c>
      <c r="K1002" t="s">
        <v>36</v>
      </c>
      <c r="L1002">
        <v>21</v>
      </c>
      <c r="M1002" t="s">
        <v>21</v>
      </c>
    </row>
    <row r="1003" spans="1:13" x14ac:dyDescent="0.35">
      <c r="A1003" t="s">
        <v>1661</v>
      </c>
      <c r="B1003" t="s">
        <v>186</v>
      </c>
      <c r="C1003" t="s">
        <v>1318</v>
      </c>
      <c r="D1003" t="s">
        <v>16</v>
      </c>
      <c r="E1003" t="s">
        <v>17</v>
      </c>
      <c r="F1003" t="s">
        <v>18</v>
      </c>
      <c r="G1003" t="s">
        <v>35</v>
      </c>
      <c r="H1003">
        <v>313</v>
      </c>
      <c r="I1003">
        <v>30</v>
      </c>
      <c r="J1003">
        <v>0</v>
      </c>
      <c r="K1003" t="s">
        <v>36</v>
      </c>
      <c r="L1003">
        <v>53</v>
      </c>
      <c r="M1003" t="s">
        <v>21</v>
      </c>
    </row>
    <row r="1004" spans="1:13" x14ac:dyDescent="0.35">
      <c r="A1004" t="s">
        <v>1662</v>
      </c>
      <c r="B1004" t="s">
        <v>600</v>
      </c>
      <c r="C1004" t="s">
        <v>984</v>
      </c>
      <c r="D1004" t="s">
        <v>16</v>
      </c>
      <c r="E1004" t="s">
        <v>17</v>
      </c>
      <c r="F1004" t="s">
        <v>18</v>
      </c>
      <c r="G1004" t="s">
        <v>107</v>
      </c>
      <c r="H1004">
        <v>198</v>
      </c>
      <c r="I1004">
        <v>20</v>
      </c>
      <c r="J1004">
        <v>50</v>
      </c>
      <c r="K1004" t="s">
        <v>36</v>
      </c>
      <c r="L1004">
        <v>28</v>
      </c>
      <c r="M1004" t="s">
        <v>21</v>
      </c>
    </row>
    <row r="1005" spans="1:13" x14ac:dyDescent="0.35">
      <c r="A1005" t="s">
        <v>1663</v>
      </c>
      <c r="B1005" t="s">
        <v>273</v>
      </c>
      <c r="C1005" t="s">
        <v>1537</v>
      </c>
      <c r="D1005" t="s">
        <v>46</v>
      </c>
      <c r="E1005" t="s">
        <v>148</v>
      </c>
      <c r="F1005" t="s">
        <v>27</v>
      </c>
      <c r="G1005" t="s">
        <v>42</v>
      </c>
      <c r="H1005">
        <v>307</v>
      </c>
      <c r="I1005">
        <v>20</v>
      </c>
      <c r="J1005">
        <v>0</v>
      </c>
      <c r="K1005" t="s">
        <v>29</v>
      </c>
      <c r="L1005">
        <v>56</v>
      </c>
      <c r="M1005" t="s">
        <v>21</v>
      </c>
    </row>
    <row r="1006" spans="1:13" x14ac:dyDescent="0.35">
      <c r="A1006" t="s">
        <v>1664</v>
      </c>
      <c r="B1006" t="s">
        <v>252</v>
      </c>
      <c r="C1006" t="s">
        <v>1226</v>
      </c>
      <c r="D1006" t="s">
        <v>25</v>
      </c>
      <c r="E1006" t="s">
        <v>26</v>
      </c>
      <c r="F1006" t="s">
        <v>27</v>
      </c>
      <c r="G1006" t="s">
        <v>63</v>
      </c>
      <c r="H1006">
        <v>584</v>
      </c>
      <c r="I1006">
        <v>30</v>
      </c>
      <c r="J1006">
        <v>20</v>
      </c>
      <c r="K1006" t="s">
        <v>29</v>
      </c>
      <c r="L1006">
        <v>31</v>
      </c>
      <c r="M1006" t="s">
        <v>21</v>
      </c>
    </row>
    <row r="1007" spans="1:13" x14ac:dyDescent="0.35">
      <c r="A1007" t="s">
        <v>1665</v>
      </c>
      <c r="B1007" t="s">
        <v>583</v>
      </c>
      <c r="C1007" t="s">
        <v>455</v>
      </c>
      <c r="D1007" t="s">
        <v>40</v>
      </c>
      <c r="E1007" t="s">
        <v>67</v>
      </c>
      <c r="F1007" t="s">
        <v>48</v>
      </c>
      <c r="G1007" t="s">
        <v>176</v>
      </c>
      <c r="H1007">
        <v>275</v>
      </c>
      <c r="I1007">
        <v>50</v>
      </c>
      <c r="J1007">
        <v>0</v>
      </c>
      <c r="K1007" t="s">
        <v>20</v>
      </c>
      <c r="L1007">
        <v>27</v>
      </c>
      <c r="M1007" t="s">
        <v>21</v>
      </c>
    </row>
    <row r="1008" spans="1:13" x14ac:dyDescent="0.35">
      <c r="A1008" t="s">
        <v>1666</v>
      </c>
      <c r="B1008" t="s">
        <v>568</v>
      </c>
      <c r="C1008" t="s">
        <v>216</v>
      </c>
      <c r="D1008" t="s">
        <v>25</v>
      </c>
      <c r="E1008" t="s">
        <v>78</v>
      </c>
      <c r="F1008" t="s">
        <v>48</v>
      </c>
      <c r="G1008" t="s">
        <v>176</v>
      </c>
      <c r="H1008">
        <v>371</v>
      </c>
      <c r="I1008">
        <v>40</v>
      </c>
      <c r="J1008">
        <v>50</v>
      </c>
      <c r="K1008" t="s">
        <v>29</v>
      </c>
      <c r="L1008">
        <v>33</v>
      </c>
      <c r="M1008" t="s">
        <v>21</v>
      </c>
    </row>
    <row r="1009" spans="1:13" x14ac:dyDescent="0.35">
      <c r="A1009" t="s">
        <v>1667</v>
      </c>
      <c r="B1009" t="s">
        <v>322</v>
      </c>
      <c r="C1009" t="s">
        <v>1300</v>
      </c>
      <c r="D1009" t="s">
        <v>40</v>
      </c>
      <c r="E1009" t="s">
        <v>67</v>
      </c>
      <c r="F1009" t="s">
        <v>48</v>
      </c>
      <c r="G1009" t="s">
        <v>59</v>
      </c>
      <c r="H1009">
        <v>290</v>
      </c>
      <c r="I1009">
        <v>30</v>
      </c>
      <c r="J1009">
        <v>0</v>
      </c>
      <c r="K1009" t="s">
        <v>29</v>
      </c>
      <c r="L1009">
        <v>39</v>
      </c>
      <c r="M1009" t="s">
        <v>21</v>
      </c>
    </row>
    <row r="1010" spans="1:13" x14ac:dyDescent="0.35">
      <c r="A1010" t="s">
        <v>1668</v>
      </c>
      <c r="B1010" t="s">
        <v>174</v>
      </c>
      <c r="C1010" t="s">
        <v>1669</v>
      </c>
      <c r="D1010" t="s">
        <v>46</v>
      </c>
      <c r="E1010" t="s">
        <v>47</v>
      </c>
      <c r="F1010" t="s">
        <v>48</v>
      </c>
      <c r="G1010" t="s">
        <v>19</v>
      </c>
      <c r="H1010">
        <v>554</v>
      </c>
      <c r="I1010">
        <v>40</v>
      </c>
      <c r="J1010">
        <v>50</v>
      </c>
      <c r="K1010" t="s">
        <v>20</v>
      </c>
      <c r="L1010">
        <v>35</v>
      </c>
      <c r="M1010" t="s">
        <v>21</v>
      </c>
    </row>
    <row r="1011" spans="1:13" x14ac:dyDescent="0.35">
      <c r="A1011" t="s">
        <v>1670</v>
      </c>
      <c r="B1011" t="s">
        <v>286</v>
      </c>
      <c r="C1011" t="s">
        <v>1147</v>
      </c>
      <c r="D1011" t="s">
        <v>16</v>
      </c>
      <c r="E1011" t="s">
        <v>89</v>
      </c>
      <c r="F1011" t="s">
        <v>18</v>
      </c>
      <c r="G1011" t="s">
        <v>74</v>
      </c>
      <c r="H1011">
        <v>778</v>
      </c>
      <c r="I1011">
        <v>20</v>
      </c>
      <c r="J1011">
        <v>0</v>
      </c>
      <c r="K1011" t="s">
        <v>36</v>
      </c>
      <c r="L1011">
        <v>28</v>
      </c>
      <c r="M1011" t="s">
        <v>21</v>
      </c>
    </row>
    <row r="1012" spans="1:13" x14ac:dyDescent="0.35">
      <c r="A1012" t="s">
        <v>1671</v>
      </c>
      <c r="B1012" t="s">
        <v>379</v>
      </c>
      <c r="C1012" t="s">
        <v>1672</v>
      </c>
      <c r="D1012" t="s">
        <v>25</v>
      </c>
      <c r="E1012" t="s">
        <v>26</v>
      </c>
      <c r="F1012" t="s">
        <v>27</v>
      </c>
      <c r="G1012" t="s">
        <v>49</v>
      </c>
      <c r="H1012">
        <v>239</v>
      </c>
      <c r="I1012">
        <v>30</v>
      </c>
      <c r="J1012">
        <v>30</v>
      </c>
      <c r="K1012" t="s">
        <v>20</v>
      </c>
      <c r="L1012">
        <v>53</v>
      </c>
      <c r="M1012" t="s">
        <v>21</v>
      </c>
    </row>
    <row r="1013" spans="1:13" x14ac:dyDescent="0.35">
      <c r="A1013" t="s">
        <v>1673</v>
      </c>
      <c r="B1013" t="s">
        <v>600</v>
      </c>
      <c r="C1013" t="s">
        <v>519</v>
      </c>
      <c r="D1013" t="s">
        <v>46</v>
      </c>
      <c r="E1013" t="s">
        <v>70</v>
      </c>
      <c r="F1013" t="s">
        <v>18</v>
      </c>
      <c r="G1013" t="s">
        <v>176</v>
      </c>
      <c r="H1013">
        <v>637</v>
      </c>
      <c r="I1013">
        <v>30</v>
      </c>
      <c r="J1013">
        <v>20</v>
      </c>
      <c r="K1013" t="s">
        <v>29</v>
      </c>
      <c r="L1013">
        <v>48</v>
      </c>
      <c r="M1013" t="s">
        <v>21</v>
      </c>
    </row>
    <row r="1014" spans="1:13" x14ac:dyDescent="0.35">
      <c r="A1014" t="s">
        <v>1674</v>
      </c>
      <c r="B1014" t="s">
        <v>413</v>
      </c>
      <c r="C1014" t="s">
        <v>1675</v>
      </c>
      <c r="D1014" t="s">
        <v>46</v>
      </c>
      <c r="E1014" t="s">
        <v>47</v>
      </c>
      <c r="F1014" t="s">
        <v>48</v>
      </c>
      <c r="G1014" t="s">
        <v>19</v>
      </c>
      <c r="H1014">
        <v>692</v>
      </c>
      <c r="I1014">
        <v>40</v>
      </c>
      <c r="J1014">
        <v>50</v>
      </c>
      <c r="K1014" t="s">
        <v>36</v>
      </c>
      <c r="L1014">
        <v>46</v>
      </c>
      <c r="M1014" t="s">
        <v>21</v>
      </c>
    </row>
    <row r="1015" spans="1:13" x14ac:dyDescent="0.35">
      <c r="A1015" t="s">
        <v>1676</v>
      </c>
      <c r="B1015" t="s">
        <v>136</v>
      </c>
      <c r="C1015" t="s">
        <v>1677</v>
      </c>
      <c r="D1015" t="s">
        <v>53</v>
      </c>
      <c r="E1015" t="s">
        <v>54</v>
      </c>
      <c r="F1015" t="s">
        <v>55</v>
      </c>
      <c r="G1015" t="s">
        <v>28</v>
      </c>
      <c r="H1015">
        <v>444</v>
      </c>
      <c r="I1015">
        <v>50</v>
      </c>
      <c r="J1015">
        <v>0</v>
      </c>
      <c r="K1015" t="s">
        <v>29</v>
      </c>
      <c r="L1015">
        <v>50</v>
      </c>
      <c r="M1015" t="s">
        <v>21</v>
      </c>
    </row>
    <row r="1016" spans="1:13" x14ac:dyDescent="0.35">
      <c r="A1016" t="s">
        <v>1678</v>
      </c>
      <c r="B1016" t="s">
        <v>476</v>
      </c>
      <c r="C1016" t="s">
        <v>551</v>
      </c>
      <c r="D1016" t="s">
        <v>25</v>
      </c>
      <c r="E1016" t="s">
        <v>34</v>
      </c>
      <c r="F1016" t="s">
        <v>27</v>
      </c>
      <c r="G1016" t="s">
        <v>28</v>
      </c>
      <c r="H1016">
        <v>435</v>
      </c>
      <c r="I1016">
        <v>40</v>
      </c>
      <c r="J1016">
        <v>20</v>
      </c>
      <c r="K1016" t="s">
        <v>29</v>
      </c>
      <c r="L1016">
        <v>30</v>
      </c>
      <c r="M1016" t="s">
        <v>21</v>
      </c>
    </row>
    <row r="1017" spans="1:13" x14ac:dyDescent="0.35">
      <c r="A1017" t="s">
        <v>1679</v>
      </c>
      <c r="B1017" t="s">
        <v>44</v>
      </c>
      <c r="C1017" t="s">
        <v>1352</v>
      </c>
      <c r="D1017" t="s">
        <v>53</v>
      </c>
      <c r="E1017" t="s">
        <v>152</v>
      </c>
      <c r="F1017" t="s">
        <v>18</v>
      </c>
      <c r="G1017" t="s">
        <v>59</v>
      </c>
      <c r="H1017">
        <v>263</v>
      </c>
      <c r="I1017">
        <v>50</v>
      </c>
      <c r="J1017">
        <v>50</v>
      </c>
      <c r="K1017" t="s">
        <v>20</v>
      </c>
      <c r="L1017">
        <v>27</v>
      </c>
      <c r="M1017" t="s">
        <v>30</v>
      </c>
    </row>
    <row r="1018" spans="1:13" x14ac:dyDescent="0.35">
      <c r="A1018" t="s">
        <v>1680</v>
      </c>
      <c r="B1018" t="s">
        <v>218</v>
      </c>
      <c r="C1018" t="s">
        <v>1681</v>
      </c>
      <c r="D1018" t="s">
        <v>25</v>
      </c>
      <c r="E1018" t="s">
        <v>34</v>
      </c>
      <c r="F1018" t="s">
        <v>27</v>
      </c>
      <c r="G1018" t="s">
        <v>28</v>
      </c>
      <c r="H1018">
        <v>709</v>
      </c>
      <c r="I1018">
        <v>50</v>
      </c>
      <c r="J1018">
        <v>0</v>
      </c>
      <c r="K1018" t="s">
        <v>36</v>
      </c>
      <c r="L1018">
        <v>58</v>
      </c>
      <c r="M1018" t="s">
        <v>21</v>
      </c>
    </row>
    <row r="1019" spans="1:13" x14ac:dyDescent="0.35">
      <c r="A1019" t="s">
        <v>1682</v>
      </c>
      <c r="B1019" t="s">
        <v>109</v>
      </c>
      <c r="C1019" t="s">
        <v>1683</v>
      </c>
      <c r="D1019" t="s">
        <v>16</v>
      </c>
      <c r="E1019" t="s">
        <v>131</v>
      </c>
      <c r="F1019" t="s">
        <v>55</v>
      </c>
      <c r="G1019" t="s">
        <v>28</v>
      </c>
      <c r="H1019">
        <v>658</v>
      </c>
      <c r="I1019">
        <v>50</v>
      </c>
      <c r="J1019">
        <v>100</v>
      </c>
      <c r="K1019" t="s">
        <v>36</v>
      </c>
      <c r="L1019">
        <v>38</v>
      </c>
      <c r="M1019" t="s">
        <v>21</v>
      </c>
    </row>
    <row r="1020" spans="1:13" x14ac:dyDescent="0.35">
      <c r="A1020" t="s">
        <v>1684</v>
      </c>
      <c r="B1020" t="s">
        <v>96</v>
      </c>
      <c r="C1020" t="s">
        <v>1403</v>
      </c>
      <c r="D1020" t="s">
        <v>25</v>
      </c>
      <c r="E1020" t="s">
        <v>34</v>
      </c>
      <c r="F1020" t="s">
        <v>27</v>
      </c>
      <c r="G1020" t="s">
        <v>63</v>
      </c>
      <c r="H1020">
        <v>379</v>
      </c>
      <c r="I1020">
        <v>50</v>
      </c>
      <c r="J1020">
        <v>20</v>
      </c>
      <c r="K1020" t="s">
        <v>36</v>
      </c>
      <c r="L1020">
        <v>21</v>
      </c>
      <c r="M1020" t="s">
        <v>21</v>
      </c>
    </row>
    <row r="1021" spans="1:13" x14ac:dyDescent="0.35">
      <c r="A1021" t="s">
        <v>1685</v>
      </c>
      <c r="B1021" t="s">
        <v>167</v>
      </c>
      <c r="C1021" t="s">
        <v>1521</v>
      </c>
      <c r="D1021" t="s">
        <v>25</v>
      </c>
      <c r="E1021" t="s">
        <v>34</v>
      </c>
      <c r="F1021" t="s">
        <v>27</v>
      </c>
      <c r="G1021" t="s">
        <v>176</v>
      </c>
      <c r="H1021">
        <v>624</v>
      </c>
      <c r="I1021">
        <v>40</v>
      </c>
      <c r="J1021">
        <v>0</v>
      </c>
      <c r="K1021" t="s">
        <v>36</v>
      </c>
      <c r="L1021">
        <v>48</v>
      </c>
      <c r="M1021" t="s">
        <v>21</v>
      </c>
    </row>
    <row r="1022" spans="1:13" x14ac:dyDescent="0.35">
      <c r="A1022" t="s">
        <v>1686</v>
      </c>
      <c r="B1022" t="s">
        <v>154</v>
      </c>
      <c r="C1022" t="s">
        <v>1687</v>
      </c>
      <c r="D1022" t="s">
        <v>53</v>
      </c>
      <c r="E1022" t="s">
        <v>54</v>
      </c>
      <c r="F1022" t="s">
        <v>55</v>
      </c>
      <c r="G1022" t="s">
        <v>35</v>
      </c>
      <c r="H1022">
        <v>777</v>
      </c>
      <c r="I1022">
        <v>40</v>
      </c>
      <c r="J1022">
        <v>100</v>
      </c>
      <c r="K1022" t="s">
        <v>29</v>
      </c>
      <c r="L1022">
        <v>30</v>
      </c>
      <c r="M1022" t="s">
        <v>21</v>
      </c>
    </row>
    <row r="1023" spans="1:13" x14ac:dyDescent="0.35">
      <c r="A1023" t="s">
        <v>1688</v>
      </c>
      <c r="B1023" t="s">
        <v>192</v>
      </c>
      <c r="C1023" t="s">
        <v>494</v>
      </c>
      <c r="D1023" t="s">
        <v>53</v>
      </c>
      <c r="E1023" t="s">
        <v>152</v>
      </c>
      <c r="F1023" t="s">
        <v>18</v>
      </c>
      <c r="G1023" t="s">
        <v>107</v>
      </c>
      <c r="H1023">
        <v>491</v>
      </c>
      <c r="I1023">
        <v>30</v>
      </c>
      <c r="J1023">
        <v>0</v>
      </c>
      <c r="K1023" t="s">
        <v>36</v>
      </c>
      <c r="L1023">
        <v>27</v>
      </c>
      <c r="M1023" t="s">
        <v>21</v>
      </c>
    </row>
    <row r="1024" spans="1:13" x14ac:dyDescent="0.35">
      <c r="A1024" t="s">
        <v>1689</v>
      </c>
      <c r="B1024" t="s">
        <v>580</v>
      </c>
      <c r="C1024" t="s">
        <v>88</v>
      </c>
      <c r="D1024" t="s">
        <v>25</v>
      </c>
      <c r="E1024" t="s">
        <v>26</v>
      </c>
      <c r="F1024" t="s">
        <v>27</v>
      </c>
      <c r="G1024" t="s">
        <v>35</v>
      </c>
      <c r="H1024">
        <v>423</v>
      </c>
      <c r="I1024">
        <v>50</v>
      </c>
      <c r="J1024">
        <v>30</v>
      </c>
      <c r="K1024" t="s">
        <v>29</v>
      </c>
      <c r="L1024">
        <v>24</v>
      </c>
      <c r="M1024" t="s">
        <v>30</v>
      </c>
    </row>
    <row r="1025" spans="1:13" x14ac:dyDescent="0.35">
      <c r="A1025" t="s">
        <v>1690</v>
      </c>
      <c r="B1025" t="s">
        <v>326</v>
      </c>
      <c r="C1025" t="s">
        <v>1691</v>
      </c>
      <c r="D1025" t="s">
        <v>53</v>
      </c>
      <c r="E1025" t="s">
        <v>54</v>
      </c>
      <c r="F1025" t="s">
        <v>55</v>
      </c>
      <c r="G1025" t="s">
        <v>35</v>
      </c>
      <c r="H1025">
        <v>165</v>
      </c>
      <c r="I1025">
        <v>40</v>
      </c>
      <c r="J1025">
        <v>20</v>
      </c>
      <c r="K1025" t="s">
        <v>29</v>
      </c>
      <c r="L1025">
        <v>43</v>
      </c>
      <c r="M1025" t="s">
        <v>30</v>
      </c>
    </row>
    <row r="1026" spans="1:13" x14ac:dyDescent="0.35">
      <c r="A1026" t="s">
        <v>1692</v>
      </c>
      <c r="B1026" t="s">
        <v>129</v>
      </c>
      <c r="C1026" t="s">
        <v>1693</v>
      </c>
      <c r="D1026" t="s">
        <v>46</v>
      </c>
      <c r="E1026" t="s">
        <v>148</v>
      </c>
      <c r="F1026" t="s">
        <v>27</v>
      </c>
      <c r="G1026" t="s">
        <v>42</v>
      </c>
      <c r="H1026">
        <v>754</v>
      </c>
      <c r="I1026">
        <v>30</v>
      </c>
      <c r="J1026">
        <v>100</v>
      </c>
      <c r="K1026" t="s">
        <v>36</v>
      </c>
      <c r="L1026">
        <v>30</v>
      </c>
      <c r="M1026" t="s">
        <v>21</v>
      </c>
    </row>
    <row r="1027" spans="1:13" x14ac:dyDescent="0.35">
      <c r="A1027" t="s">
        <v>1694</v>
      </c>
      <c r="B1027" t="s">
        <v>432</v>
      </c>
      <c r="C1027" t="s">
        <v>382</v>
      </c>
      <c r="D1027" t="s">
        <v>46</v>
      </c>
      <c r="E1027" t="s">
        <v>148</v>
      </c>
      <c r="F1027" t="s">
        <v>27</v>
      </c>
      <c r="G1027" t="s">
        <v>63</v>
      </c>
      <c r="H1027">
        <v>509</v>
      </c>
      <c r="I1027">
        <v>20</v>
      </c>
      <c r="J1027">
        <v>0</v>
      </c>
      <c r="K1027" t="s">
        <v>20</v>
      </c>
      <c r="L1027">
        <v>42</v>
      </c>
      <c r="M1027" t="s">
        <v>21</v>
      </c>
    </row>
    <row r="1028" spans="1:13" x14ac:dyDescent="0.35">
      <c r="A1028" t="s">
        <v>1695</v>
      </c>
      <c r="B1028" t="s">
        <v>57</v>
      </c>
      <c r="C1028" t="s">
        <v>1612</v>
      </c>
      <c r="D1028" t="s">
        <v>53</v>
      </c>
      <c r="E1028" t="s">
        <v>54</v>
      </c>
      <c r="F1028" t="s">
        <v>55</v>
      </c>
      <c r="G1028" t="s">
        <v>49</v>
      </c>
      <c r="H1028">
        <v>488</v>
      </c>
      <c r="I1028">
        <v>30</v>
      </c>
      <c r="J1028">
        <v>100</v>
      </c>
      <c r="K1028" t="s">
        <v>29</v>
      </c>
      <c r="L1028">
        <v>39</v>
      </c>
      <c r="M1028" t="s">
        <v>21</v>
      </c>
    </row>
    <row r="1029" spans="1:13" x14ac:dyDescent="0.35">
      <c r="A1029" t="s">
        <v>1696</v>
      </c>
      <c r="B1029" t="s">
        <v>44</v>
      </c>
      <c r="C1029" t="s">
        <v>1697</v>
      </c>
      <c r="D1029" t="s">
        <v>40</v>
      </c>
      <c r="E1029" t="s">
        <v>67</v>
      </c>
      <c r="F1029" t="s">
        <v>48</v>
      </c>
      <c r="G1029" t="s">
        <v>59</v>
      </c>
      <c r="H1029">
        <v>313</v>
      </c>
      <c r="I1029">
        <v>20</v>
      </c>
      <c r="J1029">
        <v>100</v>
      </c>
      <c r="K1029" t="s">
        <v>29</v>
      </c>
      <c r="L1029">
        <v>34</v>
      </c>
      <c r="M1029" t="s">
        <v>21</v>
      </c>
    </row>
    <row r="1030" spans="1:13" x14ac:dyDescent="0.35">
      <c r="A1030" t="s">
        <v>1698</v>
      </c>
      <c r="B1030" t="s">
        <v>526</v>
      </c>
      <c r="C1030" t="s">
        <v>1521</v>
      </c>
      <c r="D1030" t="s">
        <v>40</v>
      </c>
      <c r="E1030" t="s">
        <v>67</v>
      </c>
      <c r="F1030" t="s">
        <v>48</v>
      </c>
      <c r="G1030" t="s">
        <v>42</v>
      </c>
      <c r="H1030">
        <v>621</v>
      </c>
      <c r="I1030">
        <v>40</v>
      </c>
      <c r="J1030">
        <v>30</v>
      </c>
      <c r="K1030" t="s">
        <v>29</v>
      </c>
      <c r="L1030">
        <v>27</v>
      </c>
      <c r="M1030" t="s">
        <v>21</v>
      </c>
    </row>
    <row r="1031" spans="1:13" x14ac:dyDescent="0.35">
      <c r="A1031" t="s">
        <v>1699</v>
      </c>
      <c r="B1031" t="s">
        <v>223</v>
      </c>
      <c r="C1031" t="s">
        <v>1256</v>
      </c>
      <c r="D1031" t="s">
        <v>53</v>
      </c>
      <c r="E1031" t="s">
        <v>54</v>
      </c>
      <c r="F1031" t="s">
        <v>55</v>
      </c>
      <c r="G1031" t="s">
        <v>176</v>
      </c>
      <c r="H1031">
        <v>369</v>
      </c>
      <c r="I1031">
        <v>50</v>
      </c>
      <c r="J1031">
        <v>30</v>
      </c>
      <c r="K1031" t="s">
        <v>36</v>
      </c>
      <c r="L1031">
        <v>59</v>
      </c>
      <c r="M1031" t="s">
        <v>30</v>
      </c>
    </row>
    <row r="1032" spans="1:13" x14ac:dyDescent="0.35">
      <c r="A1032" t="s">
        <v>1700</v>
      </c>
      <c r="B1032" t="s">
        <v>305</v>
      </c>
      <c r="C1032" t="s">
        <v>1372</v>
      </c>
      <c r="D1032" t="s">
        <v>25</v>
      </c>
      <c r="E1032" t="s">
        <v>26</v>
      </c>
      <c r="F1032" t="s">
        <v>27</v>
      </c>
      <c r="G1032" t="s">
        <v>19</v>
      </c>
      <c r="H1032">
        <v>373</v>
      </c>
      <c r="I1032">
        <v>50</v>
      </c>
      <c r="J1032">
        <v>50</v>
      </c>
      <c r="K1032" t="s">
        <v>20</v>
      </c>
      <c r="L1032">
        <v>33</v>
      </c>
      <c r="M1032" t="s">
        <v>21</v>
      </c>
    </row>
    <row r="1033" spans="1:13" x14ac:dyDescent="0.35">
      <c r="A1033" t="s">
        <v>1701</v>
      </c>
      <c r="B1033" t="s">
        <v>23</v>
      </c>
      <c r="C1033" t="s">
        <v>1702</v>
      </c>
      <c r="D1033" t="s">
        <v>16</v>
      </c>
      <c r="E1033" t="s">
        <v>89</v>
      </c>
      <c r="F1033" t="s">
        <v>18</v>
      </c>
      <c r="G1033" t="s">
        <v>49</v>
      </c>
      <c r="H1033">
        <v>365</v>
      </c>
      <c r="I1033">
        <v>30</v>
      </c>
      <c r="J1033">
        <v>20</v>
      </c>
      <c r="K1033" t="s">
        <v>29</v>
      </c>
      <c r="L1033">
        <v>35</v>
      </c>
      <c r="M1033" t="s">
        <v>21</v>
      </c>
    </row>
    <row r="1034" spans="1:13" x14ac:dyDescent="0.35">
      <c r="A1034" t="s">
        <v>1703</v>
      </c>
      <c r="B1034" t="s">
        <v>297</v>
      </c>
      <c r="C1034" t="s">
        <v>801</v>
      </c>
      <c r="D1034" t="s">
        <v>40</v>
      </c>
      <c r="E1034" t="s">
        <v>41</v>
      </c>
      <c r="F1034" t="s">
        <v>27</v>
      </c>
      <c r="G1034" t="s">
        <v>107</v>
      </c>
      <c r="H1034">
        <v>517</v>
      </c>
      <c r="I1034">
        <v>50</v>
      </c>
      <c r="J1034">
        <v>0</v>
      </c>
      <c r="K1034" t="s">
        <v>20</v>
      </c>
      <c r="L1034">
        <v>37</v>
      </c>
      <c r="M1034" t="s">
        <v>21</v>
      </c>
    </row>
    <row r="1035" spans="1:13" x14ac:dyDescent="0.35">
      <c r="A1035" t="s">
        <v>1704</v>
      </c>
      <c r="B1035" t="s">
        <v>102</v>
      </c>
      <c r="C1035" t="s">
        <v>1705</v>
      </c>
      <c r="D1035" t="s">
        <v>46</v>
      </c>
      <c r="E1035" t="s">
        <v>47</v>
      </c>
      <c r="F1035" t="s">
        <v>48</v>
      </c>
      <c r="G1035" t="s">
        <v>28</v>
      </c>
      <c r="H1035">
        <v>687</v>
      </c>
      <c r="I1035">
        <v>40</v>
      </c>
      <c r="J1035">
        <v>0</v>
      </c>
      <c r="K1035" t="s">
        <v>29</v>
      </c>
      <c r="L1035">
        <v>55</v>
      </c>
      <c r="M1035" t="s">
        <v>21</v>
      </c>
    </row>
    <row r="1036" spans="1:13" x14ac:dyDescent="0.35">
      <c r="A1036" t="s">
        <v>1706</v>
      </c>
      <c r="B1036" t="s">
        <v>154</v>
      </c>
      <c r="C1036" t="s">
        <v>1461</v>
      </c>
      <c r="D1036" t="s">
        <v>53</v>
      </c>
      <c r="E1036" t="s">
        <v>152</v>
      </c>
      <c r="F1036" t="s">
        <v>18</v>
      </c>
      <c r="G1036" t="s">
        <v>176</v>
      </c>
      <c r="H1036">
        <v>759</v>
      </c>
      <c r="I1036">
        <v>30</v>
      </c>
      <c r="J1036">
        <v>20</v>
      </c>
      <c r="K1036" t="s">
        <v>20</v>
      </c>
      <c r="L1036">
        <v>53</v>
      </c>
      <c r="M1036" t="s">
        <v>21</v>
      </c>
    </row>
    <row r="1037" spans="1:13" x14ac:dyDescent="0.35">
      <c r="A1037" t="s">
        <v>1707</v>
      </c>
      <c r="B1037" t="s">
        <v>61</v>
      </c>
      <c r="C1037" t="s">
        <v>551</v>
      </c>
      <c r="D1037" t="s">
        <v>46</v>
      </c>
      <c r="E1037" t="s">
        <v>70</v>
      </c>
      <c r="F1037" t="s">
        <v>18</v>
      </c>
      <c r="G1037" t="s">
        <v>28</v>
      </c>
      <c r="H1037">
        <v>800</v>
      </c>
      <c r="I1037">
        <v>40</v>
      </c>
      <c r="J1037">
        <v>0</v>
      </c>
      <c r="K1037" t="s">
        <v>29</v>
      </c>
      <c r="L1037">
        <v>22</v>
      </c>
      <c r="M1037" t="s">
        <v>21</v>
      </c>
    </row>
    <row r="1038" spans="1:13" x14ac:dyDescent="0.35">
      <c r="A1038" t="s">
        <v>1708</v>
      </c>
      <c r="B1038" t="s">
        <v>580</v>
      </c>
      <c r="C1038" t="s">
        <v>1206</v>
      </c>
      <c r="D1038" t="s">
        <v>53</v>
      </c>
      <c r="E1038" t="s">
        <v>84</v>
      </c>
      <c r="F1038" t="s">
        <v>85</v>
      </c>
      <c r="G1038" t="s">
        <v>74</v>
      </c>
      <c r="H1038">
        <v>341</v>
      </c>
      <c r="I1038">
        <v>20</v>
      </c>
      <c r="J1038">
        <v>100</v>
      </c>
      <c r="K1038" t="s">
        <v>20</v>
      </c>
      <c r="L1038">
        <v>31</v>
      </c>
      <c r="M1038" t="s">
        <v>30</v>
      </c>
    </row>
    <row r="1039" spans="1:13" x14ac:dyDescent="0.35">
      <c r="A1039" t="s">
        <v>1709</v>
      </c>
      <c r="B1039" t="s">
        <v>241</v>
      </c>
      <c r="C1039" t="s">
        <v>1461</v>
      </c>
      <c r="D1039" t="s">
        <v>25</v>
      </c>
      <c r="E1039" t="s">
        <v>26</v>
      </c>
      <c r="F1039" t="s">
        <v>27</v>
      </c>
      <c r="G1039" t="s">
        <v>42</v>
      </c>
      <c r="H1039">
        <v>227</v>
      </c>
      <c r="I1039">
        <v>40</v>
      </c>
      <c r="J1039">
        <v>100</v>
      </c>
      <c r="K1039" t="s">
        <v>20</v>
      </c>
      <c r="L1039">
        <v>32</v>
      </c>
      <c r="M1039" t="s">
        <v>21</v>
      </c>
    </row>
    <row r="1040" spans="1:13" x14ac:dyDescent="0.35">
      <c r="A1040" t="s">
        <v>1710</v>
      </c>
      <c r="B1040" t="s">
        <v>102</v>
      </c>
      <c r="C1040" t="s">
        <v>1711</v>
      </c>
      <c r="D1040" t="s">
        <v>25</v>
      </c>
      <c r="E1040" t="s">
        <v>26</v>
      </c>
      <c r="F1040" t="s">
        <v>27</v>
      </c>
      <c r="G1040" t="s">
        <v>28</v>
      </c>
      <c r="H1040">
        <v>620</v>
      </c>
      <c r="I1040">
        <v>30</v>
      </c>
      <c r="J1040">
        <v>20</v>
      </c>
      <c r="K1040" t="s">
        <v>20</v>
      </c>
      <c r="L1040">
        <v>21</v>
      </c>
      <c r="M1040" t="s">
        <v>21</v>
      </c>
    </row>
    <row r="1041" spans="1:13" x14ac:dyDescent="0.35">
      <c r="A1041" t="s">
        <v>1712</v>
      </c>
      <c r="B1041" t="s">
        <v>398</v>
      </c>
      <c r="C1041" t="s">
        <v>708</v>
      </c>
      <c r="D1041" t="s">
        <v>16</v>
      </c>
      <c r="E1041" t="s">
        <v>89</v>
      </c>
      <c r="F1041" t="s">
        <v>18</v>
      </c>
      <c r="G1041" t="s">
        <v>19</v>
      </c>
      <c r="H1041">
        <v>183</v>
      </c>
      <c r="I1041">
        <v>20</v>
      </c>
      <c r="J1041">
        <v>0</v>
      </c>
      <c r="K1041" t="s">
        <v>36</v>
      </c>
      <c r="L1041">
        <v>36</v>
      </c>
      <c r="M1041" t="s">
        <v>21</v>
      </c>
    </row>
    <row r="1042" spans="1:13" x14ac:dyDescent="0.35">
      <c r="A1042" t="s">
        <v>1713</v>
      </c>
      <c r="B1042" t="s">
        <v>273</v>
      </c>
      <c r="C1042" t="s">
        <v>1381</v>
      </c>
      <c r="D1042" t="s">
        <v>16</v>
      </c>
      <c r="E1042" t="s">
        <v>131</v>
      </c>
      <c r="F1042" t="s">
        <v>55</v>
      </c>
      <c r="G1042" t="s">
        <v>176</v>
      </c>
      <c r="H1042">
        <v>317</v>
      </c>
      <c r="I1042">
        <v>30</v>
      </c>
      <c r="J1042">
        <v>100</v>
      </c>
      <c r="K1042" t="s">
        <v>36</v>
      </c>
      <c r="L1042">
        <v>60</v>
      </c>
      <c r="M1042" t="s">
        <v>21</v>
      </c>
    </row>
    <row r="1043" spans="1:13" x14ac:dyDescent="0.35">
      <c r="A1043" t="s">
        <v>1714</v>
      </c>
      <c r="B1043" t="s">
        <v>91</v>
      </c>
      <c r="C1043" t="s">
        <v>1108</v>
      </c>
      <c r="D1043" t="s">
        <v>25</v>
      </c>
      <c r="E1043" t="s">
        <v>26</v>
      </c>
      <c r="F1043" t="s">
        <v>27</v>
      </c>
      <c r="G1043" t="s">
        <v>42</v>
      </c>
      <c r="H1043">
        <v>324</v>
      </c>
      <c r="I1043">
        <v>40</v>
      </c>
      <c r="J1043">
        <v>50</v>
      </c>
      <c r="K1043" t="s">
        <v>29</v>
      </c>
      <c r="L1043">
        <v>42</v>
      </c>
      <c r="M1043" t="s">
        <v>21</v>
      </c>
    </row>
    <row r="1044" spans="1:13" x14ac:dyDescent="0.35">
      <c r="A1044" t="s">
        <v>1715</v>
      </c>
      <c r="B1044" t="s">
        <v>241</v>
      </c>
      <c r="C1044" t="s">
        <v>858</v>
      </c>
      <c r="D1044" t="s">
        <v>46</v>
      </c>
      <c r="E1044" t="s">
        <v>70</v>
      </c>
      <c r="F1044" t="s">
        <v>18</v>
      </c>
      <c r="G1044" t="s">
        <v>63</v>
      </c>
      <c r="H1044">
        <v>332</v>
      </c>
      <c r="I1044">
        <v>20</v>
      </c>
      <c r="J1044">
        <v>50</v>
      </c>
      <c r="K1044" t="s">
        <v>36</v>
      </c>
      <c r="L1044">
        <v>24</v>
      </c>
      <c r="M1044" t="s">
        <v>21</v>
      </c>
    </row>
    <row r="1045" spans="1:13" x14ac:dyDescent="0.35">
      <c r="A1045" t="s">
        <v>1716</v>
      </c>
      <c r="B1045" t="s">
        <v>213</v>
      </c>
      <c r="C1045" t="s">
        <v>610</v>
      </c>
      <c r="D1045" t="s">
        <v>25</v>
      </c>
      <c r="E1045" t="s">
        <v>78</v>
      </c>
      <c r="F1045" t="s">
        <v>48</v>
      </c>
      <c r="G1045" t="s">
        <v>28</v>
      </c>
      <c r="H1045">
        <v>556</v>
      </c>
      <c r="I1045">
        <v>20</v>
      </c>
      <c r="J1045">
        <v>0</v>
      </c>
      <c r="K1045" t="s">
        <v>36</v>
      </c>
      <c r="L1045">
        <v>36</v>
      </c>
      <c r="M1045" t="s">
        <v>30</v>
      </c>
    </row>
    <row r="1046" spans="1:13" x14ac:dyDescent="0.35">
      <c r="A1046" t="s">
        <v>1717</v>
      </c>
      <c r="B1046" t="s">
        <v>223</v>
      </c>
      <c r="C1046" t="s">
        <v>828</v>
      </c>
      <c r="D1046" t="s">
        <v>46</v>
      </c>
      <c r="E1046" t="s">
        <v>47</v>
      </c>
      <c r="F1046" t="s">
        <v>48</v>
      </c>
      <c r="G1046" t="s">
        <v>28</v>
      </c>
      <c r="H1046">
        <v>177</v>
      </c>
      <c r="I1046">
        <v>30</v>
      </c>
      <c r="J1046">
        <v>20</v>
      </c>
      <c r="K1046" t="s">
        <v>29</v>
      </c>
      <c r="L1046">
        <v>30</v>
      </c>
      <c r="M1046" t="s">
        <v>21</v>
      </c>
    </row>
    <row r="1047" spans="1:13" x14ac:dyDescent="0.35">
      <c r="A1047" t="s">
        <v>1718</v>
      </c>
      <c r="B1047" t="s">
        <v>368</v>
      </c>
      <c r="C1047" t="s">
        <v>543</v>
      </c>
      <c r="D1047" t="s">
        <v>16</v>
      </c>
      <c r="E1047" t="s">
        <v>89</v>
      </c>
      <c r="F1047" t="s">
        <v>18</v>
      </c>
      <c r="G1047" t="s">
        <v>107</v>
      </c>
      <c r="H1047">
        <v>151</v>
      </c>
      <c r="I1047">
        <v>40</v>
      </c>
      <c r="J1047">
        <v>30</v>
      </c>
      <c r="K1047" t="s">
        <v>20</v>
      </c>
      <c r="L1047">
        <v>52</v>
      </c>
      <c r="M1047" t="s">
        <v>21</v>
      </c>
    </row>
    <row r="1048" spans="1:13" x14ac:dyDescent="0.35">
      <c r="A1048" t="s">
        <v>1719</v>
      </c>
      <c r="B1048" t="s">
        <v>189</v>
      </c>
      <c r="C1048" t="s">
        <v>1720</v>
      </c>
      <c r="D1048" t="s">
        <v>40</v>
      </c>
      <c r="E1048" t="s">
        <v>67</v>
      </c>
      <c r="F1048" t="s">
        <v>48</v>
      </c>
      <c r="G1048" t="s">
        <v>19</v>
      </c>
      <c r="H1048">
        <v>594</v>
      </c>
      <c r="I1048">
        <v>50</v>
      </c>
      <c r="J1048">
        <v>100</v>
      </c>
      <c r="K1048" t="s">
        <v>36</v>
      </c>
      <c r="L1048">
        <v>45</v>
      </c>
      <c r="M1048" t="s">
        <v>21</v>
      </c>
    </row>
    <row r="1049" spans="1:13" x14ac:dyDescent="0.35">
      <c r="A1049" t="s">
        <v>1721</v>
      </c>
      <c r="B1049" t="s">
        <v>267</v>
      </c>
      <c r="C1049" t="s">
        <v>940</v>
      </c>
      <c r="D1049" t="s">
        <v>16</v>
      </c>
      <c r="E1049" t="s">
        <v>131</v>
      </c>
      <c r="F1049" t="s">
        <v>55</v>
      </c>
      <c r="G1049" t="s">
        <v>107</v>
      </c>
      <c r="H1049">
        <v>449</v>
      </c>
      <c r="I1049">
        <v>50</v>
      </c>
      <c r="J1049">
        <v>50</v>
      </c>
      <c r="K1049" t="s">
        <v>29</v>
      </c>
      <c r="L1049">
        <v>24</v>
      </c>
      <c r="M1049" t="s">
        <v>30</v>
      </c>
    </row>
    <row r="1050" spans="1:13" x14ac:dyDescent="0.35">
      <c r="A1050" t="s">
        <v>1722</v>
      </c>
      <c r="B1050" t="s">
        <v>271</v>
      </c>
      <c r="C1050" t="s">
        <v>253</v>
      </c>
      <c r="D1050" t="s">
        <v>46</v>
      </c>
      <c r="E1050" t="s">
        <v>47</v>
      </c>
      <c r="F1050" t="s">
        <v>48</v>
      </c>
      <c r="G1050" t="s">
        <v>49</v>
      </c>
      <c r="H1050">
        <v>681</v>
      </c>
      <c r="I1050">
        <v>40</v>
      </c>
      <c r="J1050">
        <v>100</v>
      </c>
      <c r="K1050" t="s">
        <v>36</v>
      </c>
      <c r="L1050">
        <v>30</v>
      </c>
      <c r="M1050" t="s">
        <v>21</v>
      </c>
    </row>
    <row r="1051" spans="1:13" x14ac:dyDescent="0.35">
      <c r="A1051" t="s">
        <v>1723</v>
      </c>
      <c r="B1051" t="s">
        <v>657</v>
      </c>
      <c r="C1051" t="s">
        <v>686</v>
      </c>
      <c r="D1051" t="s">
        <v>46</v>
      </c>
      <c r="E1051" t="s">
        <v>148</v>
      </c>
      <c r="F1051" t="s">
        <v>27</v>
      </c>
      <c r="G1051" t="s">
        <v>107</v>
      </c>
      <c r="H1051">
        <v>539</v>
      </c>
      <c r="I1051">
        <v>50</v>
      </c>
      <c r="J1051">
        <v>50</v>
      </c>
      <c r="K1051" t="s">
        <v>20</v>
      </c>
      <c r="L1051">
        <v>40</v>
      </c>
      <c r="M1051" t="s">
        <v>21</v>
      </c>
    </row>
    <row r="1052" spans="1:13" x14ac:dyDescent="0.35">
      <c r="A1052" t="s">
        <v>1724</v>
      </c>
      <c r="B1052" t="s">
        <v>174</v>
      </c>
      <c r="C1052" t="s">
        <v>1725</v>
      </c>
      <c r="D1052" t="s">
        <v>53</v>
      </c>
      <c r="E1052" t="s">
        <v>54</v>
      </c>
      <c r="F1052" t="s">
        <v>55</v>
      </c>
      <c r="G1052" t="s">
        <v>176</v>
      </c>
      <c r="H1052">
        <v>383</v>
      </c>
      <c r="I1052">
        <v>20</v>
      </c>
      <c r="J1052">
        <v>50</v>
      </c>
      <c r="K1052" t="s">
        <v>20</v>
      </c>
      <c r="L1052">
        <v>23</v>
      </c>
      <c r="M1052" t="s">
        <v>21</v>
      </c>
    </row>
    <row r="1053" spans="1:13" x14ac:dyDescent="0.35">
      <c r="A1053" t="s">
        <v>1726</v>
      </c>
      <c r="B1053" t="s">
        <v>189</v>
      </c>
      <c r="C1053" t="s">
        <v>640</v>
      </c>
      <c r="D1053" t="s">
        <v>53</v>
      </c>
      <c r="E1053" t="s">
        <v>54</v>
      </c>
      <c r="F1053" t="s">
        <v>55</v>
      </c>
      <c r="G1053" t="s">
        <v>59</v>
      </c>
      <c r="H1053">
        <v>419</v>
      </c>
      <c r="I1053">
        <v>30</v>
      </c>
      <c r="J1053">
        <v>0</v>
      </c>
      <c r="K1053" t="s">
        <v>36</v>
      </c>
      <c r="L1053">
        <v>29</v>
      </c>
      <c r="M1053" t="s">
        <v>30</v>
      </c>
    </row>
    <row r="1054" spans="1:13" x14ac:dyDescent="0.35">
      <c r="A1054" t="s">
        <v>1727</v>
      </c>
      <c r="B1054" t="s">
        <v>226</v>
      </c>
      <c r="C1054" t="s">
        <v>1406</v>
      </c>
      <c r="D1054" t="s">
        <v>16</v>
      </c>
      <c r="E1054" t="s">
        <v>17</v>
      </c>
      <c r="F1054" t="s">
        <v>18</v>
      </c>
      <c r="G1054" t="s">
        <v>63</v>
      </c>
      <c r="H1054">
        <v>700</v>
      </c>
      <c r="I1054">
        <v>50</v>
      </c>
      <c r="J1054">
        <v>30</v>
      </c>
      <c r="K1054" t="s">
        <v>29</v>
      </c>
      <c r="L1054">
        <v>28</v>
      </c>
      <c r="M1054" t="s">
        <v>21</v>
      </c>
    </row>
    <row r="1055" spans="1:13" x14ac:dyDescent="0.35">
      <c r="A1055" t="s">
        <v>1728</v>
      </c>
      <c r="B1055" t="s">
        <v>241</v>
      </c>
      <c r="C1055" t="s">
        <v>1295</v>
      </c>
      <c r="D1055" t="s">
        <v>40</v>
      </c>
      <c r="E1055" t="s">
        <v>41</v>
      </c>
      <c r="F1055" t="s">
        <v>27</v>
      </c>
      <c r="G1055" t="s">
        <v>19</v>
      </c>
      <c r="H1055">
        <v>374</v>
      </c>
      <c r="I1055">
        <v>50</v>
      </c>
      <c r="J1055">
        <v>50</v>
      </c>
      <c r="K1055" t="s">
        <v>29</v>
      </c>
      <c r="L1055">
        <v>50</v>
      </c>
      <c r="M1055" t="s">
        <v>21</v>
      </c>
    </row>
    <row r="1056" spans="1:13" x14ac:dyDescent="0.35">
      <c r="A1056" t="s">
        <v>1729</v>
      </c>
      <c r="B1056" t="s">
        <v>568</v>
      </c>
      <c r="C1056" t="s">
        <v>604</v>
      </c>
      <c r="D1056" t="s">
        <v>25</v>
      </c>
      <c r="E1056" t="s">
        <v>78</v>
      </c>
      <c r="F1056" t="s">
        <v>48</v>
      </c>
      <c r="G1056" t="s">
        <v>74</v>
      </c>
      <c r="H1056">
        <v>310</v>
      </c>
      <c r="I1056">
        <v>30</v>
      </c>
      <c r="J1056">
        <v>100</v>
      </c>
      <c r="K1056" t="s">
        <v>36</v>
      </c>
      <c r="L1056">
        <v>22</v>
      </c>
      <c r="M1056" t="s">
        <v>21</v>
      </c>
    </row>
    <row r="1057" spans="1:13" x14ac:dyDescent="0.35">
      <c r="A1057" t="s">
        <v>1730</v>
      </c>
      <c r="B1057" t="s">
        <v>129</v>
      </c>
      <c r="C1057" t="s">
        <v>455</v>
      </c>
      <c r="D1057" t="s">
        <v>40</v>
      </c>
      <c r="E1057" t="s">
        <v>111</v>
      </c>
      <c r="F1057" t="s">
        <v>18</v>
      </c>
      <c r="G1057" t="s">
        <v>176</v>
      </c>
      <c r="H1057">
        <v>705</v>
      </c>
      <c r="I1057">
        <v>40</v>
      </c>
      <c r="J1057">
        <v>50</v>
      </c>
      <c r="K1057" t="s">
        <v>20</v>
      </c>
      <c r="L1057">
        <v>34</v>
      </c>
      <c r="M1057" t="s">
        <v>21</v>
      </c>
    </row>
    <row r="1058" spans="1:13" x14ac:dyDescent="0.35">
      <c r="A1058" t="s">
        <v>1731</v>
      </c>
      <c r="B1058" t="s">
        <v>61</v>
      </c>
      <c r="C1058" t="s">
        <v>886</v>
      </c>
      <c r="D1058" t="s">
        <v>40</v>
      </c>
      <c r="E1058" t="s">
        <v>41</v>
      </c>
      <c r="F1058" t="s">
        <v>27</v>
      </c>
      <c r="G1058" t="s">
        <v>49</v>
      </c>
      <c r="H1058">
        <v>608</v>
      </c>
      <c r="I1058">
        <v>50</v>
      </c>
      <c r="J1058">
        <v>20</v>
      </c>
      <c r="K1058" t="s">
        <v>20</v>
      </c>
      <c r="L1058">
        <v>26</v>
      </c>
      <c r="M1058" t="s">
        <v>30</v>
      </c>
    </row>
    <row r="1059" spans="1:13" x14ac:dyDescent="0.35">
      <c r="A1059" t="s">
        <v>1732</v>
      </c>
      <c r="B1059" t="s">
        <v>273</v>
      </c>
      <c r="C1059" t="s">
        <v>88</v>
      </c>
      <c r="D1059" t="s">
        <v>40</v>
      </c>
      <c r="E1059" t="s">
        <v>41</v>
      </c>
      <c r="F1059" t="s">
        <v>27</v>
      </c>
      <c r="G1059" t="s">
        <v>59</v>
      </c>
      <c r="H1059">
        <v>654</v>
      </c>
      <c r="I1059">
        <v>20</v>
      </c>
      <c r="J1059">
        <v>30</v>
      </c>
      <c r="K1059" t="s">
        <v>20</v>
      </c>
      <c r="L1059">
        <v>26</v>
      </c>
      <c r="M1059" t="s">
        <v>21</v>
      </c>
    </row>
    <row r="1060" spans="1:13" x14ac:dyDescent="0.35">
      <c r="A1060" t="s">
        <v>1733</v>
      </c>
      <c r="B1060" t="s">
        <v>562</v>
      </c>
      <c r="C1060" t="s">
        <v>1658</v>
      </c>
      <c r="D1060" t="s">
        <v>46</v>
      </c>
      <c r="E1060" t="s">
        <v>148</v>
      </c>
      <c r="F1060" t="s">
        <v>27</v>
      </c>
      <c r="G1060" t="s">
        <v>107</v>
      </c>
      <c r="H1060">
        <v>150</v>
      </c>
      <c r="I1060">
        <v>20</v>
      </c>
      <c r="J1060">
        <v>100</v>
      </c>
      <c r="K1060" t="s">
        <v>20</v>
      </c>
      <c r="L1060">
        <v>29</v>
      </c>
      <c r="M1060" t="s">
        <v>21</v>
      </c>
    </row>
    <row r="1061" spans="1:13" x14ac:dyDescent="0.35">
      <c r="A1061" t="s">
        <v>1734</v>
      </c>
      <c r="B1061" t="s">
        <v>154</v>
      </c>
      <c r="C1061" t="s">
        <v>1621</v>
      </c>
      <c r="D1061" t="s">
        <v>25</v>
      </c>
      <c r="E1061" t="s">
        <v>26</v>
      </c>
      <c r="F1061" t="s">
        <v>27</v>
      </c>
      <c r="G1061" t="s">
        <v>28</v>
      </c>
      <c r="H1061">
        <v>430</v>
      </c>
      <c r="I1061">
        <v>40</v>
      </c>
      <c r="J1061">
        <v>30</v>
      </c>
      <c r="K1061" t="s">
        <v>29</v>
      </c>
      <c r="L1061">
        <v>60</v>
      </c>
      <c r="M1061" t="s">
        <v>21</v>
      </c>
    </row>
    <row r="1062" spans="1:13" x14ac:dyDescent="0.35">
      <c r="A1062" t="s">
        <v>1735</v>
      </c>
      <c r="B1062" t="s">
        <v>72</v>
      </c>
      <c r="C1062" t="s">
        <v>377</v>
      </c>
      <c r="D1062" t="s">
        <v>53</v>
      </c>
      <c r="E1062" t="s">
        <v>84</v>
      </c>
      <c r="F1062" t="s">
        <v>85</v>
      </c>
      <c r="G1062" t="s">
        <v>28</v>
      </c>
      <c r="H1062">
        <v>726</v>
      </c>
      <c r="I1062">
        <v>30</v>
      </c>
      <c r="J1062">
        <v>50</v>
      </c>
      <c r="K1062" t="s">
        <v>36</v>
      </c>
      <c r="L1062">
        <v>52</v>
      </c>
      <c r="M1062" t="s">
        <v>21</v>
      </c>
    </row>
    <row r="1063" spans="1:13" x14ac:dyDescent="0.35">
      <c r="A1063" t="s">
        <v>1736</v>
      </c>
      <c r="B1063" t="s">
        <v>241</v>
      </c>
      <c r="C1063" t="s">
        <v>937</v>
      </c>
      <c r="D1063" t="s">
        <v>40</v>
      </c>
      <c r="E1063" t="s">
        <v>41</v>
      </c>
      <c r="F1063" t="s">
        <v>27</v>
      </c>
      <c r="G1063" t="s">
        <v>176</v>
      </c>
      <c r="H1063">
        <v>660</v>
      </c>
      <c r="I1063">
        <v>50</v>
      </c>
      <c r="J1063">
        <v>30</v>
      </c>
      <c r="K1063" t="s">
        <v>29</v>
      </c>
      <c r="L1063">
        <v>37</v>
      </c>
      <c r="M1063" t="s">
        <v>21</v>
      </c>
    </row>
    <row r="1064" spans="1:13" x14ac:dyDescent="0.35">
      <c r="A1064" t="s">
        <v>1737</v>
      </c>
      <c r="B1064" t="s">
        <v>146</v>
      </c>
      <c r="C1064" t="s">
        <v>1264</v>
      </c>
      <c r="D1064" t="s">
        <v>16</v>
      </c>
      <c r="E1064" t="s">
        <v>131</v>
      </c>
      <c r="F1064" t="s">
        <v>55</v>
      </c>
      <c r="G1064" t="s">
        <v>19</v>
      </c>
      <c r="H1064">
        <v>200</v>
      </c>
      <c r="I1064">
        <v>30</v>
      </c>
      <c r="J1064">
        <v>30</v>
      </c>
      <c r="K1064" t="s">
        <v>20</v>
      </c>
      <c r="L1064">
        <v>57</v>
      </c>
      <c r="M1064" t="s">
        <v>21</v>
      </c>
    </row>
    <row r="1065" spans="1:13" x14ac:dyDescent="0.35">
      <c r="A1065" t="s">
        <v>1738</v>
      </c>
      <c r="B1065" t="s">
        <v>99</v>
      </c>
      <c r="C1065" t="s">
        <v>924</v>
      </c>
      <c r="D1065" t="s">
        <v>40</v>
      </c>
      <c r="E1065" t="s">
        <v>41</v>
      </c>
      <c r="F1065" t="s">
        <v>27</v>
      </c>
      <c r="G1065" t="s">
        <v>35</v>
      </c>
      <c r="H1065">
        <v>786</v>
      </c>
      <c r="I1065">
        <v>20</v>
      </c>
      <c r="J1065">
        <v>20</v>
      </c>
      <c r="K1065" t="s">
        <v>36</v>
      </c>
      <c r="L1065">
        <v>46</v>
      </c>
      <c r="M1065" t="s">
        <v>21</v>
      </c>
    </row>
    <row r="1066" spans="1:13" x14ac:dyDescent="0.35">
      <c r="A1066" t="s">
        <v>1739</v>
      </c>
      <c r="B1066" t="s">
        <v>247</v>
      </c>
      <c r="C1066" t="s">
        <v>1162</v>
      </c>
      <c r="D1066" t="s">
        <v>16</v>
      </c>
      <c r="E1066" t="s">
        <v>131</v>
      </c>
      <c r="F1066" t="s">
        <v>55</v>
      </c>
      <c r="G1066" t="s">
        <v>42</v>
      </c>
      <c r="H1066">
        <v>455</v>
      </c>
      <c r="I1066">
        <v>40</v>
      </c>
      <c r="J1066">
        <v>30</v>
      </c>
      <c r="K1066" t="s">
        <v>29</v>
      </c>
      <c r="L1066">
        <v>48</v>
      </c>
      <c r="M1066" t="s">
        <v>21</v>
      </c>
    </row>
    <row r="1067" spans="1:13" x14ac:dyDescent="0.35">
      <c r="A1067" t="s">
        <v>1740</v>
      </c>
      <c r="B1067" t="s">
        <v>252</v>
      </c>
      <c r="C1067" t="s">
        <v>1741</v>
      </c>
      <c r="D1067" t="s">
        <v>40</v>
      </c>
      <c r="E1067" t="s">
        <v>67</v>
      </c>
      <c r="F1067" t="s">
        <v>48</v>
      </c>
      <c r="G1067" t="s">
        <v>28</v>
      </c>
      <c r="H1067">
        <v>640</v>
      </c>
      <c r="I1067">
        <v>50</v>
      </c>
      <c r="J1067">
        <v>20</v>
      </c>
      <c r="K1067" t="s">
        <v>20</v>
      </c>
      <c r="L1067">
        <v>44</v>
      </c>
      <c r="M1067" t="s">
        <v>21</v>
      </c>
    </row>
    <row r="1068" spans="1:13" x14ac:dyDescent="0.35">
      <c r="A1068" t="s">
        <v>1742</v>
      </c>
      <c r="B1068" t="s">
        <v>244</v>
      </c>
      <c r="C1068" t="s">
        <v>519</v>
      </c>
      <c r="D1068" t="s">
        <v>40</v>
      </c>
      <c r="E1068" t="s">
        <v>41</v>
      </c>
      <c r="F1068" t="s">
        <v>27</v>
      </c>
      <c r="G1068" t="s">
        <v>28</v>
      </c>
      <c r="H1068">
        <v>470</v>
      </c>
      <c r="I1068">
        <v>50</v>
      </c>
      <c r="J1068">
        <v>0</v>
      </c>
      <c r="K1068" t="s">
        <v>36</v>
      </c>
      <c r="L1068">
        <v>51</v>
      </c>
      <c r="M1068" t="s">
        <v>21</v>
      </c>
    </row>
    <row r="1069" spans="1:13" x14ac:dyDescent="0.35">
      <c r="A1069" t="s">
        <v>1743</v>
      </c>
      <c r="B1069" t="s">
        <v>600</v>
      </c>
      <c r="C1069" t="s">
        <v>114</v>
      </c>
      <c r="D1069" t="s">
        <v>16</v>
      </c>
      <c r="E1069" t="s">
        <v>17</v>
      </c>
      <c r="F1069" t="s">
        <v>18</v>
      </c>
      <c r="G1069" t="s">
        <v>42</v>
      </c>
      <c r="H1069">
        <v>736</v>
      </c>
      <c r="I1069">
        <v>40</v>
      </c>
      <c r="J1069">
        <v>50</v>
      </c>
      <c r="K1069" t="s">
        <v>36</v>
      </c>
      <c r="L1069">
        <v>55</v>
      </c>
      <c r="M1069" t="s">
        <v>21</v>
      </c>
    </row>
    <row r="1070" spans="1:13" x14ac:dyDescent="0.35">
      <c r="A1070" t="s">
        <v>1744</v>
      </c>
      <c r="B1070" t="s">
        <v>143</v>
      </c>
      <c r="C1070" t="s">
        <v>934</v>
      </c>
      <c r="D1070" t="s">
        <v>16</v>
      </c>
      <c r="E1070" t="s">
        <v>17</v>
      </c>
      <c r="F1070" t="s">
        <v>18</v>
      </c>
      <c r="G1070" t="s">
        <v>74</v>
      </c>
      <c r="H1070">
        <v>339</v>
      </c>
      <c r="I1070">
        <v>50</v>
      </c>
      <c r="J1070">
        <v>100</v>
      </c>
      <c r="K1070" t="s">
        <v>36</v>
      </c>
      <c r="L1070">
        <v>23</v>
      </c>
      <c r="M1070" t="s">
        <v>21</v>
      </c>
    </row>
    <row r="1071" spans="1:13" x14ac:dyDescent="0.35">
      <c r="A1071" t="s">
        <v>1745</v>
      </c>
      <c r="B1071" t="s">
        <v>241</v>
      </c>
      <c r="C1071" t="s">
        <v>1532</v>
      </c>
      <c r="D1071" t="s">
        <v>53</v>
      </c>
      <c r="E1071" t="s">
        <v>54</v>
      </c>
      <c r="F1071" t="s">
        <v>55</v>
      </c>
      <c r="G1071" t="s">
        <v>49</v>
      </c>
      <c r="H1071">
        <v>207</v>
      </c>
      <c r="I1071">
        <v>30</v>
      </c>
      <c r="J1071">
        <v>50</v>
      </c>
      <c r="K1071" t="s">
        <v>36</v>
      </c>
      <c r="L1071">
        <v>22</v>
      </c>
      <c r="M1071" t="s">
        <v>21</v>
      </c>
    </row>
    <row r="1072" spans="1:13" x14ac:dyDescent="0.35">
      <c r="A1072" t="s">
        <v>1746</v>
      </c>
      <c r="B1072" t="s">
        <v>368</v>
      </c>
      <c r="C1072" t="s">
        <v>489</v>
      </c>
      <c r="D1072" t="s">
        <v>53</v>
      </c>
      <c r="E1072" t="s">
        <v>54</v>
      </c>
      <c r="F1072" t="s">
        <v>55</v>
      </c>
      <c r="G1072" t="s">
        <v>42</v>
      </c>
      <c r="H1072">
        <v>158</v>
      </c>
      <c r="I1072">
        <v>50</v>
      </c>
      <c r="J1072">
        <v>50</v>
      </c>
      <c r="K1072" t="s">
        <v>29</v>
      </c>
      <c r="L1072">
        <v>52</v>
      </c>
      <c r="M1072" t="s">
        <v>21</v>
      </c>
    </row>
    <row r="1073" spans="1:13" x14ac:dyDescent="0.35">
      <c r="A1073" t="s">
        <v>1747</v>
      </c>
      <c r="B1073" t="s">
        <v>133</v>
      </c>
      <c r="C1073" t="s">
        <v>979</v>
      </c>
      <c r="D1073" t="s">
        <v>46</v>
      </c>
      <c r="E1073" t="s">
        <v>47</v>
      </c>
      <c r="F1073" t="s">
        <v>48</v>
      </c>
      <c r="G1073" t="s">
        <v>28</v>
      </c>
      <c r="H1073">
        <v>151</v>
      </c>
      <c r="I1073">
        <v>40</v>
      </c>
      <c r="J1073">
        <v>30</v>
      </c>
      <c r="K1073" t="s">
        <v>29</v>
      </c>
      <c r="L1073">
        <v>38</v>
      </c>
      <c r="M1073" t="s">
        <v>21</v>
      </c>
    </row>
    <row r="1074" spans="1:13" x14ac:dyDescent="0.35">
      <c r="A1074" t="s">
        <v>1748</v>
      </c>
      <c r="B1074" t="s">
        <v>38</v>
      </c>
      <c r="C1074" t="s">
        <v>229</v>
      </c>
      <c r="D1074" t="s">
        <v>25</v>
      </c>
      <c r="E1074" t="s">
        <v>34</v>
      </c>
      <c r="F1074" t="s">
        <v>27</v>
      </c>
      <c r="G1074" t="s">
        <v>19</v>
      </c>
      <c r="H1074">
        <v>673</v>
      </c>
      <c r="I1074">
        <v>40</v>
      </c>
      <c r="J1074">
        <v>30</v>
      </c>
      <c r="K1074" t="s">
        <v>36</v>
      </c>
      <c r="L1074">
        <v>22</v>
      </c>
      <c r="M1074" t="s">
        <v>21</v>
      </c>
    </row>
    <row r="1075" spans="1:13" x14ac:dyDescent="0.35">
      <c r="A1075" t="s">
        <v>1749</v>
      </c>
      <c r="B1075" t="s">
        <v>99</v>
      </c>
      <c r="C1075" t="s">
        <v>510</v>
      </c>
      <c r="D1075" t="s">
        <v>53</v>
      </c>
      <c r="E1075" t="s">
        <v>54</v>
      </c>
      <c r="F1075" t="s">
        <v>55</v>
      </c>
      <c r="G1075" t="s">
        <v>28</v>
      </c>
      <c r="H1075">
        <v>470</v>
      </c>
      <c r="I1075">
        <v>50</v>
      </c>
      <c r="J1075">
        <v>30</v>
      </c>
      <c r="K1075" t="s">
        <v>20</v>
      </c>
      <c r="L1075">
        <v>32</v>
      </c>
      <c r="M1075" t="s">
        <v>30</v>
      </c>
    </row>
    <row r="1076" spans="1:13" x14ac:dyDescent="0.35">
      <c r="A1076" t="s">
        <v>1750</v>
      </c>
      <c r="B1076" t="s">
        <v>398</v>
      </c>
      <c r="C1076" t="s">
        <v>954</v>
      </c>
      <c r="D1076" t="s">
        <v>16</v>
      </c>
      <c r="E1076" t="s">
        <v>17</v>
      </c>
      <c r="F1076" t="s">
        <v>18</v>
      </c>
      <c r="G1076" t="s">
        <v>107</v>
      </c>
      <c r="H1076">
        <v>665</v>
      </c>
      <c r="I1076">
        <v>40</v>
      </c>
      <c r="J1076">
        <v>100</v>
      </c>
      <c r="K1076" t="s">
        <v>29</v>
      </c>
      <c r="L1076">
        <v>57</v>
      </c>
      <c r="M1076" t="s">
        <v>21</v>
      </c>
    </row>
    <row r="1077" spans="1:13" x14ac:dyDescent="0.35">
      <c r="A1077" t="s">
        <v>1751</v>
      </c>
      <c r="B1077" t="s">
        <v>295</v>
      </c>
      <c r="C1077" t="s">
        <v>144</v>
      </c>
      <c r="D1077" t="s">
        <v>53</v>
      </c>
      <c r="E1077" t="s">
        <v>84</v>
      </c>
      <c r="F1077" t="s">
        <v>85</v>
      </c>
      <c r="G1077" t="s">
        <v>49</v>
      </c>
      <c r="H1077">
        <v>560</v>
      </c>
      <c r="I1077">
        <v>30</v>
      </c>
      <c r="J1077">
        <v>30</v>
      </c>
      <c r="K1077" t="s">
        <v>36</v>
      </c>
      <c r="L1077">
        <v>23</v>
      </c>
      <c r="M1077" t="s">
        <v>21</v>
      </c>
    </row>
    <row r="1078" spans="1:13" x14ac:dyDescent="0.35">
      <c r="A1078" t="s">
        <v>1752</v>
      </c>
      <c r="B1078" t="s">
        <v>267</v>
      </c>
      <c r="C1078" t="s">
        <v>467</v>
      </c>
      <c r="D1078" t="s">
        <v>40</v>
      </c>
      <c r="E1078" t="s">
        <v>111</v>
      </c>
      <c r="F1078" t="s">
        <v>18</v>
      </c>
      <c r="G1078" t="s">
        <v>19</v>
      </c>
      <c r="H1078">
        <v>301</v>
      </c>
      <c r="I1078">
        <v>20</v>
      </c>
      <c r="J1078">
        <v>50</v>
      </c>
      <c r="K1078" t="s">
        <v>29</v>
      </c>
      <c r="L1078">
        <v>21</v>
      </c>
      <c r="M1078" t="s">
        <v>21</v>
      </c>
    </row>
    <row r="1079" spans="1:13" x14ac:dyDescent="0.35">
      <c r="A1079" t="s">
        <v>1753</v>
      </c>
      <c r="B1079" t="s">
        <v>657</v>
      </c>
      <c r="C1079" t="s">
        <v>930</v>
      </c>
      <c r="D1079" t="s">
        <v>25</v>
      </c>
      <c r="E1079" t="s">
        <v>78</v>
      </c>
      <c r="F1079" t="s">
        <v>48</v>
      </c>
      <c r="G1079" t="s">
        <v>49</v>
      </c>
      <c r="H1079">
        <v>677</v>
      </c>
      <c r="I1079">
        <v>20</v>
      </c>
      <c r="J1079">
        <v>50</v>
      </c>
      <c r="K1079" t="s">
        <v>20</v>
      </c>
      <c r="L1079">
        <v>20</v>
      </c>
      <c r="M1079" t="s">
        <v>21</v>
      </c>
    </row>
    <row r="1080" spans="1:13" x14ac:dyDescent="0.35">
      <c r="A1080" t="s">
        <v>1754</v>
      </c>
      <c r="B1080" t="s">
        <v>326</v>
      </c>
      <c r="C1080" t="s">
        <v>668</v>
      </c>
      <c r="D1080" t="s">
        <v>53</v>
      </c>
      <c r="E1080" t="s">
        <v>54</v>
      </c>
      <c r="F1080" t="s">
        <v>55</v>
      </c>
      <c r="G1080" t="s">
        <v>63</v>
      </c>
      <c r="H1080">
        <v>206</v>
      </c>
      <c r="I1080">
        <v>30</v>
      </c>
      <c r="J1080">
        <v>20</v>
      </c>
      <c r="K1080" t="s">
        <v>20</v>
      </c>
      <c r="L1080">
        <v>60</v>
      </c>
      <c r="M1080" t="s">
        <v>21</v>
      </c>
    </row>
    <row r="1081" spans="1:13" x14ac:dyDescent="0.35">
      <c r="A1081" t="s">
        <v>1755</v>
      </c>
      <c r="B1081" t="s">
        <v>126</v>
      </c>
      <c r="C1081" t="s">
        <v>83</v>
      </c>
      <c r="D1081" t="s">
        <v>16</v>
      </c>
      <c r="E1081" t="s">
        <v>131</v>
      </c>
      <c r="F1081" t="s">
        <v>55</v>
      </c>
      <c r="G1081" t="s">
        <v>107</v>
      </c>
      <c r="H1081">
        <v>652</v>
      </c>
      <c r="I1081">
        <v>40</v>
      </c>
      <c r="J1081">
        <v>50</v>
      </c>
      <c r="K1081" t="s">
        <v>29</v>
      </c>
      <c r="L1081">
        <v>35</v>
      </c>
      <c r="M1081" t="s">
        <v>21</v>
      </c>
    </row>
    <row r="1082" spans="1:13" x14ac:dyDescent="0.35">
      <c r="A1082" t="s">
        <v>1756</v>
      </c>
      <c r="B1082" t="s">
        <v>271</v>
      </c>
      <c r="C1082" t="s">
        <v>315</v>
      </c>
      <c r="D1082" t="s">
        <v>25</v>
      </c>
      <c r="E1082" t="s">
        <v>34</v>
      </c>
      <c r="F1082" t="s">
        <v>27</v>
      </c>
      <c r="G1082" t="s">
        <v>74</v>
      </c>
      <c r="H1082">
        <v>482</v>
      </c>
      <c r="I1082">
        <v>20</v>
      </c>
      <c r="J1082">
        <v>100</v>
      </c>
      <c r="K1082" t="s">
        <v>29</v>
      </c>
      <c r="L1082">
        <v>31</v>
      </c>
      <c r="M1082" t="s">
        <v>21</v>
      </c>
    </row>
    <row r="1083" spans="1:13" x14ac:dyDescent="0.35">
      <c r="A1083" t="s">
        <v>1757</v>
      </c>
      <c r="B1083" t="s">
        <v>476</v>
      </c>
      <c r="C1083" t="s">
        <v>274</v>
      </c>
      <c r="D1083" t="s">
        <v>40</v>
      </c>
      <c r="E1083" t="s">
        <v>67</v>
      </c>
      <c r="F1083" t="s">
        <v>48</v>
      </c>
      <c r="G1083" t="s">
        <v>35</v>
      </c>
      <c r="H1083">
        <v>589</v>
      </c>
      <c r="I1083">
        <v>40</v>
      </c>
      <c r="J1083">
        <v>50</v>
      </c>
      <c r="K1083" t="s">
        <v>36</v>
      </c>
      <c r="L1083">
        <v>55</v>
      </c>
      <c r="M1083" t="s">
        <v>21</v>
      </c>
    </row>
    <row r="1084" spans="1:13" x14ac:dyDescent="0.35">
      <c r="A1084" t="s">
        <v>1758</v>
      </c>
      <c r="B1084" t="s">
        <v>583</v>
      </c>
      <c r="C1084" t="s">
        <v>92</v>
      </c>
      <c r="D1084" t="s">
        <v>16</v>
      </c>
      <c r="E1084" t="s">
        <v>17</v>
      </c>
      <c r="F1084" t="s">
        <v>18</v>
      </c>
      <c r="G1084" t="s">
        <v>49</v>
      </c>
      <c r="H1084">
        <v>720</v>
      </c>
      <c r="I1084">
        <v>20</v>
      </c>
      <c r="J1084">
        <v>0</v>
      </c>
      <c r="K1084" t="s">
        <v>20</v>
      </c>
      <c r="L1084">
        <v>34</v>
      </c>
      <c r="M1084" t="s">
        <v>21</v>
      </c>
    </row>
    <row r="1085" spans="1:13" x14ac:dyDescent="0.35">
      <c r="A1085" t="s">
        <v>1759</v>
      </c>
      <c r="B1085" t="s">
        <v>473</v>
      </c>
      <c r="C1085" t="s">
        <v>1760</v>
      </c>
      <c r="D1085" t="s">
        <v>53</v>
      </c>
      <c r="E1085" t="s">
        <v>54</v>
      </c>
      <c r="F1085" t="s">
        <v>55</v>
      </c>
      <c r="G1085" t="s">
        <v>28</v>
      </c>
      <c r="H1085">
        <v>650</v>
      </c>
      <c r="I1085">
        <v>20</v>
      </c>
      <c r="J1085">
        <v>20</v>
      </c>
      <c r="K1085" t="s">
        <v>29</v>
      </c>
      <c r="L1085">
        <v>51</v>
      </c>
      <c r="M1085" t="s">
        <v>21</v>
      </c>
    </row>
    <row r="1086" spans="1:13" x14ac:dyDescent="0.35">
      <c r="A1086" t="s">
        <v>1761</v>
      </c>
      <c r="B1086" t="s">
        <v>57</v>
      </c>
      <c r="C1086" t="s">
        <v>1374</v>
      </c>
      <c r="D1086" t="s">
        <v>16</v>
      </c>
      <c r="E1086" t="s">
        <v>89</v>
      </c>
      <c r="F1086" t="s">
        <v>18</v>
      </c>
      <c r="G1086" t="s">
        <v>74</v>
      </c>
      <c r="H1086">
        <v>674</v>
      </c>
      <c r="I1086">
        <v>40</v>
      </c>
      <c r="J1086">
        <v>50</v>
      </c>
      <c r="K1086" t="s">
        <v>29</v>
      </c>
      <c r="L1086">
        <v>47</v>
      </c>
      <c r="M1086" t="s">
        <v>21</v>
      </c>
    </row>
    <row r="1087" spans="1:13" x14ac:dyDescent="0.35">
      <c r="A1087" t="s">
        <v>1762</v>
      </c>
      <c r="B1087" t="s">
        <v>286</v>
      </c>
      <c r="C1087" t="s">
        <v>1534</v>
      </c>
      <c r="D1087" t="s">
        <v>53</v>
      </c>
      <c r="E1087" t="s">
        <v>84</v>
      </c>
      <c r="F1087" t="s">
        <v>85</v>
      </c>
      <c r="G1087" t="s">
        <v>176</v>
      </c>
      <c r="H1087">
        <v>782</v>
      </c>
      <c r="I1087">
        <v>30</v>
      </c>
      <c r="J1087">
        <v>100</v>
      </c>
      <c r="K1087" t="s">
        <v>36</v>
      </c>
      <c r="L1087">
        <v>35</v>
      </c>
      <c r="M1087" t="s">
        <v>30</v>
      </c>
    </row>
    <row r="1088" spans="1:13" x14ac:dyDescent="0.35">
      <c r="A1088" t="s">
        <v>1763</v>
      </c>
      <c r="B1088" t="s">
        <v>329</v>
      </c>
      <c r="C1088" t="s">
        <v>1204</v>
      </c>
      <c r="D1088" t="s">
        <v>46</v>
      </c>
      <c r="E1088" t="s">
        <v>47</v>
      </c>
      <c r="F1088" t="s">
        <v>48</v>
      </c>
      <c r="G1088" t="s">
        <v>176</v>
      </c>
      <c r="H1088">
        <v>439</v>
      </c>
      <c r="I1088">
        <v>50</v>
      </c>
      <c r="J1088">
        <v>100</v>
      </c>
      <c r="K1088" t="s">
        <v>29</v>
      </c>
      <c r="L1088">
        <v>56</v>
      </c>
      <c r="M1088" t="s">
        <v>21</v>
      </c>
    </row>
    <row r="1089" spans="1:13" x14ac:dyDescent="0.35">
      <c r="A1089" t="s">
        <v>1764</v>
      </c>
      <c r="B1089" t="s">
        <v>207</v>
      </c>
      <c r="C1089" t="s">
        <v>1765</v>
      </c>
      <c r="D1089" t="s">
        <v>46</v>
      </c>
      <c r="E1089" t="s">
        <v>70</v>
      </c>
      <c r="F1089" t="s">
        <v>18</v>
      </c>
      <c r="G1089" t="s">
        <v>74</v>
      </c>
      <c r="H1089">
        <v>399</v>
      </c>
      <c r="I1089">
        <v>50</v>
      </c>
      <c r="J1089">
        <v>0</v>
      </c>
      <c r="K1089" t="s">
        <v>20</v>
      </c>
      <c r="L1089">
        <v>45</v>
      </c>
      <c r="M1089" t="s">
        <v>21</v>
      </c>
    </row>
    <row r="1090" spans="1:13" x14ac:dyDescent="0.35">
      <c r="A1090" t="s">
        <v>1766</v>
      </c>
      <c r="B1090" t="s">
        <v>223</v>
      </c>
      <c r="C1090" t="s">
        <v>1767</v>
      </c>
      <c r="D1090" t="s">
        <v>46</v>
      </c>
      <c r="E1090" t="s">
        <v>148</v>
      </c>
      <c r="F1090" t="s">
        <v>27</v>
      </c>
      <c r="G1090" t="s">
        <v>42</v>
      </c>
      <c r="H1090">
        <v>528</v>
      </c>
      <c r="I1090">
        <v>50</v>
      </c>
      <c r="J1090">
        <v>20</v>
      </c>
      <c r="K1090" t="s">
        <v>36</v>
      </c>
      <c r="L1090">
        <v>48</v>
      </c>
      <c r="M1090" t="s">
        <v>30</v>
      </c>
    </row>
    <row r="1091" spans="1:13" x14ac:dyDescent="0.35">
      <c r="A1091" t="s">
        <v>1768</v>
      </c>
      <c r="B1091" t="s">
        <v>580</v>
      </c>
      <c r="C1091" t="s">
        <v>824</v>
      </c>
      <c r="D1091" t="s">
        <v>53</v>
      </c>
      <c r="E1091" t="s">
        <v>54</v>
      </c>
      <c r="F1091" t="s">
        <v>55</v>
      </c>
      <c r="G1091" t="s">
        <v>19</v>
      </c>
      <c r="H1091">
        <v>583</v>
      </c>
      <c r="I1091">
        <v>30</v>
      </c>
      <c r="J1091">
        <v>50</v>
      </c>
      <c r="K1091" t="s">
        <v>36</v>
      </c>
      <c r="L1091">
        <v>23</v>
      </c>
      <c r="M1091" t="s">
        <v>21</v>
      </c>
    </row>
    <row r="1092" spans="1:13" x14ac:dyDescent="0.35">
      <c r="A1092" t="s">
        <v>1769</v>
      </c>
      <c r="B1092" t="s">
        <v>87</v>
      </c>
      <c r="C1092" t="s">
        <v>1770</v>
      </c>
      <c r="D1092" t="s">
        <v>40</v>
      </c>
      <c r="E1092" t="s">
        <v>41</v>
      </c>
      <c r="F1092" t="s">
        <v>27</v>
      </c>
      <c r="G1092" t="s">
        <v>19</v>
      </c>
      <c r="H1092">
        <v>686</v>
      </c>
      <c r="I1092">
        <v>20</v>
      </c>
      <c r="J1092">
        <v>50</v>
      </c>
      <c r="K1092" t="s">
        <v>29</v>
      </c>
      <c r="L1092">
        <v>47</v>
      </c>
      <c r="M1092" t="s">
        <v>21</v>
      </c>
    </row>
    <row r="1093" spans="1:13" x14ac:dyDescent="0.35">
      <c r="A1093" t="s">
        <v>1771</v>
      </c>
      <c r="B1093" t="s">
        <v>136</v>
      </c>
      <c r="C1093" t="s">
        <v>905</v>
      </c>
      <c r="D1093" t="s">
        <v>40</v>
      </c>
      <c r="E1093" t="s">
        <v>111</v>
      </c>
      <c r="F1093" t="s">
        <v>18</v>
      </c>
      <c r="G1093" t="s">
        <v>59</v>
      </c>
      <c r="H1093">
        <v>248</v>
      </c>
      <c r="I1093">
        <v>50</v>
      </c>
      <c r="J1093">
        <v>20</v>
      </c>
      <c r="K1093" t="s">
        <v>36</v>
      </c>
      <c r="L1093">
        <v>22</v>
      </c>
      <c r="M1093" t="s">
        <v>21</v>
      </c>
    </row>
    <row r="1094" spans="1:13" x14ac:dyDescent="0.35">
      <c r="A1094" t="s">
        <v>1772</v>
      </c>
      <c r="B1094" t="s">
        <v>286</v>
      </c>
      <c r="C1094" t="s">
        <v>1083</v>
      </c>
      <c r="D1094" t="s">
        <v>40</v>
      </c>
      <c r="E1094" t="s">
        <v>67</v>
      </c>
      <c r="F1094" t="s">
        <v>48</v>
      </c>
      <c r="G1094" t="s">
        <v>42</v>
      </c>
      <c r="H1094">
        <v>568</v>
      </c>
      <c r="I1094">
        <v>30</v>
      </c>
      <c r="J1094">
        <v>20</v>
      </c>
      <c r="K1094" t="s">
        <v>36</v>
      </c>
      <c r="L1094">
        <v>46</v>
      </c>
      <c r="M1094" t="s">
        <v>21</v>
      </c>
    </row>
    <row r="1095" spans="1:13" x14ac:dyDescent="0.35">
      <c r="A1095" t="s">
        <v>1773</v>
      </c>
      <c r="B1095" t="s">
        <v>326</v>
      </c>
      <c r="C1095" t="s">
        <v>1774</v>
      </c>
      <c r="D1095" t="s">
        <v>53</v>
      </c>
      <c r="E1095" t="s">
        <v>54</v>
      </c>
      <c r="F1095" t="s">
        <v>55</v>
      </c>
      <c r="G1095" t="s">
        <v>59</v>
      </c>
      <c r="H1095">
        <v>350</v>
      </c>
      <c r="I1095">
        <v>20</v>
      </c>
      <c r="J1095">
        <v>0</v>
      </c>
      <c r="K1095" t="s">
        <v>36</v>
      </c>
      <c r="L1095">
        <v>32</v>
      </c>
      <c r="M1095" t="s">
        <v>21</v>
      </c>
    </row>
    <row r="1096" spans="1:13" x14ac:dyDescent="0.35">
      <c r="A1096" t="s">
        <v>1775</v>
      </c>
      <c r="B1096" t="s">
        <v>342</v>
      </c>
      <c r="C1096" t="s">
        <v>211</v>
      </c>
      <c r="D1096" t="s">
        <v>16</v>
      </c>
      <c r="E1096" t="s">
        <v>17</v>
      </c>
      <c r="F1096" t="s">
        <v>18</v>
      </c>
      <c r="G1096" t="s">
        <v>74</v>
      </c>
      <c r="H1096">
        <v>643</v>
      </c>
      <c r="I1096">
        <v>30</v>
      </c>
      <c r="J1096">
        <v>30</v>
      </c>
      <c r="K1096" t="s">
        <v>29</v>
      </c>
      <c r="L1096">
        <v>45</v>
      </c>
      <c r="M1096" t="s">
        <v>21</v>
      </c>
    </row>
    <row r="1097" spans="1:13" x14ac:dyDescent="0.35">
      <c r="A1097" t="s">
        <v>1776</v>
      </c>
      <c r="B1097" t="s">
        <v>226</v>
      </c>
      <c r="C1097" t="s">
        <v>587</v>
      </c>
      <c r="D1097" t="s">
        <v>25</v>
      </c>
      <c r="E1097" t="s">
        <v>78</v>
      </c>
      <c r="F1097" t="s">
        <v>48</v>
      </c>
      <c r="G1097" t="s">
        <v>35</v>
      </c>
      <c r="H1097">
        <v>245</v>
      </c>
      <c r="I1097">
        <v>40</v>
      </c>
      <c r="J1097">
        <v>20</v>
      </c>
      <c r="K1097" t="s">
        <v>29</v>
      </c>
      <c r="L1097">
        <v>45</v>
      </c>
      <c r="M1097" t="s">
        <v>21</v>
      </c>
    </row>
    <row r="1098" spans="1:13" x14ac:dyDescent="0.35">
      <c r="A1098" t="s">
        <v>1777</v>
      </c>
      <c r="B1098" t="s">
        <v>398</v>
      </c>
      <c r="C1098" t="s">
        <v>1124</v>
      </c>
      <c r="D1098" t="s">
        <v>53</v>
      </c>
      <c r="E1098" t="s">
        <v>54</v>
      </c>
      <c r="F1098" t="s">
        <v>55</v>
      </c>
      <c r="G1098" t="s">
        <v>49</v>
      </c>
      <c r="H1098">
        <v>244</v>
      </c>
      <c r="I1098">
        <v>40</v>
      </c>
      <c r="J1098">
        <v>0</v>
      </c>
      <c r="K1098" t="s">
        <v>36</v>
      </c>
      <c r="L1098">
        <v>32</v>
      </c>
      <c r="M1098" t="s">
        <v>21</v>
      </c>
    </row>
    <row r="1099" spans="1:13" x14ac:dyDescent="0.35">
      <c r="A1099" t="s">
        <v>1778</v>
      </c>
      <c r="B1099" t="s">
        <v>72</v>
      </c>
      <c r="C1099" t="s">
        <v>1779</v>
      </c>
      <c r="D1099" t="s">
        <v>53</v>
      </c>
      <c r="E1099" t="s">
        <v>84</v>
      </c>
      <c r="F1099" t="s">
        <v>85</v>
      </c>
      <c r="G1099" t="s">
        <v>28</v>
      </c>
      <c r="H1099">
        <v>593</v>
      </c>
      <c r="I1099">
        <v>50</v>
      </c>
      <c r="J1099">
        <v>30</v>
      </c>
      <c r="K1099" t="s">
        <v>29</v>
      </c>
      <c r="L1099">
        <v>38</v>
      </c>
      <c r="M1099" t="s">
        <v>21</v>
      </c>
    </row>
    <row r="1100" spans="1:13" x14ac:dyDescent="0.35">
      <c r="A1100" t="s">
        <v>1780</v>
      </c>
      <c r="B1100" t="s">
        <v>129</v>
      </c>
      <c r="C1100" t="s">
        <v>1384</v>
      </c>
      <c r="D1100" t="s">
        <v>16</v>
      </c>
      <c r="E1100" t="s">
        <v>131</v>
      </c>
      <c r="F1100" t="s">
        <v>55</v>
      </c>
      <c r="G1100" t="s">
        <v>28</v>
      </c>
      <c r="H1100">
        <v>315</v>
      </c>
      <c r="I1100">
        <v>20</v>
      </c>
      <c r="J1100">
        <v>0</v>
      </c>
      <c r="K1100" t="s">
        <v>36</v>
      </c>
      <c r="L1100">
        <v>59</v>
      </c>
      <c r="M1100" t="s">
        <v>21</v>
      </c>
    </row>
    <row r="1101" spans="1:13" x14ac:dyDescent="0.35">
      <c r="A1101" t="s">
        <v>1781</v>
      </c>
      <c r="B1101" t="s">
        <v>76</v>
      </c>
      <c r="C1101" t="s">
        <v>100</v>
      </c>
      <c r="D1101" t="s">
        <v>25</v>
      </c>
      <c r="E1101" t="s">
        <v>26</v>
      </c>
      <c r="F1101" t="s">
        <v>27</v>
      </c>
      <c r="G1101" t="s">
        <v>49</v>
      </c>
      <c r="H1101">
        <v>456</v>
      </c>
      <c r="I1101">
        <v>40</v>
      </c>
      <c r="J1101">
        <v>0</v>
      </c>
      <c r="K1101" t="s">
        <v>29</v>
      </c>
      <c r="L1101">
        <v>20</v>
      </c>
      <c r="M1101" t="s">
        <v>21</v>
      </c>
    </row>
    <row r="1102" spans="1:13" x14ac:dyDescent="0.35">
      <c r="A1102" t="s">
        <v>1782</v>
      </c>
      <c r="B1102" t="s">
        <v>213</v>
      </c>
      <c r="C1102" t="s">
        <v>1472</v>
      </c>
      <c r="D1102" t="s">
        <v>46</v>
      </c>
      <c r="E1102" t="s">
        <v>47</v>
      </c>
      <c r="F1102" t="s">
        <v>48</v>
      </c>
      <c r="G1102" t="s">
        <v>74</v>
      </c>
      <c r="H1102">
        <v>762</v>
      </c>
      <c r="I1102">
        <v>50</v>
      </c>
      <c r="J1102">
        <v>30</v>
      </c>
      <c r="K1102" t="s">
        <v>36</v>
      </c>
      <c r="L1102">
        <v>29</v>
      </c>
      <c r="M1102" t="s">
        <v>21</v>
      </c>
    </row>
    <row r="1103" spans="1:13" x14ac:dyDescent="0.35">
      <c r="A1103" t="s">
        <v>1783</v>
      </c>
      <c r="B1103" t="s">
        <v>65</v>
      </c>
      <c r="C1103" t="s">
        <v>982</v>
      </c>
      <c r="D1103" t="s">
        <v>40</v>
      </c>
      <c r="E1103" t="s">
        <v>41</v>
      </c>
      <c r="F1103" t="s">
        <v>27</v>
      </c>
      <c r="G1103" t="s">
        <v>28</v>
      </c>
      <c r="H1103">
        <v>572</v>
      </c>
      <c r="I1103">
        <v>50</v>
      </c>
      <c r="J1103">
        <v>30</v>
      </c>
      <c r="K1103" t="s">
        <v>20</v>
      </c>
      <c r="L1103">
        <v>31</v>
      </c>
      <c r="M1103" t="s">
        <v>21</v>
      </c>
    </row>
    <row r="1104" spans="1:13" x14ac:dyDescent="0.35">
      <c r="A1104" t="s">
        <v>1784</v>
      </c>
      <c r="B1104" t="s">
        <v>91</v>
      </c>
      <c r="C1104" t="s">
        <v>317</v>
      </c>
      <c r="D1104" t="s">
        <v>53</v>
      </c>
      <c r="E1104" t="s">
        <v>152</v>
      </c>
      <c r="F1104" t="s">
        <v>18</v>
      </c>
      <c r="G1104" t="s">
        <v>176</v>
      </c>
      <c r="H1104">
        <v>438</v>
      </c>
      <c r="I1104">
        <v>50</v>
      </c>
      <c r="J1104">
        <v>20</v>
      </c>
      <c r="K1104" t="s">
        <v>36</v>
      </c>
      <c r="L1104">
        <v>55</v>
      </c>
      <c r="M1104" t="s">
        <v>21</v>
      </c>
    </row>
    <row r="1105" spans="1:13" x14ac:dyDescent="0.35">
      <c r="A1105" t="s">
        <v>1785</v>
      </c>
      <c r="B1105" t="s">
        <v>267</v>
      </c>
      <c r="C1105" t="s">
        <v>1786</v>
      </c>
      <c r="D1105" t="s">
        <v>16</v>
      </c>
      <c r="E1105" t="s">
        <v>89</v>
      </c>
      <c r="F1105" t="s">
        <v>18</v>
      </c>
      <c r="G1105" t="s">
        <v>59</v>
      </c>
      <c r="H1105">
        <v>266</v>
      </c>
      <c r="I1105">
        <v>50</v>
      </c>
      <c r="J1105">
        <v>50</v>
      </c>
      <c r="K1105" t="s">
        <v>29</v>
      </c>
      <c r="L1105">
        <v>27</v>
      </c>
      <c r="M1105" t="s">
        <v>21</v>
      </c>
    </row>
    <row r="1106" spans="1:13" x14ac:dyDescent="0.35">
      <c r="A1106" t="s">
        <v>1787</v>
      </c>
      <c r="B1106" t="s">
        <v>126</v>
      </c>
      <c r="C1106" t="s">
        <v>1788</v>
      </c>
      <c r="D1106" t="s">
        <v>46</v>
      </c>
      <c r="E1106" t="s">
        <v>148</v>
      </c>
      <c r="F1106" t="s">
        <v>27</v>
      </c>
      <c r="G1106" t="s">
        <v>42</v>
      </c>
      <c r="H1106">
        <v>645</v>
      </c>
      <c r="I1106">
        <v>50</v>
      </c>
      <c r="J1106">
        <v>100</v>
      </c>
      <c r="K1106" t="s">
        <v>36</v>
      </c>
      <c r="L1106">
        <v>43</v>
      </c>
      <c r="M1106" t="s">
        <v>21</v>
      </c>
    </row>
    <row r="1107" spans="1:13" x14ac:dyDescent="0.35">
      <c r="A1107" t="s">
        <v>1789</v>
      </c>
      <c r="B1107" t="s">
        <v>267</v>
      </c>
      <c r="C1107" t="s">
        <v>1233</v>
      </c>
      <c r="D1107" t="s">
        <v>53</v>
      </c>
      <c r="E1107" t="s">
        <v>84</v>
      </c>
      <c r="F1107" t="s">
        <v>85</v>
      </c>
      <c r="G1107" t="s">
        <v>49</v>
      </c>
      <c r="H1107">
        <v>771</v>
      </c>
      <c r="I1107">
        <v>50</v>
      </c>
      <c r="J1107">
        <v>50</v>
      </c>
      <c r="K1107" t="s">
        <v>29</v>
      </c>
      <c r="L1107">
        <v>34</v>
      </c>
      <c r="M1107" t="s">
        <v>21</v>
      </c>
    </row>
    <row r="1108" spans="1:13" x14ac:dyDescent="0.35">
      <c r="A1108" t="s">
        <v>1790</v>
      </c>
      <c r="B1108" t="s">
        <v>23</v>
      </c>
      <c r="C1108" t="s">
        <v>298</v>
      </c>
      <c r="D1108" t="s">
        <v>53</v>
      </c>
      <c r="E1108" t="s">
        <v>84</v>
      </c>
      <c r="F1108" t="s">
        <v>85</v>
      </c>
      <c r="G1108" t="s">
        <v>107</v>
      </c>
      <c r="H1108">
        <v>711</v>
      </c>
      <c r="I1108">
        <v>20</v>
      </c>
      <c r="J1108">
        <v>0</v>
      </c>
      <c r="K1108" t="s">
        <v>29</v>
      </c>
      <c r="L1108">
        <v>54</v>
      </c>
      <c r="M1108" t="s">
        <v>21</v>
      </c>
    </row>
    <row r="1109" spans="1:13" x14ac:dyDescent="0.35">
      <c r="A1109" t="s">
        <v>1791</v>
      </c>
      <c r="B1109" t="s">
        <v>181</v>
      </c>
      <c r="C1109" t="s">
        <v>1792</v>
      </c>
      <c r="D1109" t="s">
        <v>46</v>
      </c>
      <c r="E1109" t="s">
        <v>148</v>
      </c>
      <c r="F1109" t="s">
        <v>27</v>
      </c>
      <c r="G1109" t="s">
        <v>19</v>
      </c>
      <c r="H1109">
        <v>204</v>
      </c>
      <c r="I1109">
        <v>40</v>
      </c>
      <c r="J1109">
        <v>0</v>
      </c>
      <c r="K1109" t="s">
        <v>20</v>
      </c>
      <c r="L1109">
        <v>50</v>
      </c>
      <c r="M1109" t="s">
        <v>21</v>
      </c>
    </row>
    <row r="1110" spans="1:13" x14ac:dyDescent="0.35">
      <c r="A1110" t="s">
        <v>1793</v>
      </c>
      <c r="B1110" t="s">
        <v>562</v>
      </c>
      <c r="C1110" t="s">
        <v>1794</v>
      </c>
      <c r="D1110" t="s">
        <v>40</v>
      </c>
      <c r="E1110" t="s">
        <v>111</v>
      </c>
      <c r="F1110" t="s">
        <v>18</v>
      </c>
      <c r="G1110" t="s">
        <v>107</v>
      </c>
      <c r="H1110">
        <v>407</v>
      </c>
      <c r="I1110">
        <v>30</v>
      </c>
      <c r="J1110">
        <v>20</v>
      </c>
      <c r="K1110" t="s">
        <v>29</v>
      </c>
      <c r="L1110">
        <v>45</v>
      </c>
      <c r="M1110" t="s">
        <v>21</v>
      </c>
    </row>
    <row r="1111" spans="1:13" x14ac:dyDescent="0.35">
      <c r="A1111" t="s">
        <v>1795</v>
      </c>
      <c r="B1111" t="s">
        <v>583</v>
      </c>
      <c r="C1111" t="s">
        <v>259</v>
      </c>
      <c r="D1111" t="s">
        <v>16</v>
      </c>
      <c r="E1111" t="s">
        <v>89</v>
      </c>
      <c r="F1111" t="s">
        <v>18</v>
      </c>
      <c r="G1111" t="s">
        <v>19</v>
      </c>
      <c r="H1111">
        <v>794</v>
      </c>
      <c r="I1111">
        <v>40</v>
      </c>
      <c r="J1111">
        <v>20</v>
      </c>
      <c r="K1111" t="s">
        <v>29</v>
      </c>
      <c r="L1111">
        <v>25</v>
      </c>
      <c r="M1111" t="s">
        <v>30</v>
      </c>
    </row>
    <row r="1112" spans="1:13" x14ac:dyDescent="0.35">
      <c r="A1112" t="s">
        <v>1796</v>
      </c>
      <c r="B1112" t="s">
        <v>109</v>
      </c>
      <c r="C1112" t="s">
        <v>856</v>
      </c>
      <c r="D1112" t="s">
        <v>53</v>
      </c>
      <c r="E1112" t="s">
        <v>84</v>
      </c>
      <c r="F1112" t="s">
        <v>85</v>
      </c>
      <c r="G1112" t="s">
        <v>63</v>
      </c>
      <c r="H1112">
        <v>239</v>
      </c>
      <c r="I1112">
        <v>40</v>
      </c>
      <c r="J1112">
        <v>100</v>
      </c>
      <c r="K1112" t="s">
        <v>36</v>
      </c>
      <c r="L1112">
        <v>38</v>
      </c>
      <c r="M1112" t="s">
        <v>21</v>
      </c>
    </row>
    <row r="1113" spans="1:13" x14ac:dyDescent="0.35">
      <c r="A1113" t="s">
        <v>1797</v>
      </c>
      <c r="B1113" t="s">
        <v>244</v>
      </c>
      <c r="C1113" t="s">
        <v>1138</v>
      </c>
      <c r="D1113" t="s">
        <v>53</v>
      </c>
      <c r="E1113" t="s">
        <v>84</v>
      </c>
      <c r="F1113" t="s">
        <v>85</v>
      </c>
      <c r="G1113" t="s">
        <v>19</v>
      </c>
      <c r="H1113">
        <v>197</v>
      </c>
      <c r="I1113">
        <v>20</v>
      </c>
      <c r="J1113">
        <v>20</v>
      </c>
      <c r="K1113" t="s">
        <v>20</v>
      </c>
      <c r="L1113">
        <v>48</v>
      </c>
      <c r="M1113" t="s">
        <v>21</v>
      </c>
    </row>
    <row r="1114" spans="1:13" x14ac:dyDescent="0.35">
      <c r="A1114" t="s">
        <v>1798</v>
      </c>
      <c r="B1114" t="s">
        <v>113</v>
      </c>
      <c r="C1114" t="s">
        <v>668</v>
      </c>
      <c r="D1114" t="s">
        <v>46</v>
      </c>
      <c r="E1114" t="s">
        <v>148</v>
      </c>
      <c r="F1114" t="s">
        <v>27</v>
      </c>
      <c r="G1114" t="s">
        <v>28</v>
      </c>
      <c r="H1114">
        <v>468</v>
      </c>
      <c r="I1114">
        <v>50</v>
      </c>
      <c r="J1114">
        <v>0</v>
      </c>
      <c r="K1114" t="s">
        <v>20</v>
      </c>
      <c r="L1114">
        <v>34</v>
      </c>
      <c r="M1114" t="s">
        <v>21</v>
      </c>
    </row>
    <row r="1115" spans="1:13" x14ac:dyDescent="0.35">
      <c r="A1115" t="s">
        <v>1799</v>
      </c>
      <c r="B1115" t="s">
        <v>398</v>
      </c>
      <c r="C1115" t="s">
        <v>1063</v>
      </c>
      <c r="D1115" t="s">
        <v>25</v>
      </c>
      <c r="E1115" t="s">
        <v>34</v>
      </c>
      <c r="F1115" t="s">
        <v>27</v>
      </c>
      <c r="G1115" t="s">
        <v>49</v>
      </c>
      <c r="H1115">
        <v>462</v>
      </c>
      <c r="I1115">
        <v>30</v>
      </c>
      <c r="J1115">
        <v>20</v>
      </c>
      <c r="K1115" t="s">
        <v>20</v>
      </c>
      <c r="L1115">
        <v>29</v>
      </c>
      <c r="M1115" t="s">
        <v>21</v>
      </c>
    </row>
    <row r="1116" spans="1:13" x14ac:dyDescent="0.35">
      <c r="A1116" t="s">
        <v>1800</v>
      </c>
      <c r="B1116" t="s">
        <v>44</v>
      </c>
      <c r="C1116" t="s">
        <v>1801</v>
      </c>
      <c r="D1116" t="s">
        <v>16</v>
      </c>
      <c r="E1116" t="s">
        <v>131</v>
      </c>
      <c r="F1116" t="s">
        <v>55</v>
      </c>
      <c r="G1116" t="s">
        <v>42</v>
      </c>
      <c r="H1116">
        <v>319</v>
      </c>
      <c r="I1116">
        <v>30</v>
      </c>
      <c r="J1116">
        <v>100</v>
      </c>
      <c r="K1116" t="s">
        <v>20</v>
      </c>
      <c r="L1116">
        <v>43</v>
      </c>
      <c r="M1116" t="s">
        <v>21</v>
      </c>
    </row>
    <row r="1117" spans="1:13" x14ac:dyDescent="0.35">
      <c r="A1117" t="s">
        <v>1802</v>
      </c>
      <c r="B1117" t="s">
        <v>657</v>
      </c>
      <c r="C1117" t="s">
        <v>1636</v>
      </c>
      <c r="D1117" t="s">
        <v>25</v>
      </c>
      <c r="E1117" t="s">
        <v>78</v>
      </c>
      <c r="F1117" t="s">
        <v>48</v>
      </c>
      <c r="G1117" t="s">
        <v>176</v>
      </c>
      <c r="H1117">
        <v>173</v>
      </c>
      <c r="I1117">
        <v>40</v>
      </c>
      <c r="J1117">
        <v>0</v>
      </c>
      <c r="K1117" t="s">
        <v>20</v>
      </c>
      <c r="L1117">
        <v>27</v>
      </c>
      <c r="M1117" t="s">
        <v>21</v>
      </c>
    </row>
    <row r="1118" spans="1:13" x14ac:dyDescent="0.35">
      <c r="A1118" t="s">
        <v>1803</v>
      </c>
      <c r="B1118" t="s">
        <v>336</v>
      </c>
      <c r="C1118" t="s">
        <v>1804</v>
      </c>
      <c r="D1118" t="s">
        <v>40</v>
      </c>
      <c r="E1118" t="s">
        <v>41</v>
      </c>
      <c r="F1118" t="s">
        <v>27</v>
      </c>
      <c r="G1118" t="s">
        <v>35</v>
      </c>
      <c r="H1118">
        <v>533</v>
      </c>
      <c r="I1118">
        <v>50</v>
      </c>
      <c r="J1118">
        <v>100</v>
      </c>
      <c r="K1118" t="s">
        <v>20</v>
      </c>
      <c r="L1118">
        <v>54</v>
      </c>
      <c r="M1118" t="s">
        <v>21</v>
      </c>
    </row>
    <row r="1119" spans="1:13" x14ac:dyDescent="0.35">
      <c r="A1119" t="s">
        <v>1805</v>
      </c>
      <c r="B1119" t="s">
        <v>365</v>
      </c>
      <c r="C1119" t="s">
        <v>909</v>
      </c>
      <c r="D1119" t="s">
        <v>40</v>
      </c>
      <c r="E1119" t="s">
        <v>41</v>
      </c>
      <c r="F1119" t="s">
        <v>27</v>
      </c>
      <c r="G1119" t="s">
        <v>176</v>
      </c>
      <c r="H1119">
        <v>748</v>
      </c>
      <c r="I1119">
        <v>50</v>
      </c>
      <c r="J1119">
        <v>20</v>
      </c>
      <c r="K1119" t="s">
        <v>20</v>
      </c>
      <c r="L1119">
        <v>53</v>
      </c>
      <c r="M1119" t="s">
        <v>21</v>
      </c>
    </row>
    <row r="1120" spans="1:13" x14ac:dyDescent="0.35">
      <c r="A1120" t="s">
        <v>1806</v>
      </c>
      <c r="B1120" t="s">
        <v>247</v>
      </c>
      <c r="C1120" t="s">
        <v>276</v>
      </c>
      <c r="D1120" t="s">
        <v>40</v>
      </c>
      <c r="E1120" t="s">
        <v>111</v>
      </c>
      <c r="F1120" t="s">
        <v>18</v>
      </c>
      <c r="G1120" t="s">
        <v>176</v>
      </c>
      <c r="H1120">
        <v>289</v>
      </c>
      <c r="I1120">
        <v>20</v>
      </c>
      <c r="J1120">
        <v>100</v>
      </c>
      <c r="K1120" t="s">
        <v>29</v>
      </c>
      <c r="L1120">
        <v>35</v>
      </c>
      <c r="M1120" t="s">
        <v>21</v>
      </c>
    </row>
    <row r="1121" spans="1:13" x14ac:dyDescent="0.35">
      <c r="A1121" t="s">
        <v>1807</v>
      </c>
      <c r="B1121" t="s">
        <v>398</v>
      </c>
      <c r="C1121" t="s">
        <v>1243</v>
      </c>
      <c r="D1121" t="s">
        <v>46</v>
      </c>
      <c r="E1121" t="s">
        <v>148</v>
      </c>
      <c r="F1121" t="s">
        <v>27</v>
      </c>
      <c r="G1121" t="s">
        <v>42</v>
      </c>
      <c r="H1121">
        <v>412</v>
      </c>
      <c r="I1121">
        <v>30</v>
      </c>
      <c r="J1121">
        <v>20</v>
      </c>
      <c r="K1121" t="s">
        <v>36</v>
      </c>
      <c r="L1121">
        <v>20</v>
      </c>
      <c r="M1121" t="s">
        <v>21</v>
      </c>
    </row>
    <row r="1122" spans="1:13" x14ac:dyDescent="0.35">
      <c r="A1122" t="s">
        <v>1808</v>
      </c>
      <c r="B1122" t="s">
        <v>244</v>
      </c>
      <c r="C1122" t="s">
        <v>1311</v>
      </c>
      <c r="D1122" t="s">
        <v>53</v>
      </c>
      <c r="E1122" t="s">
        <v>84</v>
      </c>
      <c r="F1122" t="s">
        <v>85</v>
      </c>
      <c r="G1122" t="s">
        <v>19</v>
      </c>
      <c r="H1122">
        <v>470</v>
      </c>
      <c r="I1122">
        <v>40</v>
      </c>
      <c r="J1122">
        <v>100</v>
      </c>
      <c r="K1122" t="s">
        <v>20</v>
      </c>
      <c r="L1122">
        <v>55</v>
      </c>
      <c r="M1122" t="s">
        <v>21</v>
      </c>
    </row>
    <row r="1123" spans="1:13" x14ac:dyDescent="0.35">
      <c r="A1123" t="s">
        <v>1809</v>
      </c>
      <c r="B1123" t="s">
        <v>486</v>
      </c>
      <c r="C1123" t="s">
        <v>97</v>
      </c>
      <c r="D1123" t="s">
        <v>46</v>
      </c>
      <c r="E1123" t="s">
        <v>70</v>
      </c>
      <c r="F1123" t="s">
        <v>18</v>
      </c>
      <c r="G1123" t="s">
        <v>63</v>
      </c>
      <c r="H1123">
        <v>728</v>
      </c>
      <c r="I1123">
        <v>40</v>
      </c>
      <c r="J1123">
        <v>100</v>
      </c>
      <c r="K1123" t="s">
        <v>20</v>
      </c>
      <c r="L1123">
        <v>49</v>
      </c>
      <c r="M1123" t="s">
        <v>21</v>
      </c>
    </row>
    <row r="1124" spans="1:13" x14ac:dyDescent="0.35">
      <c r="A1124" t="s">
        <v>1810</v>
      </c>
      <c r="B1124" t="s">
        <v>322</v>
      </c>
      <c r="C1124" t="s">
        <v>334</v>
      </c>
      <c r="D1124" t="s">
        <v>40</v>
      </c>
      <c r="E1124" t="s">
        <v>111</v>
      </c>
      <c r="F1124" t="s">
        <v>18</v>
      </c>
      <c r="G1124" t="s">
        <v>35</v>
      </c>
      <c r="H1124">
        <v>467</v>
      </c>
      <c r="I1124">
        <v>40</v>
      </c>
      <c r="J1124">
        <v>50</v>
      </c>
      <c r="K1124" t="s">
        <v>29</v>
      </c>
      <c r="L1124">
        <v>55</v>
      </c>
      <c r="M1124" t="s">
        <v>21</v>
      </c>
    </row>
    <row r="1125" spans="1:13" x14ac:dyDescent="0.35">
      <c r="A1125" t="s">
        <v>1811</v>
      </c>
      <c r="B1125" t="s">
        <v>379</v>
      </c>
      <c r="C1125" t="s">
        <v>1812</v>
      </c>
      <c r="D1125" t="s">
        <v>46</v>
      </c>
      <c r="E1125" t="s">
        <v>70</v>
      </c>
      <c r="F1125" t="s">
        <v>18</v>
      </c>
      <c r="G1125" t="s">
        <v>35</v>
      </c>
      <c r="H1125">
        <v>642</v>
      </c>
      <c r="I1125">
        <v>50</v>
      </c>
      <c r="J1125">
        <v>100</v>
      </c>
      <c r="K1125" t="s">
        <v>20</v>
      </c>
      <c r="L1125">
        <v>21</v>
      </c>
      <c r="M1125" t="s">
        <v>21</v>
      </c>
    </row>
    <row r="1126" spans="1:13" x14ac:dyDescent="0.35">
      <c r="A1126" t="s">
        <v>1813</v>
      </c>
      <c r="B1126" t="s">
        <v>154</v>
      </c>
      <c r="C1126" t="s">
        <v>1182</v>
      </c>
      <c r="D1126" t="s">
        <v>25</v>
      </c>
      <c r="E1126" t="s">
        <v>78</v>
      </c>
      <c r="F1126" t="s">
        <v>48</v>
      </c>
      <c r="G1126" t="s">
        <v>35</v>
      </c>
      <c r="H1126">
        <v>623</v>
      </c>
      <c r="I1126">
        <v>40</v>
      </c>
      <c r="J1126">
        <v>50</v>
      </c>
      <c r="K1126" t="s">
        <v>20</v>
      </c>
      <c r="L1126">
        <v>41</v>
      </c>
      <c r="M1126" t="s">
        <v>21</v>
      </c>
    </row>
    <row r="1127" spans="1:13" x14ac:dyDescent="0.35">
      <c r="A1127" t="s">
        <v>1814</v>
      </c>
      <c r="B1127" t="s">
        <v>69</v>
      </c>
      <c r="C1127" t="s">
        <v>1593</v>
      </c>
      <c r="D1127" t="s">
        <v>16</v>
      </c>
      <c r="E1127" t="s">
        <v>89</v>
      </c>
      <c r="F1127" t="s">
        <v>18</v>
      </c>
      <c r="G1127" t="s">
        <v>63</v>
      </c>
      <c r="H1127">
        <v>690</v>
      </c>
      <c r="I1127">
        <v>40</v>
      </c>
      <c r="J1127">
        <v>100</v>
      </c>
      <c r="K1127" t="s">
        <v>20</v>
      </c>
      <c r="L1127">
        <v>21</v>
      </c>
      <c r="M1127" t="s">
        <v>21</v>
      </c>
    </row>
    <row r="1128" spans="1:13" x14ac:dyDescent="0.35">
      <c r="A1128" t="s">
        <v>1815</v>
      </c>
      <c r="B1128" t="s">
        <v>244</v>
      </c>
      <c r="C1128" t="s">
        <v>688</v>
      </c>
      <c r="D1128" t="s">
        <v>40</v>
      </c>
      <c r="E1128" t="s">
        <v>67</v>
      </c>
      <c r="F1128" t="s">
        <v>48</v>
      </c>
      <c r="G1128" t="s">
        <v>74</v>
      </c>
      <c r="H1128">
        <v>508</v>
      </c>
      <c r="I1128">
        <v>30</v>
      </c>
      <c r="J1128">
        <v>20</v>
      </c>
      <c r="K1128" t="s">
        <v>20</v>
      </c>
      <c r="L1128">
        <v>44</v>
      </c>
      <c r="M1128" t="s">
        <v>21</v>
      </c>
    </row>
    <row r="1129" spans="1:13" x14ac:dyDescent="0.35">
      <c r="A1129" t="s">
        <v>1816</v>
      </c>
      <c r="B1129" t="s">
        <v>305</v>
      </c>
      <c r="C1129" t="s">
        <v>1455</v>
      </c>
      <c r="D1129" t="s">
        <v>40</v>
      </c>
      <c r="E1129" t="s">
        <v>41</v>
      </c>
      <c r="F1129" t="s">
        <v>27</v>
      </c>
      <c r="G1129" t="s">
        <v>74</v>
      </c>
      <c r="H1129">
        <v>478</v>
      </c>
      <c r="I1129">
        <v>50</v>
      </c>
      <c r="J1129">
        <v>100</v>
      </c>
      <c r="K1129" t="s">
        <v>20</v>
      </c>
      <c r="L1129">
        <v>46</v>
      </c>
      <c r="M1129" t="s">
        <v>21</v>
      </c>
    </row>
    <row r="1130" spans="1:13" x14ac:dyDescent="0.35">
      <c r="A1130" t="s">
        <v>1817</v>
      </c>
      <c r="B1130" t="s">
        <v>223</v>
      </c>
      <c r="C1130" t="s">
        <v>668</v>
      </c>
      <c r="D1130" t="s">
        <v>40</v>
      </c>
      <c r="E1130" t="s">
        <v>41</v>
      </c>
      <c r="F1130" t="s">
        <v>27</v>
      </c>
      <c r="G1130" t="s">
        <v>176</v>
      </c>
      <c r="H1130">
        <v>286</v>
      </c>
      <c r="I1130">
        <v>30</v>
      </c>
      <c r="J1130">
        <v>20</v>
      </c>
      <c r="K1130" t="s">
        <v>36</v>
      </c>
      <c r="L1130">
        <v>41</v>
      </c>
      <c r="M1130" t="s">
        <v>21</v>
      </c>
    </row>
    <row r="1131" spans="1:13" x14ac:dyDescent="0.35">
      <c r="A1131" t="s">
        <v>1818</v>
      </c>
      <c r="B1131" t="s">
        <v>247</v>
      </c>
      <c r="C1131" t="s">
        <v>24</v>
      </c>
      <c r="D1131" t="s">
        <v>25</v>
      </c>
      <c r="E1131" t="s">
        <v>78</v>
      </c>
      <c r="F1131" t="s">
        <v>48</v>
      </c>
      <c r="G1131" t="s">
        <v>28</v>
      </c>
      <c r="H1131">
        <v>639</v>
      </c>
      <c r="I1131">
        <v>20</v>
      </c>
      <c r="J1131">
        <v>0</v>
      </c>
      <c r="K1131" t="s">
        <v>20</v>
      </c>
      <c r="L1131">
        <v>21</v>
      </c>
      <c r="M1131" t="s">
        <v>21</v>
      </c>
    </row>
    <row r="1132" spans="1:13" x14ac:dyDescent="0.35">
      <c r="A1132" t="s">
        <v>1819</v>
      </c>
      <c r="B1132" t="s">
        <v>583</v>
      </c>
      <c r="C1132" t="s">
        <v>257</v>
      </c>
      <c r="D1132" t="s">
        <v>16</v>
      </c>
      <c r="E1132" t="s">
        <v>89</v>
      </c>
      <c r="F1132" t="s">
        <v>18</v>
      </c>
      <c r="G1132" t="s">
        <v>35</v>
      </c>
      <c r="H1132">
        <v>239</v>
      </c>
      <c r="I1132">
        <v>50</v>
      </c>
      <c r="J1132">
        <v>100</v>
      </c>
      <c r="K1132" t="s">
        <v>36</v>
      </c>
      <c r="L1132">
        <v>57</v>
      </c>
      <c r="M1132" t="s">
        <v>21</v>
      </c>
    </row>
    <row r="1133" spans="1:13" x14ac:dyDescent="0.35">
      <c r="A1133" t="s">
        <v>1820</v>
      </c>
      <c r="B1133" t="s">
        <v>143</v>
      </c>
      <c r="C1133" t="s">
        <v>1226</v>
      </c>
      <c r="D1133" t="s">
        <v>25</v>
      </c>
      <c r="E1133" t="s">
        <v>34</v>
      </c>
      <c r="F1133" t="s">
        <v>27</v>
      </c>
      <c r="G1133" t="s">
        <v>59</v>
      </c>
      <c r="H1133">
        <v>327</v>
      </c>
      <c r="I1133">
        <v>50</v>
      </c>
      <c r="J1133">
        <v>20</v>
      </c>
      <c r="K1133" t="s">
        <v>36</v>
      </c>
      <c r="L1133">
        <v>38</v>
      </c>
      <c r="M1133" t="s">
        <v>21</v>
      </c>
    </row>
    <row r="1134" spans="1:13" x14ac:dyDescent="0.35">
      <c r="A1134" t="s">
        <v>1821</v>
      </c>
      <c r="B1134" t="s">
        <v>38</v>
      </c>
      <c r="C1134" t="s">
        <v>1394</v>
      </c>
      <c r="D1134" t="s">
        <v>53</v>
      </c>
      <c r="E1134" t="s">
        <v>152</v>
      </c>
      <c r="F1134" t="s">
        <v>18</v>
      </c>
      <c r="G1134" t="s">
        <v>74</v>
      </c>
      <c r="H1134">
        <v>672</v>
      </c>
      <c r="I1134">
        <v>50</v>
      </c>
      <c r="J1134">
        <v>100</v>
      </c>
      <c r="K1134" t="s">
        <v>20</v>
      </c>
      <c r="L1134">
        <v>37</v>
      </c>
      <c r="M1134" t="s">
        <v>21</v>
      </c>
    </row>
    <row r="1135" spans="1:13" x14ac:dyDescent="0.35">
      <c r="A1135" t="s">
        <v>1822</v>
      </c>
      <c r="B1135" t="s">
        <v>486</v>
      </c>
      <c r="C1135" t="s">
        <v>873</v>
      </c>
      <c r="D1135" t="s">
        <v>16</v>
      </c>
      <c r="E1135" t="s">
        <v>131</v>
      </c>
      <c r="F1135" t="s">
        <v>55</v>
      </c>
      <c r="G1135" t="s">
        <v>35</v>
      </c>
      <c r="H1135">
        <v>788</v>
      </c>
      <c r="I1135">
        <v>50</v>
      </c>
      <c r="J1135">
        <v>30</v>
      </c>
      <c r="K1135" t="s">
        <v>29</v>
      </c>
      <c r="L1135">
        <v>41</v>
      </c>
      <c r="M1135" t="s">
        <v>21</v>
      </c>
    </row>
    <row r="1136" spans="1:13" x14ac:dyDescent="0.35">
      <c r="A1136" t="s">
        <v>1823</v>
      </c>
      <c r="B1136" t="s">
        <v>199</v>
      </c>
      <c r="C1136" t="s">
        <v>182</v>
      </c>
      <c r="D1136" t="s">
        <v>40</v>
      </c>
      <c r="E1136" t="s">
        <v>67</v>
      </c>
      <c r="F1136" t="s">
        <v>48</v>
      </c>
      <c r="G1136" t="s">
        <v>59</v>
      </c>
      <c r="H1136">
        <v>606</v>
      </c>
      <c r="I1136">
        <v>50</v>
      </c>
      <c r="J1136">
        <v>30</v>
      </c>
      <c r="K1136" t="s">
        <v>29</v>
      </c>
      <c r="L1136">
        <v>20</v>
      </c>
      <c r="M1136" t="s">
        <v>21</v>
      </c>
    </row>
    <row r="1137" spans="1:13" x14ac:dyDescent="0.35">
      <c r="A1137" t="s">
        <v>1824</v>
      </c>
      <c r="B1137" t="s">
        <v>186</v>
      </c>
      <c r="C1137" t="s">
        <v>443</v>
      </c>
      <c r="D1137" t="s">
        <v>46</v>
      </c>
      <c r="E1137" t="s">
        <v>148</v>
      </c>
      <c r="F1137" t="s">
        <v>27</v>
      </c>
      <c r="G1137" t="s">
        <v>35</v>
      </c>
      <c r="H1137">
        <v>286</v>
      </c>
      <c r="I1137">
        <v>20</v>
      </c>
      <c r="J1137">
        <v>50</v>
      </c>
      <c r="K1137" t="s">
        <v>20</v>
      </c>
      <c r="L1137">
        <v>39</v>
      </c>
      <c r="M1137" t="s">
        <v>21</v>
      </c>
    </row>
    <row r="1138" spans="1:13" x14ac:dyDescent="0.35">
      <c r="A1138" t="s">
        <v>1825</v>
      </c>
      <c r="B1138" t="s">
        <v>291</v>
      </c>
      <c r="C1138" t="s">
        <v>640</v>
      </c>
      <c r="D1138" t="s">
        <v>40</v>
      </c>
      <c r="E1138" t="s">
        <v>111</v>
      </c>
      <c r="F1138" t="s">
        <v>18</v>
      </c>
      <c r="G1138" t="s">
        <v>19</v>
      </c>
      <c r="H1138">
        <v>461</v>
      </c>
      <c r="I1138">
        <v>30</v>
      </c>
      <c r="J1138">
        <v>0</v>
      </c>
      <c r="K1138" t="s">
        <v>29</v>
      </c>
      <c r="L1138">
        <v>32</v>
      </c>
      <c r="M1138" t="s">
        <v>21</v>
      </c>
    </row>
    <row r="1139" spans="1:13" x14ac:dyDescent="0.35">
      <c r="A1139" t="s">
        <v>1826</v>
      </c>
      <c r="B1139" t="s">
        <v>192</v>
      </c>
      <c r="C1139" t="s">
        <v>289</v>
      </c>
      <c r="D1139" t="s">
        <v>53</v>
      </c>
      <c r="E1139" t="s">
        <v>84</v>
      </c>
      <c r="F1139" t="s">
        <v>85</v>
      </c>
      <c r="G1139" t="s">
        <v>42</v>
      </c>
      <c r="H1139">
        <v>554</v>
      </c>
      <c r="I1139">
        <v>50</v>
      </c>
      <c r="J1139">
        <v>20</v>
      </c>
      <c r="K1139" t="s">
        <v>36</v>
      </c>
      <c r="L1139">
        <v>23</v>
      </c>
      <c r="M1139" t="s">
        <v>30</v>
      </c>
    </row>
    <row r="1140" spans="1:13" x14ac:dyDescent="0.35">
      <c r="A1140" t="s">
        <v>1827</v>
      </c>
      <c r="B1140" t="s">
        <v>133</v>
      </c>
      <c r="C1140" t="s">
        <v>1828</v>
      </c>
      <c r="D1140" t="s">
        <v>16</v>
      </c>
      <c r="E1140" t="s">
        <v>17</v>
      </c>
      <c r="F1140" t="s">
        <v>18</v>
      </c>
      <c r="G1140" t="s">
        <v>35</v>
      </c>
      <c r="H1140">
        <v>624</v>
      </c>
      <c r="I1140">
        <v>20</v>
      </c>
      <c r="J1140">
        <v>50</v>
      </c>
      <c r="K1140" t="s">
        <v>36</v>
      </c>
      <c r="L1140">
        <v>29</v>
      </c>
      <c r="M1140" t="s">
        <v>21</v>
      </c>
    </row>
    <row r="1141" spans="1:13" x14ac:dyDescent="0.35">
      <c r="A1141" t="s">
        <v>1829</v>
      </c>
      <c r="B1141" t="s">
        <v>244</v>
      </c>
      <c r="C1141" t="s">
        <v>361</v>
      </c>
      <c r="D1141" t="s">
        <v>16</v>
      </c>
      <c r="E1141" t="s">
        <v>131</v>
      </c>
      <c r="F1141" t="s">
        <v>55</v>
      </c>
      <c r="G1141" t="s">
        <v>63</v>
      </c>
      <c r="H1141">
        <v>494</v>
      </c>
      <c r="I1141">
        <v>20</v>
      </c>
      <c r="J1141">
        <v>0</v>
      </c>
      <c r="K1141" t="s">
        <v>20</v>
      </c>
      <c r="L1141">
        <v>42</v>
      </c>
      <c r="M1141" t="s">
        <v>30</v>
      </c>
    </row>
    <row r="1142" spans="1:13" x14ac:dyDescent="0.35">
      <c r="A1142" t="s">
        <v>1830</v>
      </c>
      <c r="B1142" t="s">
        <v>541</v>
      </c>
      <c r="C1142" t="s">
        <v>1831</v>
      </c>
      <c r="D1142" t="s">
        <v>25</v>
      </c>
      <c r="E1142" t="s">
        <v>78</v>
      </c>
      <c r="F1142" t="s">
        <v>48</v>
      </c>
      <c r="G1142" t="s">
        <v>74</v>
      </c>
      <c r="H1142">
        <v>340</v>
      </c>
      <c r="I1142">
        <v>50</v>
      </c>
      <c r="J1142">
        <v>20</v>
      </c>
      <c r="K1142" t="s">
        <v>20</v>
      </c>
      <c r="L1142">
        <v>38</v>
      </c>
      <c r="M1142" t="s">
        <v>30</v>
      </c>
    </row>
    <row r="1143" spans="1:13" x14ac:dyDescent="0.35">
      <c r="A1143" t="s">
        <v>1832</v>
      </c>
      <c r="B1143" t="s">
        <v>186</v>
      </c>
      <c r="C1143" t="s">
        <v>828</v>
      </c>
      <c r="D1143" t="s">
        <v>40</v>
      </c>
      <c r="E1143" t="s">
        <v>41</v>
      </c>
      <c r="F1143" t="s">
        <v>27</v>
      </c>
      <c r="G1143" t="s">
        <v>28</v>
      </c>
      <c r="H1143">
        <v>190</v>
      </c>
      <c r="I1143">
        <v>50</v>
      </c>
      <c r="J1143">
        <v>0</v>
      </c>
      <c r="K1143" t="s">
        <v>36</v>
      </c>
      <c r="L1143">
        <v>27</v>
      </c>
      <c r="M1143" t="s">
        <v>21</v>
      </c>
    </row>
    <row r="1144" spans="1:13" x14ac:dyDescent="0.35">
      <c r="A1144" t="s">
        <v>1833</v>
      </c>
      <c r="B1144" t="s">
        <v>568</v>
      </c>
      <c r="C1144" t="s">
        <v>1190</v>
      </c>
      <c r="D1144" t="s">
        <v>40</v>
      </c>
      <c r="E1144" t="s">
        <v>67</v>
      </c>
      <c r="F1144" t="s">
        <v>48</v>
      </c>
      <c r="G1144" t="s">
        <v>19</v>
      </c>
      <c r="H1144">
        <v>567</v>
      </c>
      <c r="I1144">
        <v>50</v>
      </c>
      <c r="J1144">
        <v>50</v>
      </c>
      <c r="K1144" t="s">
        <v>29</v>
      </c>
      <c r="L1144">
        <v>24</v>
      </c>
      <c r="M1144" t="s">
        <v>21</v>
      </c>
    </row>
    <row r="1145" spans="1:13" x14ac:dyDescent="0.35">
      <c r="A1145" t="s">
        <v>1834</v>
      </c>
      <c r="B1145" t="s">
        <v>295</v>
      </c>
      <c r="C1145" t="s">
        <v>646</v>
      </c>
      <c r="D1145" t="s">
        <v>53</v>
      </c>
      <c r="E1145" t="s">
        <v>84</v>
      </c>
      <c r="F1145" t="s">
        <v>85</v>
      </c>
      <c r="G1145" t="s">
        <v>74</v>
      </c>
      <c r="H1145">
        <v>430</v>
      </c>
      <c r="I1145">
        <v>40</v>
      </c>
      <c r="J1145">
        <v>100</v>
      </c>
      <c r="K1145" t="s">
        <v>36</v>
      </c>
      <c r="L1145">
        <v>27</v>
      </c>
      <c r="M1145" t="s">
        <v>21</v>
      </c>
    </row>
    <row r="1146" spans="1:13" x14ac:dyDescent="0.35">
      <c r="A1146" t="s">
        <v>1835</v>
      </c>
      <c r="B1146" t="s">
        <v>38</v>
      </c>
      <c r="C1146" t="s">
        <v>407</v>
      </c>
      <c r="D1146" t="s">
        <v>53</v>
      </c>
      <c r="E1146" t="s">
        <v>152</v>
      </c>
      <c r="F1146" t="s">
        <v>18</v>
      </c>
      <c r="G1146" t="s">
        <v>63</v>
      </c>
      <c r="H1146">
        <v>591</v>
      </c>
      <c r="I1146">
        <v>40</v>
      </c>
      <c r="J1146">
        <v>30</v>
      </c>
      <c r="K1146" t="s">
        <v>36</v>
      </c>
      <c r="L1146">
        <v>53</v>
      </c>
      <c r="M1146" t="s">
        <v>21</v>
      </c>
    </row>
    <row r="1147" spans="1:13" x14ac:dyDescent="0.35">
      <c r="A1147" t="s">
        <v>1836</v>
      </c>
      <c r="B1147" t="s">
        <v>76</v>
      </c>
      <c r="C1147" t="s">
        <v>1837</v>
      </c>
      <c r="D1147" t="s">
        <v>46</v>
      </c>
      <c r="E1147" t="s">
        <v>70</v>
      </c>
      <c r="F1147" t="s">
        <v>18</v>
      </c>
      <c r="G1147" t="s">
        <v>35</v>
      </c>
      <c r="H1147">
        <v>627</v>
      </c>
      <c r="I1147">
        <v>30</v>
      </c>
      <c r="J1147">
        <v>20</v>
      </c>
      <c r="K1147" t="s">
        <v>20</v>
      </c>
      <c r="L1147">
        <v>30</v>
      </c>
      <c r="M1147" t="s">
        <v>21</v>
      </c>
    </row>
    <row r="1148" spans="1:13" x14ac:dyDescent="0.35">
      <c r="A1148" t="s">
        <v>1838</v>
      </c>
      <c r="B1148" t="s">
        <v>99</v>
      </c>
      <c r="C1148" t="s">
        <v>937</v>
      </c>
      <c r="D1148" t="s">
        <v>40</v>
      </c>
      <c r="E1148" t="s">
        <v>111</v>
      </c>
      <c r="F1148" t="s">
        <v>18</v>
      </c>
      <c r="G1148" t="s">
        <v>28</v>
      </c>
      <c r="H1148">
        <v>462</v>
      </c>
      <c r="I1148">
        <v>50</v>
      </c>
      <c r="J1148">
        <v>0</v>
      </c>
      <c r="K1148" t="s">
        <v>20</v>
      </c>
      <c r="L1148">
        <v>55</v>
      </c>
      <c r="M1148" t="s">
        <v>21</v>
      </c>
    </row>
    <row r="1149" spans="1:13" x14ac:dyDescent="0.35">
      <c r="A1149" t="s">
        <v>1839</v>
      </c>
      <c r="B1149" t="s">
        <v>118</v>
      </c>
      <c r="C1149" t="s">
        <v>363</v>
      </c>
      <c r="D1149" t="s">
        <v>25</v>
      </c>
      <c r="E1149" t="s">
        <v>34</v>
      </c>
      <c r="F1149" t="s">
        <v>27</v>
      </c>
      <c r="G1149" t="s">
        <v>19</v>
      </c>
      <c r="H1149">
        <v>354</v>
      </c>
      <c r="I1149">
        <v>50</v>
      </c>
      <c r="J1149">
        <v>30</v>
      </c>
      <c r="K1149" t="s">
        <v>29</v>
      </c>
      <c r="L1149">
        <v>36</v>
      </c>
      <c r="M1149" t="s">
        <v>21</v>
      </c>
    </row>
    <row r="1150" spans="1:13" x14ac:dyDescent="0.35">
      <c r="A1150" t="s">
        <v>1840</v>
      </c>
      <c r="B1150" t="s">
        <v>223</v>
      </c>
      <c r="C1150" t="s">
        <v>871</v>
      </c>
      <c r="D1150" t="s">
        <v>40</v>
      </c>
      <c r="E1150" t="s">
        <v>67</v>
      </c>
      <c r="F1150" t="s">
        <v>48</v>
      </c>
      <c r="G1150" t="s">
        <v>49</v>
      </c>
      <c r="H1150">
        <v>191</v>
      </c>
      <c r="I1150">
        <v>50</v>
      </c>
      <c r="J1150">
        <v>0</v>
      </c>
      <c r="K1150" t="s">
        <v>29</v>
      </c>
      <c r="L1150">
        <v>52</v>
      </c>
      <c r="M1150" t="s">
        <v>21</v>
      </c>
    </row>
    <row r="1151" spans="1:13" x14ac:dyDescent="0.35">
      <c r="A1151" t="s">
        <v>1841</v>
      </c>
      <c r="B1151" t="s">
        <v>136</v>
      </c>
      <c r="C1151" t="s">
        <v>1563</v>
      </c>
      <c r="D1151" t="s">
        <v>46</v>
      </c>
      <c r="E1151" t="s">
        <v>148</v>
      </c>
      <c r="F1151" t="s">
        <v>27</v>
      </c>
      <c r="G1151" t="s">
        <v>42</v>
      </c>
      <c r="H1151">
        <v>217</v>
      </c>
      <c r="I1151">
        <v>20</v>
      </c>
      <c r="J1151">
        <v>0</v>
      </c>
      <c r="K1151" t="s">
        <v>20</v>
      </c>
      <c r="L1151">
        <v>21</v>
      </c>
      <c r="M1151" t="s">
        <v>21</v>
      </c>
    </row>
    <row r="1152" spans="1:13" x14ac:dyDescent="0.35">
      <c r="A1152" t="s">
        <v>1842</v>
      </c>
      <c r="B1152" t="s">
        <v>449</v>
      </c>
      <c r="C1152" t="s">
        <v>455</v>
      </c>
      <c r="D1152" t="s">
        <v>16</v>
      </c>
      <c r="E1152" t="s">
        <v>89</v>
      </c>
      <c r="F1152" t="s">
        <v>18</v>
      </c>
      <c r="G1152" t="s">
        <v>107</v>
      </c>
      <c r="H1152">
        <v>496</v>
      </c>
      <c r="I1152">
        <v>50</v>
      </c>
      <c r="J1152">
        <v>30</v>
      </c>
      <c r="K1152" t="s">
        <v>29</v>
      </c>
      <c r="L1152">
        <v>39</v>
      </c>
      <c r="M1152" t="s">
        <v>21</v>
      </c>
    </row>
    <row r="1153" spans="1:13" x14ac:dyDescent="0.35">
      <c r="A1153" t="s">
        <v>1843</v>
      </c>
      <c r="B1153" t="s">
        <v>150</v>
      </c>
      <c r="C1153" t="s">
        <v>638</v>
      </c>
      <c r="D1153" t="s">
        <v>16</v>
      </c>
      <c r="E1153" t="s">
        <v>131</v>
      </c>
      <c r="F1153" t="s">
        <v>55</v>
      </c>
      <c r="G1153" t="s">
        <v>28</v>
      </c>
      <c r="H1153">
        <v>180</v>
      </c>
      <c r="I1153">
        <v>50</v>
      </c>
      <c r="J1153">
        <v>0</v>
      </c>
      <c r="K1153" t="s">
        <v>29</v>
      </c>
      <c r="L1153">
        <v>51</v>
      </c>
      <c r="M1153" t="s">
        <v>21</v>
      </c>
    </row>
    <row r="1154" spans="1:13" x14ac:dyDescent="0.35">
      <c r="A1154" t="s">
        <v>1844</v>
      </c>
      <c r="B1154" t="s">
        <v>244</v>
      </c>
      <c r="C1154" t="s">
        <v>494</v>
      </c>
      <c r="D1154" t="s">
        <v>46</v>
      </c>
      <c r="E1154" t="s">
        <v>47</v>
      </c>
      <c r="F1154" t="s">
        <v>48</v>
      </c>
      <c r="G1154" t="s">
        <v>176</v>
      </c>
      <c r="H1154">
        <v>746</v>
      </c>
      <c r="I1154">
        <v>50</v>
      </c>
      <c r="J1154">
        <v>100</v>
      </c>
      <c r="K1154" t="s">
        <v>29</v>
      </c>
      <c r="L1154">
        <v>26</v>
      </c>
      <c r="M1154" t="s">
        <v>21</v>
      </c>
    </row>
    <row r="1155" spans="1:13" x14ac:dyDescent="0.35">
      <c r="A1155" t="s">
        <v>1845</v>
      </c>
      <c r="B1155" t="s">
        <v>273</v>
      </c>
      <c r="C1155" t="s">
        <v>1846</v>
      </c>
      <c r="D1155" t="s">
        <v>40</v>
      </c>
      <c r="E1155" t="s">
        <v>67</v>
      </c>
      <c r="F1155" t="s">
        <v>48</v>
      </c>
      <c r="G1155" t="s">
        <v>42</v>
      </c>
      <c r="H1155">
        <v>195</v>
      </c>
      <c r="I1155">
        <v>20</v>
      </c>
      <c r="J1155">
        <v>0</v>
      </c>
      <c r="K1155" t="s">
        <v>20</v>
      </c>
      <c r="L1155">
        <v>25</v>
      </c>
      <c r="M1155" t="s">
        <v>21</v>
      </c>
    </row>
    <row r="1156" spans="1:13" x14ac:dyDescent="0.35">
      <c r="A1156" t="s">
        <v>1847</v>
      </c>
      <c r="B1156" t="s">
        <v>143</v>
      </c>
      <c r="C1156" t="s">
        <v>489</v>
      </c>
      <c r="D1156" t="s">
        <v>40</v>
      </c>
      <c r="E1156" t="s">
        <v>67</v>
      </c>
      <c r="F1156" t="s">
        <v>48</v>
      </c>
      <c r="G1156" t="s">
        <v>19</v>
      </c>
      <c r="H1156">
        <v>180</v>
      </c>
      <c r="I1156">
        <v>30</v>
      </c>
      <c r="J1156">
        <v>50</v>
      </c>
      <c r="K1156" t="s">
        <v>20</v>
      </c>
      <c r="L1156">
        <v>44</v>
      </c>
      <c r="M1156" t="s">
        <v>21</v>
      </c>
    </row>
    <row r="1157" spans="1:13" x14ac:dyDescent="0.35">
      <c r="A1157" t="s">
        <v>1848</v>
      </c>
      <c r="B1157" t="s">
        <v>300</v>
      </c>
      <c r="C1157" t="s">
        <v>1669</v>
      </c>
      <c r="D1157" t="s">
        <v>25</v>
      </c>
      <c r="E1157" t="s">
        <v>78</v>
      </c>
      <c r="F1157" t="s">
        <v>48</v>
      </c>
      <c r="G1157" t="s">
        <v>19</v>
      </c>
      <c r="H1157">
        <v>219</v>
      </c>
      <c r="I1157">
        <v>20</v>
      </c>
      <c r="J1157">
        <v>50</v>
      </c>
      <c r="K1157" t="s">
        <v>29</v>
      </c>
      <c r="L1157">
        <v>27</v>
      </c>
      <c r="M1157" t="s">
        <v>21</v>
      </c>
    </row>
    <row r="1158" spans="1:13" x14ac:dyDescent="0.35">
      <c r="A1158" t="s">
        <v>1849</v>
      </c>
      <c r="B1158" t="s">
        <v>416</v>
      </c>
      <c r="C1158" t="s">
        <v>1850</v>
      </c>
      <c r="D1158" t="s">
        <v>40</v>
      </c>
      <c r="E1158" t="s">
        <v>67</v>
      </c>
      <c r="F1158" t="s">
        <v>48</v>
      </c>
      <c r="G1158" t="s">
        <v>63</v>
      </c>
      <c r="H1158">
        <v>348</v>
      </c>
      <c r="I1158">
        <v>40</v>
      </c>
      <c r="J1158">
        <v>30</v>
      </c>
      <c r="K1158" t="s">
        <v>36</v>
      </c>
      <c r="L1158">
        <v>27</v>
      </c>
      <c r="M1158" t="s">
        <v>21</v>
      </c>
    </row>
    <row r="1159" spans="1:13" x14ac:dyDescent="0.35">
      <c r="A1159" t="s">
        <v>1851</v>
      </c>
      <c r="B1159" t="s">
        <v>562</v>
      </c>
      <c r="C1159" t="s">
        <v>1016</v>
      </c>
      <c r="D1159" t="s">
        <v>46</v>
      </c>
      <c r="E1159" t="s">
        <v>70</v>
      </c>
      <c r="F1159" t="s">
        <v>18</v>
      </c>
      <c r="G1159" t="s">
        <v>35</v>
      </c>
      <c r="H1159">
        <v>279</v>
      </c>
      <c r="I1159">
        <v>20</v>
      </c>
      <c r="J1159">
        <v>50</v>
      </c>
      <c r="K1159" t="s">
        <v>29</v>
      </c>
      <c r="L1159">
        <v>34</v>
      </c>
      <c r="M1159" t="s">
        <v>21</v>
      </c>
    </row>
    <row r="1160" spans="1:13" x14ac:dyDescent="0.35">
      <c r="A1160" t="s">
        <v>1852</v>
      </c>
      <c r="B1160" t="s">
        <v>72</v>
      </c>
      <c r="C1160" t="s">
        <v>1598</v>
      </c>
      <c r="D1160" t="s">
        <v>53</v>
      </c>
      <c r="E1160" t="s">
        <v>152</v>
      </c>
      <c r="F1160" t="s">
        <v>18</v>
      </c>
      <c r="G1160" t="s">
        <v>176</v>
      </c>
      <c r="H1160">
        <v>232</v>
      </c>
      <c r="I1160">
        <v>50</v>
      </c>
      <c r="J1160">
        <v>30</v>
      </c>
      <c r="K1160" t="s">
        <v>36</v>
      </c>
      <c r="L1160">
        <v>51</v>
      </c>
      <c r="M1160" t="s">
        <v>21</v>
      </c>
    </row>
    <row r="1161" spans="1:13" x14ac:dyDescent="0.35">
      <c r="A1161" t="s">
        <v>1853</v>
      </c>
      <c r="B1161" t="s">
        <v>336</v>
      </c>
      <c r="C1161" t="s">
        <v>253</v>
      </c>
      <c r="D1161" t="s">
        <v>46</v>
      </c>
      <c r="E1161" t="s">
        <v>47</v>
      </c>
      <c r="F1161" t="s">
        <v>48</v>
      </c>
      <c r="G1161" t="s">
        <v>59</v>
      </c>
      <c r="H1161">
        <v>460</v>
      </c>
      <c r="I1161">
        <v>30</v>
      </c>
      <c r="J1161">
        <v>20</v>
      </c>
      <c r="K1161" t="s">
        <v>20</v>
      </c>
      <c r="L1161">
        <v>25</v>
      </c>
      <c r="M1161" t="s">
        <v>21</v>
      </c>
    </row>
    <row r="1162" spans="1:13" x14ac:dyDescent="0.35">
      <c r="A1162" t="s">
        <v>1854</v>
      </c>
      <c r="B1162" t="s">
        <v>126</v>
      </c>
      <c r="C1162" t="s">
        <v>1855</v>
      </c>
      <c r="D1162" t="s">
        <v>16</v>
      </c>
      <c r="E1162" t="s">
        <v>89</v>
      </c>
      <c r="F1162" t="s">
        <v>18</v>
      </c>
      <c r="G1162" t="s">
        <v>59</v>
      </c>
      <c r="H1162">
        <v>237</v>
      </c>
      <c r="I1162">
        <v>20</v>
      </c>
      <c r="J1162">
        <v>50</v>
      </c>
      <c r="K1162" t="s">
        <v>20</v>
      </c>
      <c r="L1162">
        <v>40</v>
      </c>
      <c r="M1162" t="s">
        <v>21</v>
      </c>
    </row>
    <row r="1163" spans="1:13" x14ac:dyDescent="0.35">
      <c r="A1163" t="s">
        <v>1856</v>
      </c>
      <c r="B1163" t="s">
        <v>241</v>
      </c>
      <c r="C1163" t="s">
        <v>1857</v>
      </c>
      <c r="D1163" t="s">
        <v>16</v>
      </c>
      <c r="E1163" t="s">
        <v>17</v>
      </c>
      <c r="F1163" t="s">
        <v>18</v>
      </c>
      <c r="G1163" t="s">
        <v>63</v>
      </c>
      <c r="H1163">
        <v>468</v>
      </c>
      <c r="I1163">
        <v>30</v>
      </c>
      <c r="J1163">
        <v>100</v>
      </c>
      <c r="K1163" t="s">
        <v>29</v>
      </c>
      <c r="L1163">
        <v>33</v>
      </c>
      <c r="M1163" t="s">
        <v>21</v>
      </c>
    </row>
    <row r="1164" spans="1:13" x14ac:dyDescent="0.35">
      <c r="A1164" t="s">
        <v>1858</v>
      </c>
      <c r="B1164" t="s">
        <v>295</v>
      </c>
      <c r="C1164" t="s">
        <v>301</v>
      </c>
      <c r="D1164" t="s">
        <v>16</v>
      </c>
      <c r="E1164" t="s">
        <v>89</v>
      </c>
      <c r="F1164" t="s">
        <v>18</v>
      </c>
      <c r="G1164" t="s">
        <v>49</v>
      </c>
      <c r="H1164">
        <v>523</v>
      </c>
      <c r="I1164">
        <v>20</v>
      </c>
      <c r="J1164">
        <v>100</v>
      </c>
      <c r="K1164" t="s">
        <v>36</v>
      </c>
      <c r="L1164">
        <v>58</v>
      </c>
      <c r="M1164" t="s">
        <v>21</v>
      </c>
    </row>
    <row r="1165" spans="1:13" x14ac:dyDescent="0.35">
      <c r="A1165" t="s">
        <v>1859</v>
      </c>
      <c r="B1165" t="s">
        <v>310</v>
      </c>
      <c r="C1165" t="s">
        <v>621</v>
      </c>
      <c r="D1165" t="s">
        <v>40</v>
      </c>
      <c r="E1165" t="s">
        <v>67</v>
      </c>
      <c r="F1165" t="s">
        <v>48</v>
      </c>
      <c r="G1165" t="s">
        <v>107</v>
      </c>
      <c r="H1165">
        <v>293</v>
      </c>
      <c r="I1165">
        <v>50</v>
      </c>
      <c r="J1165">
        <v>30</v>
      </c>
      <c r="K1165" t="s">
        <v>36</v>
      </c>
      <c r="L1165">
        <v>34</v>
      </c>
      <c r="M1165" t="s">
        <v>21</v>
      </c>
    </row>
    <row r="1166" spans="1:13" x14ac:dyDescent="0.35">
      <c r="A1166" t="s">
        <v>1860</v>
      </c>
      <c r="B1166" t="s">
        <v>416</v>
      </c>
      <c r="C1166" t="s">
        <v>211</v>
      </c>
      <c r="D1166" t="s">
        <v>46</v>
      </c>
      <c r="E1166" t="s">
        <v>70</v>
      </c>
      <c r="F1166" t="s">
        <v>18</v>
      </c>
      <c r="G1166" t="s">
        <v>59</v>
      </c>
      <c r="H1166">
        <v>253</v>
      </c>
      <c r="I1166">
        <v>20</v>
      </c>
      <c r="J1166">
        <v>30</v>
      </c>
      <c r="K1166" t="s">
        <v>29</v>
      </c>
      <c r="L1166">
        <v>22</v>
      </c>
      <c r="M1166" t="s">
        <v>21</v>
      </c>
    </row>
    <row r="1167" spans="1:13" x14ac:dyDescent="0.35">
      <c r="A1167" t="s">
        <v>1861</v>
      </c>
      <c r="B1167" t="s">
        <v>105</v>
      </c>
      <c r="C1167" t="s">
        <v>1846</v>
      </c>
      <c r="D1167" t="s">
        <v>53</v>
      </c>
      <c r="E1167" t="s">
        <v>54</v>
      </c>
      <c r="F1167" t="s">
        <v>55</v>
      </c>
      <c r="G1167" t="s">
        <v>74</v>
      </c>
      <c r="H1167">
        <v>687</v>
      </c>
      <c r="I1167">
        <v>40</v>
      </c>
      <c r="J1167">
        <v>30</v>
      </c>
      <c r="K1167" t="s">
        <v>20</v>
      </c>
      <c r="L1167">
        <v>46</v>
      </c>
      <c r="M1167" t="s">
        <v>21</v>
      </c>
    </row>
    <row r="1168" spans="1:13" x14ac:dyDescent="0.35">
      <c r="A1168" t="s">
        <v>1862</v>
      </c>
      <c r="B1168" t="s">
        <v>513</v>
      </c>
      <c r="C1168" t="s">
        <v>394</v>
      </c>
      <c r="D1168" t="s">
        <v>25</v>
      </c>
      <c r="E1168" t="s">
        <v>78</v>
      </c>
      <c r="F1168" t="s">
        <v>48</v>
      </c>
      <c r="G1168" t="s">
        <v>28</v>
      </c>
      <c r="H1168">
        <v>160</v>
      </c>
      <c r="I1168">
        <v>20</v>
      </c>
      <c r="J1168">
        <v>0</v>
      </c>
      <c r="K1168" t="s">
        <v>29</v>
      </c>
      <c r="L1168">
        <v>57</v>
      </c>
      <c r="M1168" t="s">
        <v>21</v>
      </c>
    </row>
    <row r="1169" spans="1:13" x14ac:dyDescent="0.35">
      <c r="A1169" t="s">
        <v>1863</v>
      </c>
      <c r="B1169" t="s">
        <v>133</v>
      </c>
      <c r="C1169" t="s">
        <v>1295</v>
      </c>
      <c r="D1169" t="s">
        <v>46</v>
      </c>
      <c r="E1169" t="s">
        <v>47</v>
      </c>
      <c r="F1169" t="s">
        <v>48</v>
      </c>
      <c r="G1169" t="s">
        <v>42</v>
      </c>
      <c r="H1169">
        <v>579</v>
      </c>
      <c r="I1169">
        <v>50</v>
      </c>
      <c r="J1169">
        <v>0</v>
      </c>
      <c r="K1169" t="s">
        <v>36</v>
      </c>
      <c r="L1169">
        <v>29</v>
      </c>
      <c r="M1169" t="s">
        <v>30</v>
      </c>
    </row>
    <row r="1170" spans="1:13" x14ac:dyDescent="0.35">
      <c r="A1170" t="s">
        <v>1864</v>
      </c>
      <c r="B1170" t="s">
        <v>379</v>
      </c>
      <c r="C1170" t="s">
        <v>1114</v>
      </c>
      <c r="D1170" t="s">
        <v>16</v>
      </c>
      <c r="E1170" t="s">
        <v>17</v>
      </c>
      <c r="F1170" t="s">
        <v>18</v>
      </c>
      <c r="G1170" t="s">
        <v>107</v>
      </c>
      <c r="H1170">
        <v>651</v>
      </c>
      <c r="I1170">
        <v>40</v>
      </c>
      <c r="J1170">
        <v>100</v>
      </c>
      <c r="K1170" t="s">
        <v>20</v>
      </c>
      <c r="L1170">
        <v>31</v>
      </c>
      <c r="M1170" t="s">
        <v>21</v>
      </c>
    </row>
    <row r="1171" spans="1:13" x14ac:dyDescent="0.35">
      <c r="A1171" t="s">
        <v>1865</v>
      </c>
      <c r="B1171" t="s">
        <v>583</v>
      </c>
      <c r="C1171" t="s">
        <v>1866</v>
      </c>
      <c r="D1171" t="s">
        <v>25</v>
      </c>
      <c r="E1171" t="s">
        <v>78</v>
      </c>
      <c r="F1171" t="s">
        <v>48</v>
      </c>
      <c r="G1171" t="s">
        <v>63</v>
      </c>
      <c r="H1171">
        <v>350</v>
      </c>
      <c r="I1171">
        <v>30</v>
      </c>
      <c r="J1171">
        <v>0</v>
      </c>
      <c r="K1171" t="s">
        <v>36</v>
      </c>
      <c r="L1171">
        <v>28</v>
      </c>
      <c r="M1171" t="s">
        <v>21</v>
      </c>
    </row>
    <row r="1172" spans="1:13" x14ac:dyDescent="0.35">
      <c r="A1172" t="s">
        <v>1867</v>
      </c>
      <c r="B1172" t="s">
        <v>326</v>
      </c>
      <c r="C1172" t="s">
        <v>909</v>
      </c>
      <c r="D1172" t="s">
        <v>16</v>
      </c>
      <c r="E1172" t="s">
        <v>17</v>
      </c>
      <c r="F1172" t="s">
        <v>18</v>
      </c>
      <c r="G1172" t="s">
        <v>28</v>
      </c>
      <c r="H1172">
        <v>471</v>
      </c>
      <c r="I1172">
        <v>20</v>
      </c>
      <c r="J1172">
        <v>30</v>
      </c>
      <c r="K1172" t="s">
        <v>29</v>
      </c>
      <c r="L1172">
        <v>45</v>
      </c>
      <c r="M1172" t="s">
        <v>21</v>
      </c>
    </row>
    <row r="1173" spans="1:13" x14ac:dyDescent="0.35">
      <c r="A1173" t="s">
        <v>1868</v>
      </c>
      <c r="B1173" t="s">
        <v>473</v>
      </c>
      <c r="C1173" t="s">
        <v>421</v>
      </c>
      <c r="D1173" t="s">
        <v>25</v>
      </c>
      <c r="E1173" t="s">
        <v>78</v>
      </c>
      <c r="F1173" t="s">
        <v>48</v>
      </c>
      <c r="G1173" t="s">
        <v>42</v>
      </c>
      <c r="H1173">
        <v>419</v>
      </c>
      <c r="I1173">
        <v>50</v>
      </c>
      <c r="J1173">
        <v>20</v>
      </c>
      <c r="K1173" t="s">
        <v>36</v>
      </c>
      <c r="L1173">
        <v>49</v>
      </c>
      <c r="M1173" t="s">
        <v>21</v>
      </c>
    </row>
    <row r="1174" spans="1:13" x14ac:dyDescent="0.35">
      <c r="A1174" t="s">
        <v>1869</v>
      </c>
      <c r="B1174" t="s">
        <v>213</v>
      </c>
      <c r="C1174" t="s">
        <v>161</v>
      </c>
      <c r="D1174" t="s">
        <v>16</v>
      </c>
      <c r="E1174" t="s">
        <v>131</v>
      </c>
      <c r="F1174" t="s">
        <v>55</v>
      </c>
      <c r="G1174" t="s">
        <v>28</v>
      </c>
      <c r="H1174">
        <v>283</v>
      </c>
      <c r="I1174">
        <v>30</v>
      </c>
      <c r="J1174">
        <v>30</v>
      </c>
      <c r="K1174" t="s">
        <v>36</v>
      </c>
      <c r="L1174">
        <v>49</v>
      </c>
      <c r="M1174" t="s">
        <v>21</v>
      </c>
    </row>
    <row r="1175" spans="1:13" x14ac:dyDescent="0.35">
      <c r="A1175" t="s">
        <v>1870</v>
      </c>
      <c r="B1175" t="s">
        <v>199</v>
      </c>
      <c r="C1175" t="s">
        <v>1871</v>
      </c>
      <c r="D1175" t="s">
        <v>25</v>
      </c>
      <c r="E1175" t="s">
        <v>26</v>
      </c>
      <c r="F1175" t="s">
        <v>27</v>
      </c>
      <c r="G1175" t="s">
        <v>59</v>
      </c>
      <c r="H1175">
        <v>308</v>
      </c>
      <c r="I1175">
        <v>30</v>
      </c>
      <c r="J1175">
        <v>0</v>
      </c>
      <c r="K1175" t="s">
        <v>36</v>
      </c>
      <c r="L1175">
        <v>29</v>
      </c>
      <c r="M1175" t="s">
        <v>21</v>
      </c>
    </row>
    <row r="1176" spans="1:13" x14ac:dyDescent="0.35">
      <c r="A1176" t="s">
        <v>1872</v>
      </c>
      <c r="B1176" t="s">
        <v>150</v>
      </c>
      <c r="C1176" t="s">
        <v>510</v>
      </c>
      <c r="D1176" t="s">
        <v>46</v>
      </c>
      <c r="E1176" t="s">
        <v>70</v>
      </c>
      <c r="F1176" t="s">
        <v>18</v>
      </c>
      <c r="G1176" t="s">
        <v>107</v>
      </c>
      <c r="H1176">
        <v>690</v>
      </c>
      <c r="I1176">
        <v>20</v>
      </c>
      <c r="J1176">
        <v>50</v>
      </c>
      <c r="K1176" t="s">
        <v>36</v>
      </c>
      <c r="L1176">
        <v>34</v>
      </c>
      <c r="M1176" t="s">
        <v>21</v>
      </c>
    </row>
    <row r="1177" spans="1:13" x14ac:dyDescent="0.35">
      <c r="A1177" t="s">
        <v>1873</v>
      </c>
      <c r="B1177" t="s">
        <v>91</v>
      </c>
      <c r="C1177" t="s">
        <v>24</v>
      </c>
      <c r="D1177" t="s">
        <v>25</v>
      </c>
      <c r="E1177" t="s">
        <v>78</v>
      </c>
      <c r="F1177" t="s">
        <v>48</v>
      </c>
      <c r="G1177" t="s">
        <v>74</v>
      </c>
      <c r="H1177">
        <v>594</v>
      </c>
      <c r="I1177">
        <v>20</v>
      </c>
      <c r="J1177">
        <v>0</v>
      </c>
      <c r="K1177" t="s">
        <v>36</v>
      </c>
      <c r="L1177">
        <v>33</v>
      </c>
      <c r="M1177" t="s">
        <v>21</v>
      </c>
    </row>
    <row r="1178" spans="1:13" x14ac:dyDescent="0.35">
      <c r="A1178" t="s">
        <v>1874</v>
      </c>
      <c r="B1178" t="s">
        <v>322</v>
      </c>
      <c r="C1178" t="s">
        <v>1687</v>
      </c>
      <c r="D1178" t="s">
        <v>25</v>
      </c>
      <c r="E1178" t="s">
        <v>34</v>
      </c>
      <c r="F1178" t="s">
        <v>27</v>
      </c>
      <c r="G1178" t="s">
        <v>19</v>
      </c>
      <c r="H1178">
        <v>782</v>
      </c>
      <c r="I1178">
        <v>50</v>
      </c>
      <c r="J1178">
        <v>0</v>
      </c>
      <c r="K1178" t="s">
        <v>36</v>
      </c>
      <c r="L1178">
        <v>56</v>
      </c>
      <c r="M1178" t="s">
        <v>21</v>
      </c>
    </row>
    <row r="1179" spans="1:13" x14ac:dyDescent="0.35">
      <c r="A1179" t="s">
        <v>1875</v>
      </c>
      <c r="B1179" t="s">
        <v>96</v>
      </c>
      <c r="C1179" t="s">
        <v>1765</v>
      </c>
      <c r="D1179" t="s">
        <v>25</v>
      </c>
      <c r="E1179" t="s">
        <v>34</v>
      </c>
      <c r="F1179" t="s">
        <v>27</v>
      </c>
      <c r="G1179" t="s">
        <v>19</v>
      </c>
      <c r="H1179">
        <v>393</v>
      </c>
      <c r="I1179">
        <v>40</v>
      </c>
      <c r="J1179">
        <v>20</v>
      </c>
      <c r="K1179" t="s">
        <v>20</v>
      </c>
      <c r="L1179">
        <v>57</v>
      </c>
      <c r="M1179" t="s">
        <v>21</v>
      </c>
    </row>
    <row r="1180" spans="1:13" x14ac:dyDescent="0.35">
      <c r="A1180" t="s">
        <v>1876</v>
      </c>
      <c r="B1180" t="s">
        <v>486</v>
      </c>
      <c r="C1180" t="s">
        <v>1877</v>
      </c>
      <c r="D1180" t="s">
        <v>53</v>
      </c>
      <c r="E1180" t="s">
        <v>84</v>
      </c>
      <c r="F1180" t="s">
        <v>85</v>
      </c>
      <c r="G1180" t="s">
        <v>63</v>
      </c>
      <c r="H1180">
        <v>263</v>
      </c>
      <c r="I1180">
        <v>40</v>
      </c>
      <c r="J1180">
        <v>30</v>
      </c>
      <c r="K1180" t="s">
        <v>20</v>
      </c>
      <c r="L1180">
        <v>45</v>
      </c>
      <c r="M1180" t="s">
        <v>21</v>
      </c>
    </row>
    <row r="1181" spans="1:13" x14ac:dyDescent="0.35">
      <c r="A1181" t="s">
        <v>1878</v>
      </c>
      <c r="B1181" t="s">
        <v>393</v>
      </c>
      <c r="C1181" t="s">
        <v>1879</v>
      </c>
      <c r="D1181" t="s">
        <v>46</v>
      </c>
      <c r="E1181" t="s">
        <v>47</v>
      </c>
      <c r="F1181" t="s">
        <v>48</v>
      </c>
      <c r="G1181" t="s">
        <v>49</v>
      </c>
      <c r="H1181">
        <v>766</v>
      </c>
      <c r="I1181">
        <v>40</v>
      </c>
      <c r="J1181">
        <v>0</v>
      </c>
      <c r="K1181" t="s">
        <v>29</v>
      </c>
      <c r="L1181">
        <v>52</v>
      </c>
      <c r="M1181" t="s">
        <v>30</v>
      </c>
    </row>
    <row r="1182" spans="1:13" x14ac:dyDescent="0.35">
      <c r="A1182" t="s">
        <v>1880</v>
      </c>
      <c r="B1182" t="s">
        <v>146</v>
      </c>
      <c r="C1182" t="s">
        <v>759</v>
      </c>
      <c r="D1182" t="s">
        <v>40</v>
      </c>
      <c r="E1182" t="s">
        <v>41</v>
      </c>
      <c r="F1182" t="s">
        <v>27</v>
      </c>
      <c r="G1182" t="s">
        <v>35</v>
      </c>
      <c r="H1182">
        <v>519</v>
      </c>
      <c r="I1182">
        <v>30</v>
      </c>
      <c r="J1182">
        <v>20</v>
      </c>
      <c r="K1182" t="s">
        <v>36</v>
      </c>
      <c r="L1182">
        <v>31</v>
      </c>
      <c r="M1182" t="s">
        <v>21</v>
      </c>
    </row>
    <row r="1183" spans="1:13" x14ac:dyDescent="0.35">
      <c r="A1183" t="s">
        <v>1881</v>
      </c>
      <c r="B1183" t="s">
        <v>154</v>
      </c>
      <c r="C1183" t="s">
        <v>606</v>
      </c>
      <c r="D1183" t="s">
        <v>25</v>
      </c>
      <c r="E1183" t="s">
        <v>78</v>
      </c>
      <c r="F1183" t="s">
        <v>48</v>
      </c>
      <c r="G1183" t="s">
        <v>49</v>
      </c>
      <c r="H1183">
        <v>279</v>
      </c>
      <c r="I1183">
        <v>30</v>
      </c>
      <c r="J1183">
        <v>0</v>
      </c>
      <c r="K1183" t="s">
        <v>20</v>
      </c>
      <c r="L1183">
        <v>41</v>
      </c>
      <c r="M1183" t="s">
        <v>21</v>
      </c>
    </row>
    <row r="1184" spans="1:13" x14ac:dyDescent="0.35">
      <c r="A1184" t="s">
        <v>1882</v>
      </c>
      <c r="B1184" t="s">
        <v>91</v>
      </c>
      <c r="C1184" t="s">
        <v>1141</v>
      </c>
      <c r="D1184" t="s">
        <v>16</v>
      </c>
      <c r="E1184" t="s">
        <v>89</v>
      </c>
      <c r="F1184" t="s">
        <v>18</v>
      </c>
      <c r="G1184" t="s">
        <v>107</v>
      </c>
      <c r="H1184">
        <v>777</v>
      </c>
      <c r="I1184">
        <v>40</v>
      </c>
      <c r="J1184">
        <v>100</v>
      </c>
      <c r="K1184" t="s">
        <v>36</v>
      </c>
      <c r="L1184">
        <v>25</v>
      </c>
      <c r="M1184" t="s">
        <v>21</v>
      </c>
    </row>
    <row r="1185" spans="1:13" x14ac:dyDescent="0.35">
      <c r="A1185" t="s">
        <v>1883</v>
      </c>
      <c r="B1185" t="s">
        <v>339</v>
      </c>
      <c r="C1185" t="s">
        <v>457</v>
      </c>
      <c r="D1185" t="s">
        <v>46</v>
      </c>
      <c r="E1185" t="s">
        <v>148</v>
      </c>
      <c r="F1185" t="s">
        <v>27</v>
      </c>
      <c r="G1185" t="s">
        <v>42</v>
      </c>
      <c r="H1185">
        <v>656</v>
      </c>
      <c r="I1185">
        <v>30</v>
      </c>
      <c r="J1185">
        <v>20</v>
      </c>
      <c r="K1185" t="s">
        <v>36</v>
      </c>
      <c r="L1185">
        <v>24</v>
      </c>
      <c r="M1185" t="s">
        <v>21</v>
      </c>
    </row>
    <row r="1186" spans="1:13" x14ac:dyDescent="0.35">
      <c r="A1186" t="s">
        <v>1884</v>
      </c>
      <c r="B1186" t="s">
        <v>91</v>
      </c>
      <c r="C1186" t="s">
        <v>1760</v>
      </c>
      <c r="D1186" t="s">
        <v>25</v>
      </c>
      <c r="E1186" t="s">
        <v>34</v>
      </c>
      <c r="F1186" t="s">
        <v>27</v>
      </c>
      <c r="G1186" t="s">
        <v>28</v>
      </c>
      <c r="H1186">
        <v>523</v>
      </c>
      <c r="I1186">
        <v>20</v>
      </c>
      <c r="J1186">
        <v>20</v>
      </c>
      <c r="K1186" t="s">
        <v>29</v>
      </c>
      <c r="L1186">
        <v>57</v>
      </c>
      <c r="M1186" t="s">
        <v>21</v>
      </c>
    </row>
    <row r="1187" spans="1:13" x14ac:dyDescent="0.35">
      <c r="A1187" t="s">
        <v>1885</v>
      </c>
      <c r="B1187" t="s">
        <v>473</v>
      </c>
      <c r="C1187" t="s">
        <v>1173</v>
      </c>
      <c r="D1187" t="s">
        <v>40</v>
      </c>
      <c r="E1187" t="s">
        <v>111</v>
      </c>
      <c r="F1187" t="s">
        <v>18</v>
      </c>
      <c r="G1187" t="s">
        <v>107</v>
      </c>
      <c r="H1187">
        <v>519</v>
      </c>
      <c r="I1187">
        <v>20</v>
      </c>
      <c r="J1187">
        <v>0</v>
      </c>
      <c r="K1187" t="s">
        <v>36</v>
      </c>
      <c r="L1187">
        <v>48</v>
      </c>
      <c r="M1187" t="s">
        <v>21</v>
      </c>
    </row>
    <row r="1188" spans="1:13" x14ac:dyDescent="0.35">
      <c r="A1188" t="s">
        <v>1886</v>
      </c>
      <c r="B1188" t="s">
        <v>562</v>
      </c>
      <c r="C1188" t="s">
        <v>789</v>
      </c>
      <c r="D1188" t="s">
        <v>25</v>
      </c>
      <c r="E1188" t="s">
        <v>78</v>
      </c>
      <c r="F1188" t="s">
        <v>48</v>
      </c>
      <c r="G1188" t="s">
        <v>107</v>
      </c>
      <c r="H1188">
        <v>697</v>
      </c>
      <c r="I1188">
        <v>40</v>
      </c>
      <c r="J1188">
        <v>20</v>
      </c>
      <c r="K1188" t="s">
        <v>20</v>
      </c>
      <c r="L1188">
        <v>34</v>
      </c>
      <c r="M1188" t="s">
        <v>21</v>
      </c>
    </row>
    <row r="1189" spans="1:13" x14ac:dyDescent="0.35">
      <c r="A1189" t="s">
        <v>1887</v>
      </c>
      <c r="B1189" t="s">
        <v>150</v>
      </c>
      <c r="C1189" t="s">
        <v>922</v>
      </c>
      <c r="D1189" t="s">
        <v>40</v>
      </c>
      <c r="E1189" t="s">
        <v>111</v>
      </c>
      <c r="F1189" t="s">
        <v>18</v>
      </c>
      <c r="G1189" t="s">
        <v>19</v>
      </c>
      <c r="H1189">
        <v>252</v>
      </c>
      <c r="I1189">
        <v>40</v>
      </c>
      <c r="J1189">
        <v>50</v>
      </c>
      <c r="K1189" t="s">
        <v>36</v>
      </c>
      <c r="L1189">
        <v>41</v>
      </c>
      <c r="M1189" t="s">
        <v>21</v>
      </c>
    </row>
    <row r="1190" spans="1:13" x14ac:dyDescent="0.35">
      <c r="A1190" t="s">
        <v>1888</v>
      </c>
      <c r="B1190" t="s">
        <v>273</v>
      </c>
      <c r="C1190" t="s">
        <v>409</v>
      </c>
      <c r="D1190" t="s">
        <v>25</v>
      </c>
      <c r="E1190" t="s">
        <v>26</v>
      </c>
      <c r="F1190" t="s">
        <v>27</v>
      </c>
      <c r="G1190" t="s">
        <v>74</v>
      </c>
      <c r="H1190">
        <v>498</v>
      </c>
      <c r="I1190">
        <v>50</v>
      </c>
      <c r="J1190">
        <v>100</v>
      </c>
      <c r="K1190" t="s">
        <v>36</v>
      </c>
      <c r="L1190">
        <v>49</v>
      </c>
      <c r="M1190" t="s">
        <v>21</v>
      </c>
    </row>
    <row r="1191" spans="1:13" x14ac:dyDescent="0.35">
      <c r="A1191" t="s">
        <v>1889</v>
      </c>
      <c r="B1191" t="s">
        <v>72</v>
      </c>
      <c r="C1191" t="s">
        <v>359</v>
      </c>
      <c r="D1191" t="s">
        <v>46</v>
      </c>
      <c r="E1191" t="s">
        <v>70</v>
      </c>
      <c r="F1191" t="s">
        <v>18</v>
      </c>
      <c r="G1191" t="s">
        <v>74</v>
      </c>
      <c r="H1191">
        <v>369</v>
      </c>
      <c r="I1191">
        <v>30</v>
      </c>
      <c r="J1191">
        <v>20</v>
      </c>
      <c r="K1191" t="s">
        <v>20</v>
      </c>
      <c r="L1191">
        <v>50</v>
      </c>
      <c r="M1191" t="s">
        <v>21</v>
      </c>
    </row>
    <row r="1192" spans="1:13" x14ac:dyDescent="0.35">
      <c r="A1192" t="s">
        <v>1890</v>
      </c>
      <c r="B1192" t="s">
        <v>72</v>
      </c>
      <c r="C1192" t="s">
        <v>508</v>
      </c>
      <c r="D1192" t="s">
        <v>46</v>
      </c>
      <c r="E1192" t="s">
        <v>148</v>
      </c>
      <c r="F1192" t="s">
        <v>27</v>
      </c>
      <c r="G1192" t="s">
        <v>107</v>
      </c>
      <c r="H1192">
        <v>166</v>
      </c>
      <c r="I1192">
        <v>40</v>
      </c>
      <c r="J1192">
        <v>50</v>
      </c>
      <c r="K1192" t="s">
        <v>29</v>
      </c>
      <c r="L1192">
        <v>20</v>
      </c>
      <c r="M1192" t="s">
        <v>21</v>
      </c>
    </row>
    <row r="1193" spans="1:13" x14ac:dyDescent="0.35">
      <c r="A1193" t="s">
        <v>1891</v>
      </c>
      <c r="B1193" t="s">
        <v>342</v>
      </c>
      <c r="C1193" t="s">
        <v>756</v>
      </c>
      <c r="D1193" t="s">
        <v>16</v>
      </c>
      <c r="E1193" t="s">
        <v>131</v>
      </c>
      <c r="F1193" t="s">
        <v>55</v>
      </c>
      <c r="G1193" t="s">
        <v>28</v>
      </c>
      <c r="H1193">
        <v>784</v>
      </c>
      <c r="I1193">
        <v>40</v>
      </c>
      <c r="J1193">
        <v>20</v>
      </c>
      <c r="K1193" t="s">
        <v>20</v>
      </c>
      <c r="L1193">
        <v>27</v>
      </c>
      <c r="M1193" t="s">
        <v>21</v>
      </c>
    </row>
    <row r="1194" spans="1:13" x14ac:dyDescent="0.35">
      <c r="A1194" t="s">
        <v>1892</v>
      </c>
      <c r="B1194" t="s">
        <v>326</v>
      </c>
      <c r="C1194" t="s">
        <v>1893</v>
      </c>
      <c r="D1194" t="s">
        <v>53</v>
      </c>
      <c r="E1194" t="s">
        <v>84</v>
      </c>
      <c r="F1194" t="s">
        <v>85</v>
      </c>
      <c r="G1194" t="s">
        <v>28</v>
      </c>
      <c r="H1194">
        <v>450</v>
      </c>
      <c r="I1194">
        <v>20</v>
      </c>
      <c r="J1194">
        <v>100</v>
      </c>
      <c r="K1194" t="s">
        <v>29</v>
      </c>
      <c r="L1194">
        <v>31</v>
      </c>
      <c r="M1194" t="s">
        <v>21</v>
      </c>
    </row>
    <row r="1195" spans="1:13" x14ac:dyDescent="0.35">
      <c r="A1195" t="s">
        <v>1894</v>
      </c>
      <c r="B1195" t="s">
        <v>476</v>
      </c>
      <c r="C1195" t="s">
        <v>1450</v>
      </c>
      <c r="D1195" t="s">
        <v>16</v>
      </c>
      <c r="E1195" t="s">
        <v>131</v>
      </c>
      <c r="F1195" t="s">
        <v>55</v>
      </c>
      <c r="G1195" t="s">
        <v>74</v>
      </c>
      <c r="H1195">
        <v>572</v>
      </c>
      <c r="I1195">
        <v>40</v>
      </c>
      <c r="J1195">
        <v>0</v>
      </c>
      <c r="K1195" t="s">
        <v>29</v>
      </c>
      <c r="L1195">
        <v>55</v>
      </c>
      <c r="M1195" t="s">
        <v>21</v>
      </c>
    </row>
    <row r="1196" spans="1:13" x14ac:dyDescent="0.35">
      <c r="A1196" t="s">
        <v>1895</v>
      </c>
      <c r="B1196" t="s">
        <v>580</v>
      </c>
      <c r="C1196" t="s">
        <v>1537</v>
      </c>
      <c r="D1196" t="s">
        <v>40</v>
      </c>
      <c r="E1196" t="s">
        <v>111</v>
      </c>
      <c r="F1196" t="s">
        <v>18</v>
      </c>
      <c r="G1196" t="s">
        <v>19</v>
      </c>
      <c r="H1196">
        <v>368</v>
      </c>
      <c r="I1196">
        <v>50</v>
      </c>
      <c r="J1196">
        <v>30</v>
      </c>
      <c r="K1196" t="s">
        <v>29</v>
      </c>
      <c r="L1196">
        <v>29</v>
      </c>
      <c r="M1196" t="s">
        <v>21</v>
      </c>
    </row>
    <row r="1197" spans="1:13" x14ac:dyDescent="0.35">
      <c r="A1197" t="s">
        <v>1896</v>
      </c>
      <c r="B1197" t="s">
        <v>413</v>
      </c>
      <c r="C1197" t="s">
        <v>227</v>
      </c>
      <c r="D1197" t="s">
        <v>25</v>
      </c>
      <c r="E1197" t="s">
        <v>78</v>
      </c>
      <c r="F1197" t="s">
        <v>48</v>
      </c>
      <c r="G1197" t="s">
        <v>35</v>
      </c>
      <c r="H1197">
        <v>440</v>
      </c>
      <c r="I1197">
        <v>20</v>
      </c>
      <c r="J1197">
        <v>20</v>
      </c>
      <c r="K1197" t="s">
        <v>36</v>
      </c>
      <c r="L1197">
        <v>36</v>
      </c>
      <c r="M1197" t="s">
        <v>21</v>
      </c>
    </row>
    <row r="1198" spans="1:13" x14ac:dyDescent="0.35">
      <c r="A1198" t="s">
        <v>1897</v>
      </c>
      <c r="B1198" t="s">
        <v>336</v>
      </c>
      <c r="C1198" t="s">
        <v>993</v>
      </c>
      <c r="D1198" t="s">
        <v>53</v>
      </c>
      <c r="E1198" t="s">
        <v>84</v>
      </c>
      <c r="F1198" t="s">
        <v>85</v>
      </c>
      <c r="G1198" t="s">
        <v>42</v>
      </c>
      <c r="H1198">
        <v>777</v>
      </c>
      <c r="I1198">
        <v>20</v>
      </c>
      <c r="J1198">
        <v>0</v>
      </c>
      <c r="K1198" t="s">
        <v>36</v>
      </c>
      <c r="L1198">
        <v>30</v>
      </c>
      <c r="M1198" t="s">
        <v>21</v>
      </c>
    </row>
    <row r="1199" spans="1:13" x14ac:dyDescent="0.35">
      <c r="A1199" t="s">
        <v>1898</v>
      </c>
      <c r="B1199" t="s">
        <v>218</v>
      </c>
      <c r="C1199" t="s">
        <v>791</v>
      </c>
      <c r="D1199" t="s">
        <v>53</v>
      </c>
      <c r="E1199" t="s">
        <v>54</v>
      </c>
      <c r="F1199" t="s">
        <v>55</v>
      </c>
      <c r="G1199" t="s">
        <v>176</v>
      </c>
      <c r="H1199">
        <v>477</v>
      </c>
      <c r="I1199">
        <v>40</v>
      </c>
      <c r="J1199">
        <v>20</v>
      </c>
      <c r="K1199" t="s">
        <v>29</v>
      </c>
      <c r="L1199">
        <v>25</v>
      </c>
      <c r="M1199" t="s">
        <v>21</v>
      </c>
    </row>
    <row r="1200" spans="1:13" x14ac:dyDescent="0.35">
      <c r="A1200" t="s">
        <v>1899</v>
      </c>
      <c r="B1200" t="s">
        <v>181</v>
      </c>
      <c r="C1200" t="s">
        <v>1024</v>
      </c>
      <c r="D1200" t="s">
        <v>40</v>
      </c>
      <c r="E1200" t="s">
        <v>41</v>
      </c>
      <c r="F1200" t="s">
        <v>27</v>
      </c>
      <c r="G1200" t="s">
        <v>35</v>
      </c>
      <c r="H1200">
        <v>663</v>
      </c>
      <c r="I1200">
        <v>40</v>
      </c>
      <c r="J1200">
        <v>20</v>
      </c>
      <c r="K1200" t="s">
        <v>20</v>
      </c>
      <c r="L1200">
        <v>38</v>
      </c>
      <c r="M1200" t="s">
        <v>21</v>
      </c>
    </row>
    <row r="1201" spans="1:13" x14ac:dyDescent="0.35">
      <c r="A1201" t="s">
        <v>1900</v>
      </c>
      <c r="B1201" t="s">
        <v>69</v>
      </c>
      <c r="C1201" t="s">
        <v>1828</v>
      </c>
      <c r="D1201" t="s">
        <v>25</v>
      </c>
      <c r="E1201" t="s">
        <v>26</v>
      </c>
      <c r="F1201" t="s">
        <v>27</v>
      </c>
      <c r="G1201" t="s">
        <v>63</v>
      </c>
      <c r="H1201">
        <v>736</v>
      </c>
      <c r="I1201">
        <v>40</v>
      </c>
      <c r="J1201">
        <v>0</v>
      </c>
      <c r="K1201" t="s">
        <v>20</v>
      </c>
      <c r="L1201">
        <v>60</v>
      </c>
      <c r="M1201" t="s">
        <v>21</v>
      </c>
    </row>
    <row r="1202" spans="1:13" x14ac:dyDescent="0.35">
      <c r="A1202" t="s">
        <v>1901</v>
      </c>
      <c r="B1202" t="s">
        <v>205</v>
      </c>
      <c r="C1202" t="s">
        <v>1051</v>
      </c>
      <c r="D1202" t="s">
        <v>46</v>
      </c>
      <c r="E1202" t="s">
        <v>148</v>
      </c>
      <c r="F1202" t="s">
        <v>27</v>
      </c>
      <c r="G1202" t="s">
        <v>74</v>
      </c>
      <c r="H1202">
        <v>744</v>
      </c>
      <c r="I1202">
        <v>40</v>
      </c>
      <c r="J1202">
        <v>50</v>
      </c>
      <c r="K1202" t="s">
        <v>20</v>
      </c>
      <c r="L1202">
        <v>45</v>
      </c>
      <c r="M1202" t="s">
        <v>21</v>
      </c>
    </row>
    <row r="1203" spans="1:13" x14ac:dyDescent="0.35">
      <c r="A1203" t="s">
        <v>1902</v>
      </c>
      <c r="B1203" t="s">
        <v>286</v>
      </c>
      <c r="C1203" t="s">
        <v>144</v>
      </c>
      <c r="D1203" t="s">
        <v>16</v>
      </c>
      <c r="E1203" t="s">
        <v>17</v>
      </c>
      <c r="F1203" t="s">
        <v>18</v>
      </c>
      <c r="G1203" t="s">
        <v>59</v>
      </c>
      <c r="H1203">
        <v>508</v>
      </c>
      <c r="I1203">
        <v>20</v>
      </c>
      <c r="J1203">
        <v>20</v>
      </c>
      <c r="K1203" t="s">
        <v>29</v>
      </c>
      <c r="L1203">
        <v>59</v>
      </c>
      <c r="M1203" t="s">
        <v>21</v>
      </c>
    </row>
    <row r="1204" spans="1:13" x14ac:dyDescent="0.35">
      <c r="A1204" t="s">
        <v>1903</v>
      </c>
      <c r="B1204" t="s">
        <v>398</v>
      </c>
      <c r="C1204" t="s">
        <v>1423</v>
      </c>
      <c r="D1204" t="s">
        <v>16</v>
      </c>
      <c r="E1204" t="s">
        <v>131</v>
      </c>
      <c r="F1204" t="s">
        <v>55</v>
      </c>
      <c r="G1204" t="s">
        <v>19</v>
      </c>
      <c r="H1204">
        <v>188</v>
      </c>
      <c r="I1204">
        <v>20</v>
      </c>
      <c r="J1204">
        <v>50</v>
      </c>
      <c r="K1204" t="s">
        <v>36</v>
      </c>
      <c r="L1204">
        <v>31</v>
      </c>
      <c r="M1204" t="s">
        <v>21</v>
      </c>
    </row>
    <row r="1205" spans="1:13" x14ac:dyDescent="0.35">
      <c r="A1205" t="s">
        <v>1904</v>
      </c>
      <c r="B1205" t="s">
        <v>181</v>
      </c>
      <c r="C1205" t="s">
        <v>952</v>
      </c>
      <c r="D1205" t="s">
        <v>16</v>
      </c>
      <c r="E1205" t="s">
        <v>89</v>
      </c>
      <c r="F1205" t="s">
        <v>18</v>
      </c>
      <c r="G1205" t="s">
        <v>107</v>
      </c>
      <c r="H1205">
        <v>314</v>
      </c>
      <c r="I1205">
        <v>40</v>
      </c>
      <c r="J1205">
        <v>20</v>
      </c>
      <c r="K1205" t="s">
        <v>20</v>
      </c>
      <c r="L1205">
        <v>46</v>
      </c>
      <c r="M1205" t="s">
        <v>21</v>
      </c>
    </row>
    <row r="1206" spans="1:13" x14ac:dyDescent="0.35">
      <c r="A1206" t="s">
        <v>1905</v>
      </c>
      <c r="B1206" t="s">
        <v>181</v>
      </c>
      <c r="C1206" t="s">
        <v>1144</v>
      </c>
      <c r="D1206" t="s">
        <v>40</v>
      </c>
      <c r="E1206" t="s">
        <v>67</v>
      </c>
      <c r="F1206" t="s">
        <v>48</v>
      </c>
      <c r="G1206" t="s">
        <v>19</v>
      </c>
      <c r="H1206">
        <v>388</v>
      </c>
      <c r="I1206">
        <v>30</v>
      </c>
      <c r="J1206">
        <v>100</v>
      </c>
      <c r="K1206" t="s">
        <v>36</v>
      </c>
      <c r="L1206">
        <v>23</v>
      </c>
      <c r="M1206" t="s">
        <v>21</v>
      </c>
    </row>
    <row r="1207" spans="1:13" x14ac:dyDescent="0.35">
      <c r="A1207" t="s">
        <v>1906</v>
      </c>
      <c r="B1207" t="s">
        <v>583</v>
      </c>
      <c r="C1207" t="s">
        <v>1907</v>
      </c>
      <c r="D1207" t="s">
        <v>53</v>
      </c>
      <c r="E1207" t="s">
        <v>84</v>
      </c>
      <c r="F1207" t="s">
        <v>85</v>
      </c>
      <c r="G1207" t="s">
        <v>28</v>
      </c>
      <c r="H1207">
        <v>281</v>
      </c>
      <c r="I1207">
        <v>20</v>
      </c>
      <c r="J1207">
        <v>20</v>
      </c>
      <c r="K1207" t="s">
        <v>29</v>
      </c>
      <c r="L1207">
        <v>44</v>
      </c>
      <c r="M1207" t="s">
        <v>21</v>
      </c>
    </row>
    <row r="1208" spans="1:13" x14ac:dyDescent="0.35">
      <c r="A1208" t="s">
        <v>1908</v>
      </c>
      <c r="B1208" t="s">
        <v>174</v>
      </c>
      <c r="C1208" t="s">
        <v>1909</v>
      </c>
      <c r="D1208" t="s">
        <v>16</v>
      </c>
      <c r="E1208" t="s">
        <v>17</v>
      </c>
      <c r="F1208" t="s">
        <v>18</v>
      </c>
      <c r="G1208" t="s">
        <v>59</v>
      </c>
      <c r="H1208">
        <v>482</v>
      </c>
      <c r="I1208">
        <v>40</v>
      </c>
      <c r="J1208">
        <v>20</v>
      </c>
      <c r="K1208" t="s">
        <v>36</v>
      </c>
      <c r="L1208">
        <v>23</v>
      </c>
      <c r="M1208" t="s">
        <v>21</v>
      </c>
    </row>
    <row r="1209" spans="1:13" x14ac:dyDescent="0.35">
      <c r="A1209" t="s">
        <v>1910</v>
      </c>
      <c r="B1209" t="s">
        <v>273</v>
      </c>
      <c r="C1209" t="s">
        <v>1774</v>
      </c>
      <c r="D1209" t="s">
        <v>53</v>
      </c>
      <c r="E1209" t="s">
        <v>84</v>
      </c>
      <c r="F1209" t="s">
        <v>85</v>
      </c>
      <c r="G1209" t="s">
        <v>176</v>
      </c>
      <c r="H1209">
        <v>629</v>
      </c>
      <c r="I1209">
        <v>30</v>
      </c>
      <c r="J1209">
        <v>20</v>
      </c>
      <c r="K1209" t="s">
        <v>36</v>
      </c>
      <c r="L1209">
        <v>56</v>
      </c>
      <c r="M1209" t="s">
        <v>21</v>
      </c>
    </row>
    <row r="1210" spans="1:13" x14ac:dyDescent="0.35">
      <c r="A1210" t="s">
        <v>1911</v>
      </c>
      <c r="B1210" t="s">
        <v>14</v>
      </c>
      <c r="C1210" t="s">
        <v>1012</v>
      </c>
      <c r="D1210" t="s">
        <v>40</v>
      </c>
      <c r="E1210" t="s">
        <v>111</v>
      </c>
      <c r="F1210" t="s">
        <v>18</v>
      </c>
      <c r="G1210" t="s">
        <v>42</v>
      </c>
      <c r="H1210">
        <v>197</v>
      </c>
      <c r="I1210">
        <v>30</v>
      </c>
      <c r="J1210">
        <v>20</v>
      </c>
      <c r="K1210" t="s">
        <v>29</v>
      </c>
      <c r="L1210">
        <v>48</v>
      </c>
      <c r="M1210" t="s">
        <v>21</v>
      </c>
    </row>
    <row r="1211" spans="1:13" x14ac:dyDescent="0.35">
      <c r="A1211" t="s">
        <v>1912</v>
      </c>
      <c r="B1211" t="s">
        <v>102</v>
      </c>
      <c r="C1211" t="s">
        <v>1913</v>
      </c>
      <c r="D1211" t="s">
        <v>40</v>
      </c>
      <c r="E1211" t="s">
        <v>67</v>
      </c>
      <c r="F1211" t="s">
        <v>48</v>
      </c>
      <c r="G1211" t="s">
        <v>19</v>
      </c>
      <c r="H1211">
        <v>591</v>
      </c>
      <c r="I1211">
        <v>20</v>
      </c>
      <c r="J1211">
        <v>50</v>
      </c>
      <c r="K1211" t="s">
        <v>36</v>
      </c>
      <c r="L1211">
        <v>57</v>
      </c>
      <c r="M1211" t="s">
        <v>21</v>
      </c>
    </row>
    <row r="1212" spans="1:13" x14ac:dyDescent="0.35">
      <c r="A1212" t="s">
        <v>1914</v>
      </c>
      <c r="B1212" t="s">
        <v>416</v>
      </c>
      <c r="C1212" t="s">
        <v>944</v>
      </c>
      <c r="D1212" t="s">
        <v>53</v>
      </c>
      <c r="E1212" t="s">
        <v>152</v>
      </c>
      <c r="F1212" t="s">
        <v>18</v>
      </c>
      <c r="G1212" t="s">
        <v>63</v>
      </c>
      <c r="H1212">
        <v>426</v>
      </c>
      <c r="I1212">
        <v>50</v>
      </c>
      <c r="J1212">
        <v>0</v>
      </c>
      <c r="K1212" t="s">
        <v>29</v>
      </c>
      <c r="L1212">
        <v>43</v>
      </c>
      <c r="M1212" t="s">
        <v>21</v>
      </c>
    </row>
    <row r="1213" spans="1:13" x14ac:dyDescent="0.35">
      <c r="A1213" t="s">
        <v>1915</v>
      </c>
      <c r="B1213" t="s">
        <v>526</v>
      </c>
      <c r="C1213" t="s">
        <v>482</v>
      </c>
      <c r="D1213" t="s">
        <v>46</v>
      </c>
      <c r="E1213" t="s">
        <v>148</v>
      </c>
      <c r="F1213" t="s">
        <v>27</v>
      </c>
      <c r="G1213" t="s">
        <v>42</v>
      </c>
      <c r="H1213">
        <v>522</v>
      </c>
      <c r="I1213">
        <v>20</v>
      </c>
      <c r="J1213">
        <v>0</v>
      </c>
      <c r="K1213" t="s">
        <v>36</v>
      </c>
      <c r="L1213">
        <v>53</v>
      </c>
      <c r="M1213" t="s">
        <v>21</v>
      </c>
    </row>
    <row r="1214" spans="1:13" x14ac:dyDescent="0.35">
      <c r="A1214" t="s">
        <v>1916</v>
      </c>
      <c r="B1214" t="s">
        <v>583</v>
      </c>
      <c r="C1214" t="s">
        <v>182</v>
      </c>
      <c r="D1214" t="s">
        <v>25</v>
      </c>
      <c r="E1214" t="s">
        <v>34</v>
      </c>
      <c r="F1214" t="s">
        <v>27</v>
      </c>
      <c r="G1214" t="s">
        <v>176</v>
      </c>
      <c r="H1214">
        <v>732</v>
      </c>
      <c r="I1214">
        <v>50</v>
      </c>
      <c r="J1214">
        <v>100</v>
      </c>
      <c r="K1214" t="s">
        <v>20</v>
      </c>
      <c r="L1214">
        <v>47</v>
      </c>
      <c r="M1214" t="s">
        <v>21</v>
      </c>
    </row>
    <row r="1215" spans="1:13" x14ac:dyDescent="0.35">
      <c r="A1215" t="s">
        <v>1917</v>
      </c>
      <c r="B1215" t="s">
        <v>449</v>
      </c>
      <c r="C1215" t="s">
        <v>361</v>
      </c>
      <c r="D1215" t="s">
        <v>40</v>
      </c>
      <c r="E1215" t="s">
        <v>41</v>
      </c>
      <c r="F1215" t="s">
        <v>27</v>
      </c>
      <c r="G1215" t="s">
        <v>49</v>
      </c>
      <c r="H1215">
        <v>290</v>
      </c>
      <c r="I1215">
        <v>50</v>
      </c>
      <c r="J1215">
        <v>0</v>
      </c>
      <c r="K1215" t="s">
        <v>29</v>
      </c>
      <c r="L1215">
        <v>58</v>
      </c>
      <c r="M1215" t="s">
        <v>21</v>
      </c>
    </row>
    <row r="1216" spans="1:13" x14ac:dyDescent="0.35">
      <c r="A1216" t="s">
        <v>1918</v>
      </c>
      <c r="B1216" t="s">
        <v>154</v>
      </c>
      <c r="C1216" t="s">
        <v>1919</v>
      </c>
      <c r="D1216" t="s">
        <v>16</v>
      </c>
      <c r="E1216" t="s">
        <v>17</v>
      </c>
      <c r="F1216" t="s">
        <v>18</v>
      </c>
      <c r="G1216" t="s">
        <v>59</v>
      </c>
      <c r="H1216">
        <v>570</v>
      </c>
      <c r="I1216">
        <v>50</v>
      </c>
      <c r="J1216">
        <v>100</v>
      </c>
      <c r="K1216" t="s">
        <v>20</v>
      </c>
      <c r="L1216">
        <v>21</v>
      </c>
      <c r="M1216" t="s">
        <v>21</v>
      </c>
    </row>
    <row r="1217" spans="1:13" x14ac:dyDescent="0.35">
      <c r="A1217" t="s">
        <v>1920</v>
      </c>
      <c r="B1217" t="s">
        <v>192</v>
      </c>
      <c r="C1217" t="s">
        <v>1275</v>
      </c>
      <c r="D1217" t="s">
        <v>53</v>
      </c>
      <c r="E1217" t="s">
        <v>152</v>
      </c>
      <c r="F1217" t="s">
        <v>18</v>
      </c>
      <c r="G1217" t="s">
        <v>63</v>
      </c>
      <c r="H1217">
        <v>200</v>
      </c>
      <c r="I1217">
        <v>40</v>
      </c>
      <c r="J1217">
        <v>30</v>
      </c>
      <c r="K1217" t="s">
        <v>36</v>
      </c>
      <c r="L1217">
        <v>32</v>
      </c>
      <c r="M1217" t="s">
        <v>21</v>
      </c>
    </row>
    <row r="1218" spans="1:13" x14ac:dyDescent="0.35">
      <c r="A1218" t="s">
        <v>1921</v>
      </c>
      <c r="B1218" t="s">
        <v>291</v>
      </c>
      <c r="C1218" t="s">
        <v>1850</v>
      </c>
      <c r="D1218" t="s">
        <v>53</v>
      </c>
      <c r="E1218" t="s">
        <v>152</v>
      </c>
      <c r="F1218" t="s">
        <v>18</v>
      </c>
      <c r="G1218" t="s">
        <v>176</v>
      </c>
      <c r="H1218">
        <v>437</v>
      </c>
      <c r="I1218">
        <v>30</v>
      </c>
      <c r="J1218">
        <v>30</v>
      </c>
      <c r="K1218" t="s">
        <v>36</v>
      </c>
      <c r="L1218">
        <v>42</v>
      </c>
      <c r="M1218" t="s">
        <v>21</v>
      </c>
    </row>
    <row r="1219" spans="1:13" x14ac:dyDescent="0.35">
      <c r="A1219" t="s">
        <v>1922</v>
      </c>
      <c r="B1219" t="s">
        <v>413</v>
      </c>
      <c r="C1219" t="s">
        <v>471</v>
      </c>
      <c r="D1219" t="s">
        <v>40</v>
      </c>
      <c r="E1219" t="s">
        <v>111</v>
      </c>
      <c r="F1219" t="s">
        <v>18</v>
      </c>
      <c r="G1219" t="s">
        <v>42</v>
      </c>
      <c r="H1219">
        <v>174</v>
      </c>
      <c r="I1219">
        <v>30</v>
      </c>
      <c r="J1219">
        <v>100</v>
      </c>
      <c r="K1219" t="s">
        <v>29</v>
      </c>
      <c r="L1219">
        <v>24</v>
      </c>
      <c r="M1219" t="s">
        <v>21</v>
      </c>
    </row>
    <row r="1220" spans="1:13" x14ac:dyDescent="0.35">
      <c r="A1220" t="s">
        <v>1923</v>
      </c>
      <c r="B1220" t="s">
        <v>657</v>
      </c>
      <c r="C1220" t="s">
        <v>66</v>
      </c>
      <c r="D1220" t="s">
        <v>16</v>
      </c>
      <c r="E1220" t="s">
        <v>131</v>
      </c>
      <c r="F1220" t="s">
        <v>55</v>
      </c>
      <c r="G1220" t="s">
        <v>35</v>
      </c>
      <c r="H1220">
        <v>472</v>
      </c>
      <c r="I1220">
        <v>40</v>
      </c>
      <c r="J1220">
        <v>0</v>
      </c>
      <c r="K1220" t="s">
        <v>29</v>
      </c>
      <c r="L1220">
        <v>34</v>
      </c>
      <c r="M1220" t="s">
        <v>21</v>
      </c>
    </row>
    <row r="1221" spans="1:13" x14ac:dyDescent="0.35">
      <c r="A1221" t="s">
        <v>1924</v>
      </c>
      <c r="B1221" t="s">
        <v>368</v>
      </c>
      <c r="C1221" t="s">
        <v>924</v>
      </c>
      <c r="D1221" t="s">
        <v>46</v>
      </c>
      <c r="E1221" t="s">
        <v>47</v>
      </c>
      <c r="F1221" t="s">
        <v>48</v>
      </c>
      <c r="G1221" t="s">
        <v>176</v>
      </c>
      <c r="H1221">
        <v>340</v>
      </c>
      <c r="I1221">
        <v>40</v>
      </c>
      <c r="J1221">
        <v>30</v>
      </c>
      <c r="K1221" t="s">
        <v>36</v>
      </c>
      <c r="L1221">
        <v>31</v>
      </c>
      <c r="M1221" t="s">
        <v>21</v>
      </c>
    </row>
    <row r="1222" spans="1:13" x14ac:dyDescent="0.35">
      <c r="A1222" t="s">
        <v>1925</v>
      </c>
      <c r="B1222" t="s">
        <v>365</v>
      </c>
      <c r="C1222" t="s">
        <v>982</v>
      </c>
      <c r="D1222" t="s">
        <v>16</v>
      </c>
      <c r="E1222" t="s">
        <v>131</v>
      </c>
      <c r="F1222" t="s">
        <v>55</v>
      </c>
      <c r="G1222" t="s">
        <v>63</v>
      </c>
      <c r="H1222">
        <v>205</v>
      </c>
      <c r="I1222">
        <v>40</v>
      </c>
      <c r="J1222">
        <v>0</v>
      </c>
      <c r="K1222" t="s">
        <v>20</v>
      </c>
      <c r="L1222">
        <v>51</v>
      </c>
      <c r="M1222" t="s">
        <v>21</v>
      </c>
    </row>
    <row r="1223" spans="1:13" x14ac:dyDescent="0.35">
      <c r="A1223" t="s">
        <v>1926</v>
      </c>
      <c r="B1223" t="s">
        <v>69</v>
      </c>
      <c r="C1223" t="s">
        <v>1507</v>
      </c>
      <c r="D1223" t="s">
        <v>40</v>
      </c>
      <c r="E1223" t="s">
        <v>111</v>
      </c>
      <c r="F1223" t="s">
        <v>18</v>
      </c>
      <c r="G1223" t="s">
        <v>107</v>
      </c>
      <c r="H1223">
        <v>394</v>
      </c>
      <c r="I1223">
        <v>30</v>
      </c>
      <c r="J1223">
        <v>0</v>
      </c>
      <c r="K1223" t="s">
        <v>29</v>
      </c>
      <c r="L1223">
        <v>45</v>
      </c>
      <c r="M1223" t="s">
        <v>21</v>
      </c>
    </row>
    <row r="1224" spans="1:13" x14ac:dyDescent="0.35">
      <c r="A1224" t="s">
        <v>1927</v>
      </c>
      <c r="B1224" t="s">
        <v>365</v>
      </c>
      <c r="C1224" t="s">
        <v>1837</v>
      </c>
      <c r="D1224" t="s">
        <v>16</v>
      </c>
      <c r="E1224" t="s">
        <v>131</v>
      </c>
      <c r="F1224" t="s">
        <v>55</v>
      </c>
      <c r="G1224" t="s">
        <v>176</v>
      </c>
      <c r="H1224">
        <v>702</v>
      </c>
      <c r="I1224">
        <v>50</v>
      </c>
      <c r="J1224">
        <v>20</v>
      </c>
      <c r="K1224" t="s">
        <v>20</v>
      </c>
      <c r="L1224">
        <v>45</v>
      </c>
      <c r="M1224" t="s">
        <v>30</v>
      </c>
    </row>
    <row r="1225" spans="1:13" x14ac:dyDescent="0.35">
      <c r="A1225" t="s">
        <v>1928</v>
      </c>
      <c r="B1225" t="s">
        <v>342</v>
      </c>
      <c r="C1225" t="s">
        <v>1022</v>
      </c>
      <c r="D1225" t="s">
        <v>25</v>
      </c>
      <c r="E1225" t="s">
        <v>78</v>
      </c>
      <c r="F1225" t="s">
        <v>48</v>
      </c>
      <c r="G1225" t="s">
        <v>74</v>
      </c>
      <c r="H1225">
        <v>570</v>
      </c>
      <c r="I1225">
        <v>30</v>
      </c>
      <c r="J1225">
        <v>100</v>
      </c>
      <c r="K1225" t="s">
        <v>29</v>
      </c>
      <c r="L1225">
        <v>30</v>
      </c>
      <c r="M1225" t="s">
        <v>21</v>
      </c>
    </row>
    <row r="1226" spans="1:13" x14ac:dyDescent="0.35">
      <c r="A1226" t="s">
        <v>1929</v>
      </c>
      <c r="B1226" t="s">
        <v>449</v>
      </c>
      <c r="C1226" t="s">
        <v>375</v>
      </c>
      <c r="D1226" t="s">
        <v>25</v>
      </c>
      <c r="E1226" t="s">
        <v>34</v>
      </c>
      <c r="F1226" t="s">
        <v>27</v>
      </c>
      <c r="G1226" t="s">
        <v>63</v>
      </c>
      <c r="H1226">
        <v>649</v>
      </c>
      <c r="I1226">
        <v>30</v>
      </c>
      <c r="J1226">
        <v>20</v>
      </c>
      <c r="K1226" t="s">
        <v>29</v>
      </c>
      <c r="L1226">
        <v>57</v>
      </c>
      <c r="M1226" t="s">
        <v>21</v>
      </c>
    </row>
    <row r="1227" spans="1:13" x14ac:dyDescent="0.35">
      <c r="A1227" t="s">
        <v>1930</v>
      </c>
      <c r="B1227" t="s">
        <v>393</v>
      </c>
      <c r="C1227" t="s">
        <v>1931</v>
      </c>
      <c r="D1227" t="s">
        <v>53</v>
      </c>
      <c r="E1227" t="s">
        <v>84</v>
      </c>
      <c r="F1227" t="s">
        <v>85</v>
      </c>
      <c r="G1227" t="s">
        <v>42</v>
      </c>
      <c r="H1227">
        <v>795</v>
      </c>
      <c r="I1227">
        <v>40</v>
      </c>
      <c r="J1227">
        <v>20</v>
      </c>
      <c r="K1227" t="s">
        <v>20</v>
      </c>
      <c r="L1227">
        <v>41</v>
      </c>
      <c r="M1227" t="s">
        <v>21</v>
      </c>
    </row>
    <row r="1228" spans="1:13" x14ac:dyDescent="0.35">
      <c r="A1228" t="s">
        <v>1932</v>
      </c>
      <c r="B1228" t="s">
        <v>118</v>
      </c>
      <c r="C1228" t="s">
        <v>1534</v>
      </c>
      <c r="D1228" t="s">
        <v>25</v>
      </c>
      <c r="E1228" t="s">
        <v>34</v>
      </c>
      <c r="F1228" t="s">
        <v>27</v>
      </c>
      <c r="G1228" t="s">
        <v>59</v>
      </c>
      <c r="H1228">
        <v>355</v>
      </c>
      <c r="I1228">
        <v>50</v>
      </c>
      <c r="J1228">
        <v>0</v>
      </c>
      <c r="K1228" t="s">
        <v>36</v>
      </c>
      <c r="L1228">
        <v>34</v>
      </c>
      <c r="M1228" t="s">
        <v>21</v>
      </c>
    </row>
    <row r="1229" spans="1:13" x14ac:dyDescent="0.35">
      <c r="A1229" t="s">
        <v>1933</v>
      </c>
      <c r="B1229" t="s">
        <v>181</v>
      </c>
      <c r="C1229" t="s">
        <v>692</v>
      </c>
      <c r="D1229" t="s">
        <v>40</v>
      </c>
      <c r="E1229" t="s">
        <v>41</v>
      </c>
      <c r="F1229" t="s">
        <v>27</v>
      </c>
      <c r="G1229" t="s">
        <v>59</v>
      </c>
      <c r="H1229">
        <v>418</v>
      </c>
      <c r="I1229">
        <v>30</v>
      </c>
      <c r="J1229">
        <v>30</v>
      </c>
      <c r="K1229" t="s">
        <v>36</v>
      </c>
      <c r="L1229">
        <v>53</v>
      </c>
      <c r="M1229" t="s">
        <v>30</v>
      </c>
    </row>
    <row r="1230" spans="1:13" x14ac:dyDescent="0.35">
      <c r="A1230" t="s">
        <v>1934</v>
      </c>
      <c r="B1230" t="s">
        <v>146</v>
      </c>
      <c r="C1230" t="s">
        <v>1935</v>
      </c>
      <c r="D1230" t="s">
        <v>16</v>
      </c>
      <c r="E1230" t="s">
        <v>89</v>
      </c>
      <c r="F1230" t="s">
        <v>18</v>
      </c>
      <c r="G1230" t="s">
        <v>74</v>
      </c>
      <c r="H1230">
        <v>564</v>
      </c>
      <c r="I1230">
        <v>50</v>
      </c>
      <c r="J1230">
        <v>100</v>
      </c>
      <c r="K1230" t="s">
        <v>20</v>
      </c>
      <c r="L1230">
        <v>22</v>
      </c>
      <c r="M1230" t="s">
        <v>21</v>
      </c>
    </row>
    <row r="1231" spans="1:13" x14ac:dyDescent="0.35">
      <c r="A1231" t="s">
        <v>1936</v>
      </c>
      <c r="B1231" t="s">
        <v>326</v>
      </c>
      <c r="C1231" t="s">
        <v>1691</v>
      </c>
      <c r="D1231" t="s">
        <v>25</v>
      </c>
      <c r="E1231" t="s">
        <v>34</v>
      </c>
      <c r="F1231" t="s">
        <v>27</v>
      </c>
      <c r="G1231" t="s">
        <v>74</v>
      </c>
      <c r="H1231">
        <v>443</v>
      </c>
      <c r="I1231">
        <v>40</v>
      </c>
      <c r="J1231">
        <v>50</v>
      </c>
      <c r="K1231" t="s">
        <v>29</v>
      </c>
      <c r="L1231">
        <v>38</v>
      </c>
      <c r="M1231" t="s">
        <v>21</v>
      </c>
    </row>
    <row r="1232" spans="1:13" x14ac:dyDescent="0.35">
      <c r="A1232" t="s">
        <v>1937</v>
      </c>
      <c r="B1232" t="s">
        <v>526</v>
      </c>
      <c r="C1232" t="s">
        <v>1423</v>
      </c>
      <c r="D1232" t="s">
        <v>40</v>
      </c>
      <c r="E1232" t="s">
        <v>67</v>
      </c>
      <c r="F1232" t="s">
        <v>48</v>
      </c>
      <c r="G1232" t="s">
        <v>107</v>
      </c>
      <c r="H1232">
        <v>760</v>
      </c>
      <c r="I1232">
        <v>30</v>
      </c>
      <c r="J1232">
        <v>50</v>
      </c>
      <c r="K1232" t="s">
        <v>36</v>
      </c>
      <c r="L1232">
        <v>38</v>
      </c>
      <c r="M1232" t="s">
        <v>21</v>
      </c>
    </row>
    <row r="1233" spans="1:13" x14ac:dyDescent="0.35">
      <c r="A1233" t="s">
        <v>1938</v>
      </c>
      <c r="B1233" t="s">
        <v>473</v>
      </c>
      <c r="C1233" t="s">
        <v>1939</v>
      </c>
      <c r="D1233" t="s">
        <v>40</v>
      </c>
      <c r="E1233" t="s">
        <v>111</v>
      </c>
      <c r="F1233" t="s">
        <v>18</v>
      </c>
      <c r="G1233" t="s">
        <v>63</v>
      </c>
      <c r="H1233">
        <v>239</v>
      </c>
      <c r="I1233">
        <v>20</v>
      </c>
      <c r="J1233">
        <v>0</v>
      </c>
      <c r="K1233" t="s">
        <v>20</v>
      </c>
      <c r="L1233">
        <v>45</v>
      </c>
      <c r="M1233" t="s">
        <v>21</v>
      </c>
    </row>
    <row r="1234" spans="1:13" x14ac:dyDescent="0.35">
      <c r="A1234" t="s">
        <v>1940</v>
      </c>
      <c r="B1234" t="s">
        <v>223</v>
      </c>
      <c r="C1234" t="s">
        <v>110</v>
      </c>
      <c r="D1234" t="s">
        <v>53</v>
      </c>
      <c r="E1234" t="s">
        <v>152</v>
      </c>
      <c r="F1234" t="s">
        <v>18</v>
      </c>
      <c r="G1234" t="s">
        <v>19</v>
      </c>
      <c r="H1234">
        <v>728</v>
      </c>
      <c r="I1234">
        <v>50</v>
      </c>
      <c r="J1234">
        <v>0</v>
      </c>
      <c r="K1234" t="s">
        <v>20</v>
      </c>
      <c r="L1234">
        <v>49</v>
      </c>
      <c r="M1234" t="s">
        <v>21</v>
      </c>
    </row>
    <row r="1235" spans="1:13" x14ac:dyDescent="0.35">
      <c r="A1235" t="s">
        <v>1941</v>
      </c>
      <c r="B1235" t="s">
        <v>133</v>
      </c>
      <c r="C1235" t="s">
        <v>524</v>
      </c>
      <c r="D1235" t="s">
        <v>25</v>
      </c>
      <c r="E1235" t="s">
        <v>26</v>
      </c>
      <c r="F1235" t="s">
        <v>27</v>
      </c>
      <c r="G1235" t="s">
        <v>19</v>
      </c>
      <c r="H1235">
        <v>199</v>
      </c>
      <c r="I1235">
        <v>20</v>
      </c>
      <c r="J1235">
        <v>0</v>
      </c>
      <c r="K1235" t="s">
        <v>29</v>
      </c>
      <c r="L1235">
        <v>25</v>
      </c>
      <c r="M1235" t="s">
        <v>21</v>
      </c>
    </row>
    <row r="1236" spans="1:13" x14ac:dyDescent="0.35">
      <c r="A1236" t="s">
        <v>1942</v>
      </c>
      <c r="B1236" t="s">
        <v>99</v>
      </c>
      <c r="C1236" t="s">
        <v>469</v>
      </c>
      <c r="D1236" t="s">
        <v>25</v>
      </c>
      <c r="E1236" t="s">
        <v>78</v>
      </c>
      <c r="F1236" t="s">
        <v>48</v>
      </c>
      <c r="G1236" t="s">
        <v>19</v>
      </c>
      <c r="H1236">
        <v>695</v>
      </c>
      <c r="I1236">
        <v>50</v>
      </c>
      <c r="J1236">
        <v>100</v>
      </c>
      <c r="K1236" t="s">
        <v>29</v>
      </c>
      <c r="L1236">
        <v>33</v>
      </c>
      <c r="M1236" t="s">
        <v>21</v>
      </c>
    </row>
    <row r="1237" spans="1:13" x14ac:dyDescent="0.35">
      <c r="A1237" t="s">
        <v>1943</v>
      </c>
      <c r="B1237" t="s">
        <v>133</v>
      </c>
      <c r="C1237" t="s">
        <v>937</v>
      </c>
      <c r="D1237" t="s">
        <v>53</v>
      </c>
      <c r="E1237" t="s">
        <v>152</v>
      </c>
      <c r="F1237" t="s">
        <v>18</v>
      </c>
      <c r="G1237" t="s">
        <v>19</v>
      </c>
      <c r="H1237">
        <v>774</v>
      </c>
      <c r="I1237">
        <v>20</v>
      </c>
      <c r="J1237">
        <v>20</v>
      </c>
      <c r="K1237" t="s">
        <v>29</v>
      </c>
      <c r="L1237">
        <v>37</v>
      </c>
      <c r="M1237" t="s">
        <v>21</v>
      </c>
    </row>
    <row r="1238" spans="1:13" x14ac:dyDescent="0.35">
      <c r="A1238" t="s">
        <v>1944</v>
      </c>
      <c r="B1238" t="s">
        <v>267</v>
      </c>
      <c r="C1238" t="s">
        <v>467</v>
      </c>
      <c r="D1238" t="s">
        <v>40</v>
      </c>
      <c r="E1238" t="s">
        <v>67</v>
      </c>
      <c r="F1238" t="s">
        <v>48</v>
      </c>
      <c r="G1238" t="s">
        <v>63</v>
      </c>
      <c r="H1238">
        <v>615</v>
      </c>
      <c r="I1238">
        <v>50</v>
      </c>
      <c r="J1238">
        <v>50</v>
      </c>
      <c r="K1238" t="s">
        <v>29</v>
      </c>
      <c r="L1238">
        <v>27</v>
      </c>
      <c r="M1238" t="s">
        <v>21</v>
      </c>
    </row>
    <row r="1239" spans="1:13" x14ac:dyDescent="0.35">
      <c r="A1239" t="s">
        <v>1945</v>
      </c>
      <c r="B1239" t="s">
        <v>280</v>
      </c>
      <c r="C1239" t="s">
        <v>409</v>
      </c>
      <c r="D1239" t="s">
        <v>25</v>
      </c>
      <c r="E1239" t="s">
        <v>34</v>
      </c>
      <c r="F1239" t="s">
        <v>27</v>
      </c>
      <c r="G1239" t="s">
        <v>19</v>
      </c>
      <c r="H1239">
        <v>320</v>
      </c>
      <c r="I1239">
        <v>30</v>
      </c>
      <c r="J1239">
        <v>100</v>
      </c>
      <c r="K1239" t="s">
        <v>20</v>
      </c>
      <c r="L1239">
        <v>44</v>
      </c>
      <c r="M1239" t="s">
        <v>21</v>
      </c>
    </row>
    <row r="1240" spans="1:13" x14ac:dyDescent="0.35">
      <c r="A1240" t="s">
        <v>1946</v>
      </c>
      <c r="B1240" t="s">
        <v>91</v>
      </c>
      <c r="C1240" t="s">
        <v>688</v>
      </c>
      <c r="D1240" t="s">
        <v>16</v>
      </c>
      <c r="E1240" t="s">
        <v>89</v>
      </c>
      <c r="F1240" t="s">
        <v>18</v>
      </c>
      <c r="G1240" t="s">
        <v>42</v>
      </c>
      <c r="H1240">
        <v>557</v>
      </c>
      <c r="I1240">
        <v>50</v>
      </c>
      <c r="J1240">
        <v>100</v>
      </c>
      <c r="K1240" t="s">
        <v>36</v>
      </c>
      <c r="L1240">
        <v>41</v>
      </c>
      <c r="M1240" t="s">
        <v>21</v>
      </c>
    </row>
    <row r="1241" spans="1:13" x14ac:dyDescent="0.35">
      <c r="A1241" t="s">
        <v>1947</v>
      </c>
      <c r="B1241" t="s">
        <v>267</v>
      </c>
      <c r="C1241" t="s">
        <v>1948</v>
      </c>
      <c r="D1241" t="s">
        <v>16</v>
      </c>
      <c r="E1241" t="s">
        <v>89</v>
      </c>
      <c r="F1241" t="s">
        <v>18</v>
      </c>
      <c r="G1241" t="s">
        <v>74</v>
      </c>
      <c r="H1241">
        <v>649</v>
      </c>
      <c r="I1241">
        <v>30</v>
      </c>
      <c r="J1241">
        <v>30</v>
      </c>
      <c r="K1241" t="s">
        <v>36</v>
      </c>
      <c r="L1241">
        <v>42</v>
      </c>
      <c r="M1241" t="s">
        <v>21</v>
      </c>
    </row>
    <row r="1242" spans="1:13" x14ac:dyDescent="0.35">
      <c r="A1242" t="s">
        <v>1949</v>
      </c>
      <c r="B1242" t="s">
        <v>295</v>
      </c>
      <c r="C1242" t="s">
        <v>1280</v>
      </c>
      <c r="D1242" t="s">
        <v>40</v>
      </c>
      <c r="E1242" t="s">
        <v>111</v>
      </c>
      <c r="F1242" t="s">
        <v>18</v>
      </c>
      <c r="G1242" t="s">
        <v>19</v>
      </c>
      <c r="H1242">
        <v>436</v>
      </c>
      <c r="I1242">
        <v>40</v>
      </c>
      <c r="J1242">
        <v>0</v>
      </c>
      <c r="K1242" t="s">
        <v>36</v>
      </c>
      <c r="L1242">
        <v>53</v>
      </c>
      <c r="M1242" t="s">
        <v>21</v>
      </c>
    </row>
    <row r="1243" spans="1:13" x14ac:dyDescent="0.35">
      <c r="A1243" t="s">
        <v>1950</v>
      </c>
      <c r="B1243" t="s">
        <v>129</v>
      </c>
      <c r="C1243" t="s">
        <v>1951</v>
      </c>
      <c r="D1243" t="s">
        <v>46</v>
      </c>
      <c r="E1243" t="s">
        <v>70</v>
      </c>
      <c r="F1243" t="s">
        <v>18</v>
      </c>
      <c r="G1243" t="s">
        <v>49</v>
      </c>
      <c r="H1243">
        <v>421</v>
      </c>
      <c r="I1243">
        <v>20</v>
      </c>
      <c r="J1243">
        <v>20</v>
      </c>
      <c r="K1243" t="s">
        <v>36</v>
      </c>
      <c r="L1243">
        <v>40</v>
      </c>
      <c r="M1243" t="s">
        <v>30</v>
      </c>
    </row>
    <row r="1244" spans="1:13" x14ac:dyDescent="0.35">
      <c r="A1244" t="s">
        <v>1952</v>
      </c>
      <c r="B1244" t="s">
        <v>365</v>
      </c>
      <c r="C1244" t="s">
        <v>1598</v>
      </c>
      <c r="D1244" t="s">
        <v>46</v>
      </c>
      <c r="E1244" t="s">
        <v>148</v>
      </c>
      <c r="F1244" t="s">
        <v>27</v>
      </c>
      <c r="G1244" t="s">
        <v>176</v>
      </c>
      <c r="H1244">
        <v>361</v>
      </c>
      <c r="I1244">
        <v>30</v>
      </c>
      <c r="J1244">
        <v>50</v>
      </c>
      <c r="K1244" t="s">
        <v>20</v>
      </c>
      <c r="L1244">
        <v>51</v>
      </c>
      <c r="M1244" t="s">
        <v>21</v>
      </c>
    </row>
    <row r="1245" spans="1:13" x14ac:dyDescent="0.35">
      <c r="A1245" t="s">
        <v>1953</v>
      </c>
      <c r="B1245" t="s">
        <v>393</v>
      </c>
      <c r="C1245" t="s">
        <v>1801</v>
      </c>
      <c r="D1245" t="s">
        <v>16</v>
      </c>
      <c r="E1245" t="s">
        <v>131</v>
      </c>
      <c r="F1245" t="s">
        <v>55</v>
      </c>
      <c r="G1245" t="s">
        <v>49</v>
      </c>
      <c r="H1245">
        <v>756</v>
      </c>
      <c r="I1245">
        <v>30</v>
      </c>
      <c r="J1245">
        <v>100</v>
      </c>
      <c r="K1245" t="s">
        <v>29</v>
      </c>
      <c r="L1245">
        <v>20</v>
      </c>
      <c r="M1245" t="s">
        <v>21</v>
      </c>
    </row>
    <row r="1246" spans="1:13" x14ac:dyDescent="0.35">
      <c r="A1246" t="s">
        <v>1954</v>
      </c>
      <c r="B1246" t="s">
        <v>143</v>
      </c>
      <c r="C1246" t="s">
        <v>261</v>
      </c>
      <c r="D1246" t="s">
        <v>53</v>
      </c>
      <c r="E1246" t="s">
        <v>84</v>
      </c>
      <c r="F1246" t="s">
        <v>85</v>
      </c>
      <c r="G1246" t="s">
        <v>74</v>
      </c>
      <c r="H1246">
        <v>537</v>
      </c>
      <c r="I1246">
        <v>20</v>
      </c>
      <c r="J1246">
        <v>30</v>
      </c>
      <c r="K1246" t="s">
        <v>36</v>
      </c>
      <c r="L1246">
        <v>39</v>
      </c>
      <c r="M1246" t="s">
        <v>21</v>
      </c>
    </row>
    <row r="1247" spans="1:13" x14ac:dyDescent="0.35">
      <c r="A1247" t="s">
        <v>1955</v>
      </c>
      <c r="B1247" t="s">
        <v>454</v>
      </c>
      <c r="C1247" t="s">
        <v>1269</v>
      </c>
      <c r="D1247" t="s">
        <v>40</v>
      </c>
      <c r="E1247" t="s">
        <v>67</v>
      </c>
      <c r="F1247" t="s">
        <v>48</v>
      </c>
      <c r="G1247" t="s">
        <v>42</v>
      </c>
      <c r="H1247">
        <v>195</v>
      </c>
      <c r="I1247">
        <v>20</v>
      </c>
      <c r="J1247">
        <v>0</v>
      </c>
      <c r="K1247" t="s">
        <v>36</v>
      </c>
      <c r="L1247">
        <v>48</v>
      </c>
      <c r="M1247" t="s">
        <v>21</v>
      </c>
    </row>
    <row r="1248" spans="1:13" x14ac:dyDescent="0.35">
      <c r="A1248" t="s">
        <v>1956</v>
      </c>
      <c r="B1248" t="s">
        <v>435</v>
      </c>
      <c r="C1248" t="s">
        <v>1957</v>
      </c>
      <c r="D1248" t="s">
        <v>16</v>
      </c>
      <c r="E1248" t="s">
        <v>17</v>
      </c>
      <c r="F1248" t="s">
        <v>18</v>
      </c>
      <c r="G1248" t="s">
        <v>28</v>
      </c>
      <c r="H1248">
        <v>269</v>
      </c>
      <c r="I1248">
        <v>50</v>
      </c>
      <c r="J1248">
        <v>100</v>
      </c>
      <c r="K1248" t="s">
        <v>29</v>
      </c>
      <c r="L1248">
        <v>42</v>
      </c>
      <c r="M1248" t="s">
        <v>21</v>
      </c>
    </row>
    <row r="1249" spans="1:13" x14ac:dyDescent="0.35">
      <c r="A1249" t="s">
        <v>1958</v>
      </c>
      <c r="B1249" t="s">
        <v>413</v>
      </c>
      <c r="C1249" t="s">
        <v>1959</v>
      </c>
      <c r="D1249" t="s">
        <v>25</v>
      </c>
      <c r="E1249" t="s">
        <v>34</v>
      </c>
      <c r="F1249" t="s">
        <v>27</v>
      </c>
      <c r="G1249" t="s">
        <v>49</v>
      </c>
      <c r="H1249">
        <v>733</v>
      </c>
      <c r="I1249">
        <v>50</v>
      </c>
      <c r="J1249">
        <v>100</v>
      </c>
      <c r="K1249" t="s">
        <v>29</v>
      </c>
      <c r="L1249">
        <v>41</v>
      </c>
      <c r="M1249" t="s">
        <v>21</v>
      </c>
    </row>
    <row r="1250" spans="1:13" x14ac:dyDescent="0.35">
      <c r="A1250" t="s">
        <v>1960</v>
      </c>
      <c r="B1250" t="s">
        <v>473</v>
      </c>
      <c r="C1250" t="s">
        <v>873</v>
      </c>
      <c r="D1250" t="s">
        <v>53</v>
      </c>
      <c r="E1250" t="s">
        <v>152</v>
      </c>
      <c r="F1250" t="s">
        <v>18</v>
      </c>
      <c r="G1250" t="s">
        <v>42</v>
      </c>
      <c r="H1250">
        <v>722</v>
      </c>
      <c r="I1250">
        <v>30</v>
      </c>
      <c r="J1250">
        <v>0</v>
      </c>
      <c r="K1250" t="s">
        <v>36</v>
      </c>
      <c r="L1250">
        <v>37</v>
      </c>
      <c r="M1250" t="s">
        <v>21</v>
      </c>
    </row>
    <row r="1251" spans="1:13" x14ac:dyDescent="0.35">
      <c r="A1251" t="s">
        <v>1961</v>
      </c>
      <c r="B1251" t="s">
        <v>23</v>
      </c>
      <c r="C1251" t="s">
        <v>1767</v>
      </c>
      <c r="D1251" t="s">
        <v>40</v>
      </c>
      <c r="E1251" t="s">
        <v>111</v>
      </c>
      <c r="F1251" t="s">
        <v>18</v>
      </c>
      <c r="G1251" t="s">
        <v>28</v>
      </c>
      <c r="H1251">
        <v>621</v>
      </c>
      <c r="I1251">
        <v>40</v>
      </c>
      <c r="J1251">
        <v>30</v>
      </c>
      <c r="K1251" t="s">
        <v>36</v>
      </c>
      <c r="L1251">
        <v>52</v>
      </c>
      <c r="M1251" t="s">
        <v>21</v>
      </c>
    </row>
    <row r="1252" spans="1:13" x14ac:dyDescent="0.35">
      <c r="A1252" t="s">
        <v>1962</v>
      </c>
      <c r="B1252" t="s">
        <v>329</v>
      </c>
      <c r="C1252" t="s">
        <v>1372</v>
      </c>
      <c r="D1252" t="s">
        <v>53</v>
      </c>
      <c r="E1252" t="s">
        <v>54</v>
      </c>
      <c r="F1252" t="s">
        <v>55</v>
      </c>
      <c r="G1252" t="s">
        <v>42</v>
      </c>
      <c r="H1252">
        <v>482</v>
      </c>
      <c r="I1252">
        <v>50</v>
      </c>
      <c r="J1252">
        <v>30</v>
      </c>
      <c r="K1252" t="s">
        <v>29</v>
      </c>
      <c r="L1252">
        <v>50</v>
      </c>
      <c r="M1252" t="s">
        <v>21</v>
      </c>
    </row>
    <row r="1253" spans="1:13" x14ac:dyDescent="0.35">
      <c r="A1253" t="s">
        <v>1963</v>
      </c>
      <c r="B1253" t="s">
        <v>305</v>
      </c>
      <c r="C1253" t="s">
        <v>808</v>
      </c>
      <c r="D1253" t="s">
        <v>25</v>
      </c>
      <c r="E1253" t="s">
        <v>78</v>
      </c>
      <c r="F1253" t="s">
        <v>48</v>
      </c>
      <c r="G1253" t="s">
        <v>42</v>
      </c>
      <c r="H1253">
        <v>382</v>
      </c>
      <c r="I1253">
        <v>50</v>
      </c>
      <c r="J1253">
        <v>50</v>
      </c>
      <c r="K1253" t="s">
        <v>29</v>
      </c>
      <c r="L1253">
        <v>23</v>
      </c>
      <c r="M1253" t="s">
        <v>21</v>
      </c>
    </row>
    <row r="1254" spans="1:13" x14ac:dyDescent="0.35">
      <c r="A1254" t="s">
        <v>1964</v>
      </c>
      <c r="B1254" t="s">
        <v>526</v>
      </c>
      <c r="C1254" t="s">
        <v>779</v>
      </c>
      <c r="D1254" t="s">
        <v>16</v>
      </c>
      <c r="E1254" t="s">
        <v>17</v>
      </c>
      <c r="F1254" t="s">
        <v>18</v>
      </c>
      <c r="G1254" t="s">
        <v>19</v>
      </c>
      <c r="H1254">
        <v>619</v>
      </c>
      <c r="I1254">
        <v>30</v>
      </c>
      <c r="J1254">
        <v>20</v>
      </c>
      <c r="K1254" t="s">
        <v>29</v>
      </c>
      <c r="L1254">
        <v>29</v>
      </c>
      <c r="M1254" t="s">
        <v>21</v>
      </c>
    </row>
    <row r="1255" spans="1:13" x14ac:dyDescent="0.35">
      <c r="A1255" t="s">
        <v>1965</v>
      </c>
      <c r="B1255" t="s">
        <v>310</v>
      </c>
      <c r="C1255" t="s">
        <v>334</v>
      </c>
      <c r="D1255" t="s">
        <v>25</v>
      </c>
      <c r="E1255" t="s">
        <v>26</v>
      </c>
      <c r="F1255" t="s">
        <v>27</v>
      </c>
      <c r="G1255" t="s">
        <v>42</v>
      </c>
      <c r="H1255">
        <v>370</v>
      </c>
      <c r="I1255">
        <v>30</v>
      </c>
      <c r="J1255">
        <v>50</v>
      </c>
      <c r="K1255" t="s">
        <v>20</v>
      </c>
      <c r="L1255">
        <v>21</v>
      </c>
      <c r="M1255" t="s">
        <v>21</v>
      </c>
    </row>
    <row r="1256" spans="1:13" x14ac:dyDescent="0.35">
      <c r="A1256" t="s">
        <v>1966</v>
      </c>
      <c r="B1256" t="s">
        <v>226</v>
      </c>
      <c r="C1256" t="s">
        <v>1967</v>
      </c>
      <c r="D1256" t="s">
        <v>16</v>
      </c>
      <c r="E1256" t="s">
        <v>17</v>
      </c>
      <c r="F1256" t="s">
        <v>18</v>
      </c>
      <c r="G1256" t="s">
        <v>49</v>
      </c>
      <c r="H1256">
        <v>245</v>
      </c>
      <c r="I1256">
        <v>40</v>
      </c>
      <c r="J1256">
        <v>0</v>
      </c>
      <c r="K1256" t="s">
        <v>36</v>
      </c>
      <c r="L1256">
        <v>51</v>
      </c>
      <c r="M1256" t="s">
        <v>21</v>
      </c>
    </row>
    <row r="1257" spans="1:13" x14ac:dyDescent="0.35">
      <c r="A1257" t="s">
        <v>1968</v>
      </c>
      <c r="B1257" t="s">
        <v>213</v>
      </c>
      <c r="C1257" t="s">
        <v>573</v>
      </c>
      <c r="D1257" t="s">
        <v>25</v>
      </c>
      <c r="E1257" t="s">
        <v>78</v>
      </c>
      <c r="F1257" t="s">
        <v>48</v>
      </c>
      <c r="G1257" t="s">
        <v>176</v>
      </c>
      <c r="H1257">
        <v>717</v>
      </c>
      <c r="I1257">
        <v>50</v>
      </c>
      <c r="J1257">
        <v>50</v>
      </c>
      <c r="K1257" t="s">
        <v>29</v>
      </c>
      <c r="L1257">
        <v>39</v>
      </c>
      <c r="M1257" t="s">
        <v>21</v>
      </c>
    </row>
    <row r="1258" spans="1:13" x14ac:dyDescent="0.35">
      <c r="A1258" t="s">
        <v>1969</v>
      </c>
      <c r="B1258" t="s">
        <v>186</v>
      </c>
      <c r="C1258" t="s">
        <v>1669</v>
      </c>
      <c r="D1258" t="s">
        <v>16</v>
      </c>
      <c r="E1258" t="s">
        <v>89</v>
      </c>
      <c r="F1258" t="s">
        <v>18</v>
      </c>
      <c r="G1258" t="s">
        <v>74</v>
      </c>
      <c r="H1258">
        <v>235</v>
      </c>
      <c r="I1258">
        <v>20</v>
      </c>
      <c r="J1258">
        <v>100</v>
      </c>
      <c r="K1258" t="s">
        <v>20</v>
      </c>
      <c r="L1258">
        <v>24</v>
      </c>
      <c r="M1258" t="s">
        <v>21</v>
      </c>
    </row>
    <row r="1259" spans="1:13" x14ac:dyDescent="0.35">
      <c r="A1259" t="s">
        <v>1970</v>
      </c>
      <c r="B1259" t="s">
        <v>223</v>
      </c>
      <c r="C1259" t="s">
        <v>962</v>
      </c>
      <c r="D1259" t="s">
        <v>16</v>
      </c>
      <c r="E1259" t="s">
        <v>17</v>
      </c>
      <c r="F1259" t="s">
        <v>18</v>
      </c>
      <c r="G1259" t="s">
        <v>35</v>
      </c>
      <c r="H1259">
        <v>175</v>
      </c>
      <c r="I1259">
        <v>40</v>
      </c>
      <c r="J1259">
        <v>100</v>
      </c>
      <c r="K1259" t="s">
        <v>20</v>
      </c>
      <c r="L1259">
        <v>59</v>
      </c>
      <c r="M1259" t="s">
        <v>21</v>
      </c>
    </row>
    <row r="1260" spans="1:13" x14ac:dyDescent="0.35">
      <c r="A1260" t="s">
        <v>1971</v>
      </c>
      <c r="B1260" t="s">
        <v>126</v>
      </c>
      <c r="C1260" t="s">
        <v>566</v>
      </c>
      <c r="D1260" t="s">
        <v>16</v>
      </c>
      <c r="E1260" t="s">
        <v>17</v>
      </c>
      <c r="F1260" t="s">
        <v>18</v>
      </c>
      <c r="G1260" t="s">
        <v>59</v>
      </c>
      <c r="H1260">
        <v>381</v>
      </c>
      <c r="I1260">
        <v>30</v>
      </c>
      <c r="J1260">
        <v>100</v>
      </c>
      <c r="K1260" t="s">
        <v>29</v>
      </c>
      <c r="L1260">
        <v>34</v>
      </c>
      <c r="M1260" t="s">
        <v>21</v>
      </c>
    </row>
    <row r="1261" spans="1:13" x14ac:dyDescent="0.35">
      <c r="A1261" t="s">
        <v>1972</v>
      </c>
      <c r="B1261" t="s">
        <v>657</v>
      </c>
      <c r="C1261" t="s">
        <v>494</v>
      </c>
      <c r="D1261" t="s">
        <v>53</v>
      </c>
      <c r="E1261" t="s">
        <v>84</v>
      </c>
      <c r="F1261" t="s">
        <v>85</v>
      </c>
      <c r="G1261" t="s">
        <v>42</v>
      </c>
      <c r="H1261">
        <v>501</v>
      </c>
      <c r="I1261">
        <v>40</v>
      </c>
      <c r="J1261">
        <v>30</v>
      </c>
      <c r="K1261" t="s">
        <v>20</v>
      </c>
      <c r="L1261">
        <v>56</v>
      </c>
      <c r="M1261" t="s">
        <v>21</v>
      </c>
    </row>
    <row r="1262" spans="1:13" x14ac:dyDescent="0.35">
      <c r="A1262" t="s">
        <v>1973</v>
      </c>
      <c r="B1262" t="s">
        <v>244</v>
      </c>
      <c r="C1262" t="s">
        <v>496</v>
      </c>
      <c r="D1262" t="s">
        <v>53</v>
      </c>
      <c r="E1262" t="s">
        <v>152</v>
      </c>
      <c r="F1262" t="s">
        <v>18</v>
      </c>
      <c r="G1262" t="s">
        <v>107</v>
      </c>
      <c r="H1262">
        <v>439</v>
      </c>
      <c r="I1262">
        <v>20</v>
      </c>
      <c r="J1262">
        <v>20</v>
      </c>
      <c r="K1262" t="s">
        <v>36</v>
      </c>
      <c r="L1262">
        <v>26</v>
      </c>
      <c r="M1262" t="s">
        <v>21</v>
      </c>
    </row>
    <row r="1263" spans="1:13" x14ac:dyDescent="0.35">
      <c r="A1263" t="s">
        <v>1974</v>
      </c>
      <c r="B1263" t="s">
        <v>118</v>
      </c>
      <c r="C1263" t="s">
        <v>269</v>
      </c>
      <c r="D1263" t="s">
        <v>46</v>
      </c>
      <c r="E1263" t="s">
        <v>47</v>
      </c>
      <c r="F1263" t="s">
        <v>48</v>
      </c>
      <c r="G1263" t="s">
        <v>35</v>
      </c>
      <c r="H1263">
        <v>363</v>
      </c>
      <c r="I1263">
        <v>30</v>
      </c>
      <c r="J1263">
        <v>0</v>
      </c>
      <c r="K1263" t="s">
        <v>20</v>
      </c>
      <c r="L1263">
        <v>36</v>
      </c>
      <c r="M1263" t="s">
        <v>21</v>
      </c>
    </row>
    <row r="1264" spans="1:13" x14ac:dyDescent="0.35">
      <c r="A1264" t="s">
        <v>1975</v>
      </c>
      <c r="B1264" t="s">
        <v>189</v>
      </c>
      <c r="C1264" t="s">
        <v>1067</v>
      </c>
      <c r="D1264" t="s">
        <v>46</v>
      </c>
      <c r="E1264" t="s">
        <v>70</v>
      </c>
      <c r="F1264" t="s">
        <v>18</v>
      </c>
      <c r="G1264" t="s">
        <v>19</v>
      </c>
      <c r="H1264">
        <v>191</v>
      </c>
      <c r="I1264">
        <v>40</v>
      </c>
      <c r="J1264">
        <v>20</v>
      </c>
      <c r="K1264" t="s">
        <v>29</v>
      </c>
      <c r="L1264">
        <v>32</v>
      </c>
      <c r="M1264" t="s">
        <v>21</v>
      </c>
    </row>
    <row r="1265" spans="1:13" x14ac:dyDescent="0.35">
      <c r="A1265" t="s">
        <v>1976</v>
      </c>
      <c r="B1265" t="s">
        <v>32</v>
      </c>
      <c r="C1265" t="s">
        <v>1326</v>
      </c>
      <c r="D1265" t="s">
        <v>16</v>
      </c>
      <c r="E1265" t="s">
        <v>17</v>
      </c>
      <c r="F1265" t="s">
        <v>18</v>
      </c>
      <c r="G1265" t="s">
        <v>19</v>
      </c>
      <c r="H1265">
        <v>295</v>
      </c>
      <c r="I1265">
        <v>30</v>
      </c>
      <c r="J1265">
        <v>0</v>
      </c>
      <c r="K1265" t="s">
        <v>20</v>
      </c>
      <c r="L1265">
        <v>60</v>
      </c>
      <c r="M1265" t="s">
        <v>21</v>
      </c>
    </row>
    <row r="1266" spans="1:13" x14ac:dyDescent="0.35">
      <c r="A1266" t="s">
        <v>1977</v>
      </c>
      <c r="B1266" t="s">
        <v>57</v>
      </c>
      <c r="C1266" t="s">
        <v>1978</v>
      </c>
      <c r="D1266" t="s">
        <v>53</v>
      </c>
      <c r="E1266" t="s">
        <v>152</v>
      </c>
      <c r="F1266" t="s">
        <v>18</v>
      </c>
      <c r="G1266" t="s">
        <v>42</v>
      </c>
      <c r="H1266">
        <v>245</v>
      </c>
      <c r="I1266">
        <v>20</v>
      </c>
      <c r="J1266">
        <v>0</v>
      </c>
      <c r="K1266" t="s">
        <v>36</v>
      </c>
      <c r="L1266">
        <v>48</v>
      </c>
      <c r="M1266" t="s">
        <v>21</v>
      </c>
    </row>
    <row r="1267" spans="1:13" x14ac:dyDescent="0.35">
      <c r="A1267" t="s">
        <v>1979</v>
      </c>
      <c r="B1267" t="s">
        <v>526</v>
      </c>
      <c r="C1267" t="s">
        <v>808</v>
      </c>
      <c r="D1267" t="s">
        <v>46</v>
      </c>
      <c r="E1267" t="s">
        <v>47</v>
      </c>
      <c r="F1267" t="s">
        <v>48</v>
      </c>
      <c r="G1267" t="s">
        <v>49</v>
      </c>
      <c r="H1267">
        <v>170</v>
      </c>
      <c r="I1267">
        <v>40</v>
      </c>
      <c r="J1267">
        <v>20</v>
      </c>
      <c r="K1267" t="s">
        <v>20</v>
      </c>
      <c r="L1267">
        <v>26</v>
      </c>
      <c r="M1267" t="s">
        <v>30</v>
      </c>
    </row>
    <row r="1268" spans="1:13" x14ac:dyDescent="0.35">
      <c r="A1268" t="s">
        <v>1980</v>
      </c>
      <c r="B1268" t="s">
        <v>57</v>
      </c>
      <c r="C1268" t="s">
        <v>854</v>
      </c>
      <c r="D1268" t="s">
        <v>53</v>
      </c>
      <c r="E1268" t="s">
        <v>152</v>
      </c>
      <c r="F1268" t="s">
        <v>18</v>
      </c>
      <c r="G1268" t="s">
        <v>176</v>
      </c>
      <c r="H1268">
        <v>768</v>
      </c>
      <c r="I1268">
        <v>40</v>
      </c>
      <c r="J1268">
        <v>20</v>
      </c>
      <c r="K1268" t="s">
        <v>29</v>
      </c>
      <c r="L1268">
        <v>27</v>
      </c>
      <c r="M1268" t="s">
        <v>21</v>
      </c>
    </row>
    <row r="1269" spans="1:13" x14ac:dyDescent="0.35">
      <c r="A1269" t="s">
        <v>1981</v>
      </c>
      <c r="B1269" t="s">
        <v>295</v>
      </c>
      <c r="C1269" t="s">
        <v>897</v>
      </c>
      <c r="D1269" t="s">
        <v>16</v>
      </c>
      <c r="E1269" t="s">
        <v>131</v>
      </c>
      <c r="F1269" t="s">
        <v>55</v>
      </c>
      <c r="G1269" t="s">
        <v>107</v>
      </c>
      <c r="H1269">
        <v>527</v>
      </c>
      <c r="I1269">
        <v>20</v>
      </c>
      <c r="J1269">
        <v>20</v>
      </c>
      <c r="K1269" t="s">
        <v>20</v>
      </c>
      <c r="L1269">
        <v>38</v>
      </c>
      <c r="M1269" t="s">
        <v>21</v>
      </c>
    </row>
    <row r="1270" spans="1:13" x14ac:dyDescent="0.35">
      <c r="A1270" t="s">
        <v>1982</v>
      </c>
      <c r="B1270" t="s">
        <v>102</v>
      </c>
      <c r="C1270" t="s">
        <v>940</v>
      </c>
      <c r="D1270" t="s">
        <v>46</v>
      </c>
      <c r="E1270" t="s">
        <v>148</v>
      </c>
      <c r="F1270" t="s">
        <v>27</v>
      </c>
      <c r="G1270" t="s">
        <v>35</v>
      </c>
      <c r="H1270">
        <v>603</v>
      </c>
      <c r="I1270">
        <v>50</v>
      </c>
      <c r="J1270">
        <v>20</v>
      </c>
      <c r="K1270" t="s">
        <v>20</v>
      </c>
      <c r="L1270">
        <v>44</v>
      </c>
      <c r="M1270" t="s">
        <v>21</v>
      </c>
    </row>
    <row r="1271" spans="1:13" x14ac:dyDescent="0.35">
      <c r="A1271" t="s">
        <v>1983</v>
      </c>
      <c r="B1271" t="s">
        <v>99</v>
      </c>
      <c r="C1271" t="s">
        <v>1273</v>
      </c>
      <c r="D1271" t="s">
        <v>16</v>
      </c>
      <c r="E1271" t="s">
        <v>89</v>
      </c>
      <c r="F1271" t="s">
        <v>18</v>
      </c>
      <c r="G1271" t="s">
        <v>49</v>
      </c>
      <c r="H1271">
        <v>498</v>
      </c>
      <c r="I1271">
        <v>50</v>
      </c>
      <c r="J1271">
        <v>20</v>
      </c>
      <c r="K1271" t="s">
        <v>20</v>
      </c>
      <c r="L1271">
        <v>48</v>
      </c>
      <c r="M1271" t="s">
        <v>21</v>
      </c>
    </row>
    <row r="1272" spans="1:13" x14ac:dyDescent="0.35">
      <c r="A1272" t="s">
        <v>1984</v>
      </c>
      <c r="B1272" t="s">
        <v>38</v>
      </c>
      <c r="C1272" t="s">
        <v>1705</v>
      </c>
      <c r="D1272" t="s">
        <v>46</v>
      </c>
      <c r="E1272" t="s">
        <v>148</v>
      </c>
      <c r="F1272" t="s">
        <v>27</v>
      </c>
      <c r="G1272" t="s">
        <v>107</v>
      </c>
      <c r="H1272">
        <v>430</v>
      </c>
      <c r="I1272">
        <v>50</v>
      </c>
      <c r="J1272">
        <v>20</v>
      </c>
      <c r="K1272" t="s">
        <v>20</v>
      </c>
      <c r="L1272">
        <v>35</v>
      </c>
      <c r="M1272" t="s">
        <v>21</v>
      </c>
    </row>
    <row r="1273" spans="1:13" x14ac:dyDescent="0.35">
      <c r="A1273" t="s">
        <v>1985</v>
      </c>
      <c r="B1273" t="s">
        <v>513</v>
      </c>
      <c r="C1273" t="s">
        <v>1725</v>
      </c>
      <c r="D1273" t="s">
        <v>25</v>
      </c>
      <c r="E1273" t="s">
        <v>34</v>
      </c>
      <c r="F1273" t="s">
        <v>27</v>
      </c>
      <c r="G1273" t="s">
        <v>59</v>
      </c>
      <c r="H1273">
        <v>367</v>
      </c>
      <c r="I1273">
        <v>30</v>
      </c>
      <c r="J1273">
        <v>0</v>
      </c>
      <c r="K1273" t="s">
        <v>29</v>
      </c>
      <c r="L1273">
        <v>27</v>
      </c>
      <c r="M1273" t="s">
        <v>21</v>
      </c>
    </row>
    <row r="1274" spans="1:13" x14ac:dyDescent="0.35">
      <c r="A1274" t="s">
        <v>1986</v>
      </c>
      <c r="B1274" t="s">
        <v>207</v>
      </c>
      <c r="C1274" t="s">
        <v>1850</v>
      </c>
      <c r="D1274" t="s">
        <v>46</v>
      </c>
      <c r="E1274" t="s">
        <v>47</v>
      </c>
      <c r="F1274" t="s">
        <v>48</v>
      </c>
      <c r="G1274" t="s">
        <v>59</v>
      </c>
      <c r="H1274">
        <v>447</v>
      </c>
      <c r="I1274">
        <v>50</v>
      </c>
      <c r="J1274">
        <v>20</v>
      </c>
      <c r="K1274" t="s">
        <v>36</v>
      </c>
      <c r="L1274">
        <v>21</v>
      </c>
      <c r="M1274" t="s">
        <v>30</v>
      </c>
    </row>
    <row r="1275" spans="1:13" x14ac:dyDescent="0.35">
      <c r="A1275" t="s">
        <v>1987</v>
      </c>
      <c r="B1275" t="s">
        <v>174</v>
      </c>
      <c r="C1275" t="s">
        <v>592</v>
      </c>
      <c r="D1275" t="s">
        <v>53</v>
      </c>
      <c r="E1275" t="s">
        <v>84</v>
      </c>
      <c r="F1275" t="s">
        <v>85</v>
      </c>
      <c r="G1275" t="s">
        <v>49</v>
      </c>
      <c r="H1275">
        <v>699</v>
      </c>
      <c r="I1275">
        <v>50</v>
      </c>
      <c r="J1275">
        <v>100</v>
      </c>
      <c r="K1275" t="s">
        <v>29</v>
      </c>
      <c r="L1275">
        <v>49</v>
      </c>
      <c r="M1275" t="s">
        <v>21</v>
      </c>
    </row>
    <row r="1276" spans="1:13" x14ac:dyDescent="0.35">
      <c r="A1276" t="s">
        <v>1988</v>
      </c>
      <c r="B1276" t="s">
        <v>286</v>
      </c>
      <c r="C1276" t="s">
        <v>489</v>
      </c>
      <c r="D1276" t="s">
        <v>16</v>
      </c>
      <c r="E1276" t="s">
        <v>131</v>
      </c>
      <c r="F1276" t="s">
        <v>55</v>
      </c>
      <c r="G1276" t="s">
        <v>42</v>
      </c>
      <c r="H1276">
        <v>179</v>
      </c>
      <c r="I1276">
        <v>40</v>
      </c>
      <c r="J1276">
        <v>50</v>
      </c>
      <c r="K1276" t="s">
        <v>36</v>
      </c>
      <c r="L1276">
        <v>56</v>
      </c>
      <c r="M1276" t="s">
        <v>21</v>
      </c>
    </row>
    <row r="1277" spans="1:13" x14ac:dyDescent="0.35">
      <c r="A1277" t="s">
        <v>1989</v>
      </c>
      <c r="B1277" t="s">
        <v>146</v>
      </c>
      <c r="C1277" t="s">
        <v>1990</v>
      </c>
      <c r="D1277" t="s">
        <v>16</v>
      </c>
      <c r="E1277" t="s">
        <v>17</v>
      </c>
      <c r="F1277" t="s">
        <v>18</v>
      </c>
      <c r="G1277" t="s">
        <v>49</v>
      </c>
      <c r="H1277">
        <v>155</v>
      </c>
      <c r="I1277">
        <v>40</v>
      </c>
      <c r="J1277">
        <v>50</v>
      </c>
      <c r="K1277" t="s">
        <v>20</v>
      </c>
      <c r="L1277">
        <v>60</v>
      </c>
      <c r="M1277" t="s">
        <v>21</v>
      </c>
    </row>
    <row r="1278" spans="1:13" x14ac:dyDescent="0.35">
      <c r="A1278" t="s">
        <v>1991</v>
      </c>
      <c r="B1278" t="s">
        <v>57</v>
      </c>
      <c r="C1278" t="s">
        <v>1992</v>
      </c>
      <c r="D1278" t="s">
        <v>53</v>
      </c>
      <c r="E1278" t="s">
        <v>84</v>
      </c>
      <c r="F1278" t="s">
        <v>85</v>
      </c>
      <c r="G1278" t="s">
        <v>42</v>
      </c>
      <c r="H1278">
        <v>613</v>
      </c>
      <c r="I1278">
        <v>40</v>
      </c>
      <c r="J1278">
        <v>30</v>
      </c>
      <c r="K1278" t="s">
        <v>36</v>
      </c>
      <c r="L1278">
        <v>23</v>
      </c>
      <c r="M1278" t="s">
        <v>21</v>
      </c>
    </row>
    <row r="1279" spans="1:13" x14ac:dyDescent="0.35">
      <c r="A1279" t="s">
        <v>1993</v>
      </c>
      <c r="B1279" t="s">
        <v>91</v>
      </c>
      <c r="C1279" t="s">
        <v>596</v>
      </c>
      <c r="D1279" t="s">
        <v>53</v>
      </c>
      <c r="E1279" t="s">
        <v>152</v>
      </c>
      <c r="F1279" t="s">
        <v>18</v>
      </c>
      <c r="G1279" t="s">
        <v>74</v>
      </c>
      <c r="H1279">
        <v>347</v>
      </c>
      <c r="I1279">
        <v>20</v>
      </c>
      <c r="J1279">
        <v>100</v>
      </c>
      <c r="K1279" t="s">
        <v>36</v>
      </c>
      <c r="L1279">
        <v>50</v>
      </c>
      <c r="M1279" t="s">
        <v>21</v>
      </c>
    </row>
    <row r="1280" spans="1:13" x14ac:dyDescent="0.35">
      <c r="A1280" t="s">
        <v>1994</v>
      </c>
      <c r="B1280" t="s">
        <v>51</v>
      </c>
      <c r="C1280" t="s">
        <v>237</v>
      </c>
      <c r="D1280" t="s">
        <v>53</v>
      </c>
      <c r="E1280" t="s">
        <v>152</v>
      </c>
      <c r="F1280" t="s">
        <v>18</v>
      </c>
      <c r="G1280" t="s">
        <v>63</v>
      </c>
      <c r="H1280">
        <v>600</v>
      </c>
      <c r="I1280">
        <v>50</v>
      </c>
      <c r="J1280">
        <v>30</v>
      </c>
      <c r="K1280" t="s">
        <v>36</v>
      </c>
      <c r="L1280">
        <v>33</v>
      </c>
      <c r="M1280" t="s">
        <v>21</v>
      </c>
    </row>
    <row r="1281" spans="1:13" x14ac:dyDescent="0.35">
      <c r="A1281" t="s">
        <v>1995</v>
      </c>
      <c r="B1281" t="s">
        <v>393</v>
      </c>
      <c r="C1281" t="s">
        <v>555</v>
      </c>
      <c r="D1281" t="s">
        <v>16</v>
      </c>
      <c r="E1281" t="s">
        <v>89</v>
      </c>
      <c r="F1281" t="s">
        <v>18</v>
      </c>
      <c r="G1281" t="s">
        <v>74</v>
      </c>
      <c r="H1281">
        <v>571</v>
      </c>
      <c r="I1281">
        <v>50</v>
      </c>
      <c r="J1281">
        <v>0</v>
      </c>
      <c r="K1281" t="s">
        <v>36</v>
      </c>
      <c r="L1281">
        <v>33</v>
      </c>
      <c r="M1281" t="s">
        <v>21</v>
      </c>
    </row>
    <row r="1282" spans="1:13" x14ac:dyDescent="0.35">
      <c r="A1282" t="s">
        <v>1996</v>
      </c>
      <c r="B1282" t="s">
        <v>342</v>
      </c>
      <c r="C1282" t="s">
        <v>516</v>
      </c>
      <c r="D1282" t="s">
        <v>53</v>
      </c>
      <c r="E1282" t="s">
        <v>152</v>
      </c>
      <c r="F1282" t="s">
        <v>18</v>
      </c>
      <c r="G1282" t="s">
        <v>19</v>
      </c>
      <c r="H1282">
        <v>279</v>
      </c>
      <c r="I1282">
        <v>30</v>
      </c>
      <c r="J1282">
        <v>50</v>
      </c>
      <c r="K1282" t="s">
        <v>36</v>
      </c>
      <c r="L1282">
        <v>23</v>
      </c>
      <c r="M1282" t="s">
        <v>21</v>
      </c>
    </row>
    <row r="1283" spans="1:13" x14ac:dyDescent="0.35">
      <c r="A1283" t="s">
        <v>1997</v>
      </c>
      <c r="B1283" t="s">
        <v>432</v>
      </c>
      <c r="C1283" t="s">
        <v>1280</v>
      </c>
      <c r="D1283" t="s">
        <v>46</v>
      </c>
      <c r="E1283" t="s">
        <v>47</v>
      </c>
      <c r="F1283" t="s">
        <v>48</v>
      </c>
      <c r="G1283" t="s">
        <v>42</v>
      </c>
      <c r="H1283">
        <v>663</v>
      </c>
      <c r="I1283">
        <v>30</v>
      </c>
      <c r="J1283">
        <v>30</v>
      </c>
      <c r="K1283" t="s">
        <v>20</v>
      </c>
      <c r="L1283">
        <v>47</v>
      </c>
      <c r="M1283" t="s">
        <v>21</v>
      </c>
    </row>
    <row r="1284" spans="1:13" x14ac:dyDescent="0.35">
      <c r="A1284" t="s">
        <v>1998</v>
      </c>
      <c r="B1284" t="s">
        <v>657</v>
      </c>
      <c r="C1284" t="s">
        <v>710</v>
      </c>
      <c r="D1284" t="s">
        <v>53</v>
      </c>
      <c r="E1284" t="s">
        <v>84</v>
      </c>
      <c r="F1284" t="s">
        <v>85</v>
      </c>
      <c r="G1284" t="s">
        <v>28</v>
      </c>
      <c r="H1284">
        <v>650</v>
      </c>
      <c r="I1284">
        <v>40</v>
      </c>
      <c r="J1284">
        <v>0</v>
      </c>
      <c r="K1284" t="s">
        <v>29</v>
      </c>
      <c r="L1284">
        <v>56</v>
      </c>
      <c r="M1284" t="s">
        <v>21</v>
      </c>
    </row>
    <row r="1285" spans="1:13" x14ac:dyDescent="0.35">
      <c r="A1285" t="s">
        <v>1999</v>
      </c>
      <c r="B1285" t="s">
        <v>143</v>
      </c>
      <c r="C1285" t="s">
        <v>278</v>
      </c>
      <c r="D1285" t="s">
        <v>53</v>
      </c>
      <c r="E1285" t="s">
        <v>152</v>
      </c>
      <c r="F1285" t="s">
        <v>18</v>
      </c>
      <c r="G1285" t="s">
        <v>49</v>
      </c>
      <c r="H1285">
        <v>162</v>
      </c>
      <c r="I1285">
        <v>20</v>
      </c>
      <c r="J1285">
        <v>30</v>
      </c>
      <c r="K1285" t="s">
        <v>20</v>
      </c>
      <c r="L1285">
        <v>49</v>
      </c>
      <c r="M1285" t="s">
        <v>21</v>
      </c>
    </row>
    <row r="1286" spans="1:13" x14ac:dyDescent="0.35">
      <c r="A1286" t="s">
        <v>2000</v>
      </c>
      <c r="B1286" t="s">
        <v>146</v>
      </c>
      <c r="C1286" t="s">
        <v>638</v>
      </c>
      <c r="D1286" t="s">
        <v>25</v>
      </c>
      <c r="E1286" t="s">
        <v>34</v>
      </c>
      <c r="F1286" t="s">
        <v>27</v>
      </c>
      <c r="G1286" t="s">
        <v>59</v>
      </c>
      <c r="H1286">
        <v>748</v>
      </c>
      <c r="I1286">
        <v>20</v>
      </c>
      <c r="J1286">
        <v>0</v>
      </c>
      <c r="K1286" t="s">
        <v>29</v>
      </c>
      <c r="L1286">
        <v>40</v>
      </c>
      <c r="M1286" t="s">
        <v>21</v>
      </c>
    </row>
    <row r="1287" spans="1:13" x14ac:dyDescent="0.35">
      <c r="A1287" t="s">
        <v>2001</v>
      </c>
      <c r="B1287" t="s">
        <v>562</v>
      </c>
      <c r="C1287" t="s">
        <v>116</v>
      </c>
      <c r="D1287" t="s">
        <v>16</v>
      </c>
      <c r="E1287" t="s">
        <v>131</v>
      </c>
      <c r="F1287" t="s">
        <v>55</v>
      </c>
      <c r="G1287" t="s">
        <v>42</v>
      </c>
      <c r="H1287">
        <v>375</v>
      </c>
      <c r="I1287">
        <v>40</v>
      </c>
      <c r="J1287">
        <v>0</v>
      </c>
      <c r="K1287" t="s">
        <v>29</v>
      </c>
      <c r="L1287">
        <v>36</v>
      </c>
      <c r="M1287" t="s">
        <v>21</v>
      </c>
    </row>
    <row r="1288" spans="1:13" x14ac:dyDescent="0.35">
      <c r="A1288" t="s">
        <v>2002</v>
      </c>
      <c r="B1288" t="s">
        <v>113</v>
      </c>
      <c r="C1288" t="s">
        <v>337</v>
      </c>
      <c r="D1288" t="s">
        <v>40</v>
      </c>
      <c r="E1288" t="s">
        <v>41</v>
      </c>
      <c r="F1288" t="s">
        <v>27</v>
      </c>
      <c r="G1288" t="s">
        <v>35</v>
      </c>
      <c r="H1288">
        <v>677</v>
      </c>
      <c r="I1288">
        <v>20</v>
      </c>
      <c r="J1288">
        <v>100</v>
      </c>
      <c r="K1288" t="s">
        <v>36</v>
      </c>
      <c r="L1288">
        <v>24</v>
      </c>
      <c r="M1288" t="s">
        <v>21</v>
      </c>
    </row>
    <row r="1289" spans="1:13" x14ac:dyDescent="0.35">
      <c r="A1289" t="s">
        <v>2003</v>
      </c>
      <c r="B1289" t="s">
        <v>96</v>
      </c>
      <c r="C1289" t="s">
        <v>409</v>
      </c>
      <c r="D1289" t="s">
        <v>46</v>
      </c>
      <c r="E1289" t="s">
        <v>47</v>
      </c>
      <c r="F1289" t="s">
        <v>48</v>
      </c>
      <c r="G1289" t="s">
        <v>63</v>
      </c>
      <c r="H1289">
        <v>511</v>
      </c>
      <c r="I1289">
        <v>50</v>
      </c>
      <c r="J1289">
        <v>0</v>
      </c>
      <c r="K1289" t="s">
        <v>29</v>
      </c>
      <c r="L1289">
        <v>33</v>
      </c>
      <c r="M1289" t="s">
        <v>21</v>
      </c>
    </row>
    <row r="1290" spans="1:13" x14ac:dyDescent="0.35">
      <c r="A1290" t="s">
        <v>2004</v>
      </c>
      <c r="B1290" t="s">
        <v>541</v>
      </c>
      <c r="C1290" t="s">
        <v>2005</v>
      </c>
      <c r="D1290" t="s">
        <v>53</v>
      </c>
      <c r="E1290" t="s">
        <v>152</v>
      </c>
      <c r="F1290" t="s">
        <v>18</v>
      </c>
      <c r="G1290" t="s">
        <v>59</v>
      </c>
      <c r="H1290">
        <v>184</v>
      </c>
      <c r="I1290">
        <v>50</v>
      </c>
      <c r="J1290">
        <v>20</v>
      </c>
      <c r="K1290" t="s">
        <v>20</v>
      </c>
      <c r="L1290">
        <v>38</v>
      </c>
      <c r="M1290" t="s">
        <v>21</v>
      </c>
    </row>
    <row r="1291" spans="1:13" x14ac:dyDescent="0.35">
      <c r="A1291" t="s">
        <v>2006</v>
      </c>
      <c r="B1291" t="s">
        <v>51</v>
      </c>
      <c r="C1291" t="s">
        <v>320</v>
      </c>
      <c r="D1291" t="s">
        <v>16</v>
      </c>
      <c r="E1291" t="s">
        <v>17</v>
      </c>
      <c r="F1291" t="s">
        <v>18</v>
      </c>
      <c r="G1291" t="s">
        <v>28</v>
      </c>
      <c r="H1291">
        <v>403</v>
      </c>
      <c r="I1291">
        <v>20</v>
      </c>
      <c r="J1291">
        <v>100</v>
      </c>
      <c r="K1291" t="s">
        <v>20</v>
      </c>
      <c r="L1291">
        <v>24</v>
      </c>
      <c r="M1291" t="s">
        <v>21</v>
      </c>
    </row>
    <row r="1292" spans="1:13" x14ac:dyDescent="0.35">
      <c r="A1292" t="s">
        <v>2007</v>
      </c>
      <c r="B1292" t="s">
        <v>121</v>
      </c>
      <c r="C1292" t="s">
        <v>734</v>
      </c>
      <c r="D1292" t="s">
        <v>25</v>
      </c>
      <c r="E1292" t="s">
        <v>78</v>
      </c>
      <c r="F1292" t="s">
        <v>48</v>
      </c>
      <c r="G1292" t="s">
        <v>107</v>
      </c>
      <c r="H1292">
        <v>566</v>
      </c>
      <c r="I1292">
        <v>40</v>
      </c>
      <c r="J1292">
        <v>20</v>
      </c>
      <c r="K1292" t="s">
        <v>36</v>
      </c>
      <c r="L1292">
        <v>27</v>
      </c>
      <c r="M1292" t="s">
        <v>21</v>
      </c>
    </row>
    <row r="1293" spans="1:13" x14ac:dyDescent="0.35">
      <c r="A1293" t="s">
        <v>2008</v>
      </c>
      <c r="B1293" t="s">
        <v>91</v>
      </c>
      <c r="C1293" t="s">
        <v>2009</v>
      </c>
      <c r="D1293" t="s">
        <v>46</v>
      </c>
      <c r="E1293" t="s">
        <v>47</v>
      </c>
      <c r="F1293" t="s">
        <v>48</v>
      </c>
      <c r="G1293" t="s">
        <v>42</v>
      </c>
      <c r="H1293">
        <v>654</v>
      </c>
      <c r="I1293">
        <v>30</v>
      </c>
      <c r="J1293">
        <v>0</v>
      </c>
      <c r="K1293" t="s">
        <v>29</v>
      </c>
      <c r="L1293">
        <v>55</v>
      </c>
      <c r="M1293" t="s">
        <v>21</v>
      </c>
    </row>
    <row r="1294" spans="1:13" x14ac:dyDescent="0.35">
      <c r="A1294" t="s">
        <v>2010</v>
      </c>
      <c r="B1294" t="s">
        <v>91</v>
      </c>
      <c r="C1294" t="s">
        <v>1514</v>
      </c>
      <c r="D1294" t="s">
        <v>53</v>
      </c>
      <c r="E1294" t="s">
        <v>152</v>
      </c>
      <c r="F1294" t="s">
        <v>18</v>
      </c>
      <c r="G1294" t="s">
        <v>63</v>
      </c>
      <c r="H1294">
        <v>170</v>
      </c>
      <c r="I1294">
        <v>20</v>
      </c>
      <c r="J1294">
        <v>20</v>
      </c>
      <c r="K1294" t="s">
        <v>29</v>
      </c>
      <c r="L1294">
        <v>34</v>
      </c>
      <c r="M1294" t="s">
        <v>21</v>
      </c>
    </row>
    <row r="1295" spans="1:13" x14ac:dyDescent="0.35">
      <c r="A1295" t="s">
        <v>2011</v>
      </c>
      <c r="B1295" t="s">
        <v>51</v>
      </c>
      <c r="C1295" t="s">
        <v>1141</v>
      </c>
      <c r="D1295" t="s">
        <v>46</v>
      </c>
      <c r="E1295" t="s">
        <v>148</v>
      </c>
      <c r="F1295" t="s">
        <v>27</v>
      </c>
      <c r="G1295" t="s">
        <v>59</v>
      </c>
      <c r="H1295">
        <v>603</v>
      </c>
      <c r="I1295">
        <v>50</v>
      </c>
      <c r="J1295">
        <v>30</v>
      </c>
      <c r="K1295" t="s">
        <v>36</v>
      </c>
      <c r="L1295">
        <v>50</v>
      </c>
      <c r="M1295" t="s">
        <v>21</v>
      </c>
    </row>
    <row r="1296" spans="1:13" x14ac:dyDescent="0.35">
      <c r="A1296" t="s">
        <v>2012</v>
      </c>
      <c r="B1296" t="s">
        <v>87</v>
      </c>
      <c r="C1296" t="s">
        <v>1495</v>
      </c>
      <c r="D1296" t="s">
        <v>40</v>
      </c>
      <c r="E1296" t="s">
        <v>111</v>
      </c>
      <c r="F1296" t="s">
        <v>18</v>
      </c>
      <c r="G1296" t="s">
        <v>28</v>
      </c>
      <c r="H1296">
        <v>224</v>
      </c>
      <c r="I1296">
        <v>50</v>
      </c>
      <c r="J1296">
        <v>100</v>
      </c>
      <c r="K1296" t="s">
        <v>36</v>
      </c>
      <c r="L1296">
        <v>53</v>
      </c>
      <c r="M1296" t="s">
        <v>21</v>
      </c>
    </row>
    <row r="1297" spans="1:13" x14ac:dyDescent="0.35">
      <c r="A1297" t="s">
        <v>2013</v>
      </c>
      <c r="B1297" t="s">
        <v>96</v>
      </c>
      <c r="C1297" t="s">
        <v>1168</v>
      </c>
      <c r="D1297" t="s">
        <v>46</v>
      </c>
      <c r="E1297" t="s">
        <v>47</v>
      </c>
      <c r="F1297" t="s">
        <v>48</v>
      </c>
      <c r="G1297" t="s">
        <v>74</v>
      </c>
      <c r="H1297">
        <v>442</v>
      </c>
      <c r="I1297">
        <v>50</v>
      </c>
      <c r="J1297">
        <v>0</v>
      </c>
      <c r="K1297" t="s">
        <v>29</v>
      </c>
      <c r="L1297">
        <v>57</v>
      </c>
      <c r="M1297" t="s">
        <v>21</v>
      </c>
    </row>
    <row r="1298" spans="1:13" x14ac:dyDescent="0.35">
      <c r="A1298" t="s">
        <v>2014</v>
      </c>
      <c r="B1298" t="s">
        <v>32</v>
      </c>
      <c r="C1298" t="s">
        <v>506</v>
      </c>
      <c r="D1298" t="s">
        <v>53</v>
      </c>
      <c r="E1298" t="s">
        <v>54</v>
      </c>
      <c r="F1298" t="s">
        <v>55</v>
      </c>
      <c r="G1298" t="s">
        <v>49</v>
      </c>
      <c r="H1298">
        <v>175</v>
      </c>
      <c r="I1298">
        <v>50</v>
      </c>
      <c r="J1298">
        <v>100</v>
      </c>
      <c r="K1298" t="s">
        <v>20</v>
      </c>
      <c r="L1298">
        <v>55</v>
      </c>
      <c r="M1298" t="s">
        <v>30</v>
      </c>
    </row>
    <row r="1299" spans="1:13" x14ac:dyDescent="0.35">
      <c r="A1299" t="s">
        <v>2015</v>
      </c>
      <c r="B1299" t="s">
        <v>189</v>
      </c>
      <c r="C1299" t="s">
        <v>1450</v>
      </c>
      <c r="D1299" t="s">
        <v>40</v>
      </c>
      <c r="E1299" t="s">
        <v>67</v>
      </c>
      <c r="F1299" t="s">
        <v>48</v>
      </c>
      <c r="G1299" t="s">
        <v>74</v>
      </c>
      <c r="H1299">
        <v>642</v>
      </c>
      <c r="I1299">
        <v>40</v>
      </c>
      <c r="J1299">
        <v>0</v>
      </c>
      <c r="K1299" t="s">
        <v>29</v>
      </c>
      <c r="L1299">
        <v>31</v>
      </c>
      <c r="M1299" t="s">
        <v>30</v>
      </c>
    </row>
    <row r="1300" spans="1:13" x14ac:dyDescent="0.35">
      <c r="A1300" t="s">
        <v>2016</v>
      </c>
      <c r="B1300" t="s">
        <v>102</v>
      </c>
      <c r="C1300" t="s">
        <v>715</v>
      </c>
      <c r="D1300" t="s">
        <v>25</v>
      </c>
      <c r="E1300" t="s">
        <v>78</v>
      </c>
      <c r="F1300" t="s">
        <v>48</v>
      </c>
      <c r="G1300" t="s">
        <v>19</v>
      </c>
      <c r="H1300">
        <v>569</v>
      </c>
      <c r="I1300">
        <v>40</v>
      </c>
      <c r="J1300">
        <v>20</v>
      </c>
      <c r="K1300" t="s">
        <v>20</v>
      </c>
      <c r="L1300">
        <v>26</v>
      </c>
      <c r="M1300" t="s">
        <v>21</v>
      </c>
    </row>
    <row r="1301" spans="1:13" x14ac:dyDescent="0.35">
      <c r="A1301" t="s">
        <v>2017</v>
      </c>
      <c r="B1301" t="s">
        <v>113</v>
      </c>
      <c r="C1301" t="s">
        <v>1410</v>
      </c>
      <c r="D1301" t="s">
        <v>53</v>
      </c>
      <c r="E1301" t="s">
        <v>152</v>
      </c>
      <c r="F1301" t="s">
        <v>18</v>
      </c>
      <c r="G1301" t="s">
        <v>35</v>
      </c>
      <c r="H1301">
        <v>735</v>
      </c>
      <c r="I1301">
        <v>30</v>
      </c>
      <c r="J1301">
        <v>30</v>
      </c>
      <c r="K1301" t="s">
        <v>29</v>
      </c>
      <c r="L1301">
        <v>31</v>
      </c>
      <c r="M1301" t="s">
        <v>21</v>
      </c>
    </row>
    <row r="1302" spans="1:13" x14ac:dyDescent="0.35">
      <c r="A1302" t="s">
        <v>2018</v>
      </c>
      <c r="B1302" t="s">
        <v>44</v>
      </c>
      <c r="C1302" t="s">
        <v>396</v>
      </c>
      <c r="D1302" t="s">
        <v>25</v>
      </c>
      <c r="E1302" t="s">
        <v>34</v>
      </c>
      <c r="F1302" t="s">
        <v>27</v>
      </c>
      <c r="G1302" t="s">
        <v>74</v>
      </c>
      <c r="H1302">
        <v>710</v>
      </c>
      <c r="I1302">
        <v>40</v>
      </c>
      <c r="J1302">
        <v>0</v>
      </c>
      <c r="K1302" t="s">
        <v>20</v>
      </c>
      <c r="L1302">
        <v>30</v>
      </c>
      <c r="M1302" t="s">
        <v>21</v>
      </c>
    </row>
    <row r="1303" spans="1:13" x14ac:dyDescent="0.35">
      <c r="A1303" t="s">
        <v>2019</v>
      </c>
      <c r="B1303" t="s">
        <v>129</v>
      </c>
      <c r="C1303" t="s">
        <v>952</v>
      </c>
      <c r="D1303" t="s">
        <v>40</v>
      </c>
      <c r="E1303" t="s">
        <v>41</v>
      </c>
      <c r="F1303" t="s">
        <v>27</v>
      </c>
      <c r="G1303" t="s">
        <v>59</v>
      </c>
      <c r="H1303">
        <v>354</v>
      </c>
      <c r="I1303">
        <v>20</v>
      </c>
      <c r="J1303">
        <v>20</v>
      </c>
      <c r="K1303" t="s">
        <v>20</v>
      </c>
      <c r="L1303">
        <v>40</v>
      </c>
      <c r="M1303" t="s">
        <v>21</v>
      </c>
    </row>
    <row r="1304" spans="1:13" x14ac:dyDescent="0.35">
      <c r="A1304" t="s">
        <v>2020</v>
      </c>
      <c r="B1304" t="s">
        <v>297</v>
      </c>
      <c r="C1304" t="s">
        <v>621</v>
      </c>
      <c r="D1304" t="s">
        <v>53</v>
      </c>
      <c r="E1304" t="s">
        <v>152</v>
      </c>
      <c r="F1304" t="s">
        <v>18</v>
      </c>
      <c r="G1304" t="s">
        <v>63</v>
      </c>
      <c r="H1304">
        <v>338</v>
      </c>
      <c r="I1304">
        <v>50</v>
      </c>
      <c r="J1304">
        <v>100</v>
      </c>
      <c r="K1304" t="s">
        <v>20</v>
      </c>
      <c r="L1304">
        <v>52</v>
      </c>
      <c r="M1304" t="s">
        <v>21</v>
      </c>
    </row>
    <row r="1305" spans="1:13" x14ac:dyDescent="0.35">
      <c r="A1305" t="s">
        <v>2021</v>
      </c>
      <c r="B1305" t="s">
        <v>267</v>
      </c>
      <c r="C1305" t="s">
        <v>1490</v>
      </c>
      <c r="D1305" t="s">
        <v>25</v>
      </c>
      <c r="E1305" t="s">
        <v>34</v>
      </c>
      <c r="F1305" t="s">
        <v>27</v>
      </c>
      <c r="G1305" t="s">
        <v>28</v>
      </c>
      <c r="H1305">
        <v>378</v>
      </c>
      <c r="I1305">
        <v>20</v>
      </c>
      <c r="J1305">
        <v>0</v>
      </c>
      <c r="K1305" t="s">
        <v>29</v>
      </c>
      <c r="L1305">
        <v>54</v>
      </c>
      <c r="M1305" t="s">
        <v>21</v>
      </c>
    </row>
    <row r="1306" spans="1:13" x14ac:dyDescent="0.35">
      <c r="A1306" t="s">
        <v>2022</v>
      </c>
      <c r="B1306" t="s">
        <v>80</v>
      </c>
      <c r="C1306" t="s">
        <v>343</v>
      </c>
      <c r="D1306" t="s">
        <v>25</v>
      </c>
      <c r="E1306" t="s">
        <v>34</v>
      </c>
      <c r="F1306" t="s">
        <v>27</v>
      </c>
      <c r="G1306" t="s">
        <v>74</v>
      </c>
      <c r="H1306">
        <v>300</v>
      </c>
      <c r="I1306">
        <v>50</v>
      </c>
      <c r="J1306">
        <v>100</v>
      </c>
      <c r="K1306" t="s">
        <v>29</v>
      </c>
      <c r="L1306">
        <v>57</v>
      </c>
      <c r="M1306" t="s">
        <v>21</v>
      </c>
    </row>
    <row r="1307" spans="1:13" x14ac:dyDescent="0.35">
      <c r="A1307" t="s">
        <v>2023</v>
      </c>
      <c r="B1307" t="s">
        <v>32</v>
      </c>
      <c r="C1307" t="s">
        <v>1490</v>
      </c>
      <c r="D1307" t="s">
        <v>46</v>
      </c>
      <c r="E1307" t="s">
        <v>47</v>
      </c>
      <c r="F1307" t="s">
        <v>48</v>
      </c>
      <c r="G1307" t="s">
        <v>35</v>
      </c>
      <c r="H1307">
        <v>311</v>
      </c>
      <c r="I1307">
        <v>50</v>
      </c>
      <c r="J1307">
        <v>0</v>
      </c>
      <c r="K1307" t="s">
        <v>29</v>
      </c>
      <c r="L1307">
        <v>27</v>
      </c>
      <c r="M1307" t="s">
        <v>21</v>
      </c>
    </row>
    <row r="1308" spans="1:13" x14ac:dyDescent="0.35">
      <c r="A1308" t="s">
        <v>2024</v>
      </c>
      <c r="B1308" t="s">
        <v>118</v>
      </c>
      <c r="C1308" t="s">
        <v>1269</v>
      </c>
      <c r="D1308" t="s">
        <v>40</v>
      </c>
      <c r="E1308" t="s">
        <v>111</v>
      </c>
      <c r="F1308" t="s">
        <v>18</v>
      </c>
      <c r="G1308" t="s">
        <v>63</v>
      </c>
      <c r="H1308">
        <v>378</v>
      </c>
      <c r="I1308">
        <v>20</v>
      </c>
      <c r="J1308">
        <v>100</v>
      </c>
      <c r="K1308" t="s">
        <v>36</v>
      </c>
      <c r="L1308">
        <v>34</v>
      </c>
      <c r="M1308" t="s">
        <v>21</v>
      </c>
    </row>
    <row r="1309" spans="1:13" x14ac:dyDescent="0.35">
      <c r="A1309" t="s">
        <v>2025</v>
      </c>
      <c r="B1309" t="s">
        <v>295</v>
      </c>
      <c r="C1309" t="s">
        <v>1116</v>
      </c>
      <c r="D1309" t="s">
        <v>40</v>
      </c>
      <c r="E1309" t="s">
        <v>67</v>
      </c>
      <c r="F1309" t="s">
        <v>48</v>
      </c>
      <c r="G1309" t="s">
        <v>59</v>
      </c>
      <c r="H1309">
        <v>334</v>
      </c>
      <c r="I1309">
        <v>20</v>
      </c>
      <c r="J1309">
        <v>30</v>
      </c>
      <c r="K1309" t="s">
        <v>20</v>
      </c>
      <c r="L1309">
        <v>56</v>
      </c>
      <c r="M1309" t="s">
        <v>21</v>
      </c>
    </row>
    <row r="1310" spans="1:13" x14ac:dyDescent="0.35">
      <c r="A1310" t="s">
        <v>2026</v>
      </c>
      <c r="B1310" t="s">
        <v>23</v>
      </c>
      <c r="C1310" t="s">
        <v>437</v>
      </c>
      <c r="D1310" t="s">
        <v>40</v>
      </c>
      <c r="E1310" t="s">
        <v>111</v>
      </c>
      <c r="F1310" t="s">
        <v>18</v>
      </c>
      <c r="G1310" t="s">
        <v>176</v>
      </c>
      <c r="H1310">
        <v>423</v>
      </c>
      <c r="I1310">
        <v>50</v>
      </c>
      <c r="J1310">
        <v>100</v>
      </c>
      <c r="K1310" t="s">
        <v>36</v>
      </c>
      <c r="L1310">
        <v>20</v>
      </c>
      <c r="M1310" t="s">
        <v>21</v>
      </c>
    </row>
    <row r="1311" spans="1:13" x14ac:dyDescent="0.35">
      <c r="A1311" t="s">
        <v>2027</v>
      </c>
      <c r="B1311" t="s">
        <v>541</v>
      </c>
      <c r="C1311" t="s">
        <v>979</v>
      </c>
      <c r="D1311" t="s">
        <v>25</v>
      </c>
      <c r="E1311" t="s">
        <v>34</v>
      </c>
      <c r="F1311" t="s">
        <v>27</v>
      </c>
      <c r="G1311" t="s">
        <v>107</v>
      </c>
      <c r="H1311">
        <v>618</v>
      </c>
      <c r="I1311">
        <v>40</v>
      </c>
      <c r="J1311">
        <v>20</v>
      </c>
      <c r="K1311" t="s">
        <v>29</v>
      </c>
      <c r="L1311">
        <v>32</v>
      </c>
      <c r="M1311" t="s">
        <v>21</v>
      </c>
    </row>
    <row r="1312" spans="1:13" x14ac:dyDescent="0.35">
      <c r="A1312" t="s">
        <v>2028</v>
      </c>
      <c r="B1312" t="s">
        <v>72</v>
      </c>
      <c r="C1312" t="s">
        <v>457</v>
      </c>
      <c r="D1312" t="s">
        <v>53</v>
      </c>
      <c r="E1312" t="s">
        <v>84</v>
      </c>
      <c r="F1312" t="s">
        <v>85</v>
      </c>
      <c r="G1312" t="s">
        <v>19</v>
      </c>
      <c r="H1312">
        <v>453</v>
      </c>
      <c r="I1312">
        <v>50</v>
      </c>
      <c r="J1312">
        <v>20</v>
      </c>
      <c r="K1312" t="s">
        <v>29</v>
      </c>
      <c r="L1312">
        <v>48</v>
      </c>
      <c r="M1312" t="s">
        <v>21</v>
      </c>
    </row>
    <row r="1313" spans="1:13" x14ac:dyDescent="0.35">
      <c r="A1313" t="s">
        <v>2029</v>
      </c>
      <c r="B1313" t="s">
        <v>297</v>
      </c>
      <c r="C1313" t="s">
        <v>2030</v>
      </c>
      <c r="D1313" t="s">
        <v>40</v>
      </c>
      <c r="E1313" t="s">
        <v>111</v>
      </c>
      <c r="F1313" t="s">
        <v>18</v>
      </c>
      <c r="G1313" t="s">
        <v>42</v>
      </c>
      <c r="H1313">
        <v>249</v>
      </c>
      <c r="I1313">
        <v>50</v>
      </c>
      <c r="J1313">
        <v>30</v>
      </c>
      <c r="K1313" t="s">
        <v>36</v>
      </c>
      <c r="L1313">
        <v>23</v>
      </c>
      <c r="M1313" t="s">
        <v>21</v>
      </c>
    </row>
    <row r="1314" spans="1:13" x14ac:dyDescent="0.35">
      <c r="A1314" t="s">
        <v>2031</v>
      </c>
      <c r="B1314" t="s">
        <v>72</v>
      </c>
      <c r="C1314" t="s">
        <v>514</v>
      </c>
      <c r="D1314" t="s">
        <v>16</v>
      </c>
      <c r="E1314" t="s">
        <v>89</v>
      </c>
      <c r="F1314" t="s">
        <v>18</v>
      </c>
      <c r="G1314" t="s">
        <v>28</v>
      </c>
      <c r="H1314">
        <v>610</v>
      </c>
      <c r="I1314">
        <v>20</v>
      </c>
      <c r="J1314">
        <v>30</v>
      </c>
      <c r="K1314" t="s">
        <v>20</v>
      </c>
      <c r="L1314">
        <v>58</v>
      </c>
      <c r="M1314" t="s">
        <v>21</v>
      </c>
    </row>
    <row r="1315" spans="1:13" x14ac:dyDescent="0.35">
      <c r="A1315" t="s">
        <v>2032</v>
      </c>
      <c r="B1315" t="s">
        <v>109</v>
      </c>
      <c r="C1315" t="s">
        <v>618</v>
      </c>
      <c r="D1315" t="s">
        <v>16</v>
      </c>
      <c r="E1315" t="s">
        <v>131</v>
      </c>
      <c r="F1315" t="s">
        <v>55</v>
      </c>
      <c r="G1315" t="s">
        <v>74</v>
      </c>
      <c r="H1315">
        <v>518</v>
      </c>
      <c r="I1315">
        <v>50</v>
      </c>
      <c r="J1315">
        <v>50</v>
      </c>
      <c r="K1315" t="s">
        <v>29</v>
      </c>
      <c r="L1315">
        <v>38</v>
      </c>
      <c r="M1315" t="s">
        <v>21</v>
      </c>
    </row>
    <row r="1316" spans="1:13" x14ac:dyDescent="0.35">
      <c r="A1316" t="s">
        <v>2033</v>
      </c>
      <c r="B1316" t="s">
        <v>291</v>
      </c>
      <c r="C1316" t="s">
        <v>1581</v>
      </c>
      <c r="D1316" t="s">
        <v>40</v>
      </c>
      <c r="E1316" t="s">
        <v>41</v>
      </c>
      <c r="F1316" t="s">
        <v>27</v>
      </c>
      <c r="G1316" t="s">
        <v>42</v>
      </c>
      <c r="H1316">
        <v>582</v>
      </c>
      <c r="I1316">
        <v>30</v>
      </c>
      <c r="J1316">
        <v>20</v>
      </c>
      <c r="K1316" t="s">
        <v>20</v>
      </c>
      <c r="L1316">
        <v>40</v>
      </c>
      <c r="M1316" t="s">
        <v>21</v>
      </c>
    </row>
    <row r="1317" spans="1:13" x14ac:dyDescent="0.35">
      <c r="A1317" t="s">
        <v>2034</v>
      </c>
      <c r="B1317" t="s">
        <v>192</v>
      </c>
      <c r="C1317" t="s">
        <v>175</v>
      </c>
      <c r="D1317" t="s">
        <v>25</v>
      </c>
      <c r="E1317" t="s">
        <v>26</v>
      </c>
      <c r="F1317" t="s">
        <v>27</v>
      </c>
      <c r="G1317" t="s">
        <v>63</v>
      </c>
      <c r="H1317">
        <v>627</v>
      </c>
      <c r="I1317">
        <v>50</v>
      </c>
      <c r="J1317">
        <v>100</v>
      </c>
      <c r="K1317" t="s">
        <v>20</v>
      </c>
      <c r="L1317">
        <v>20</v>
      </c>
      <c r="M1317" t="s">
        <v>21</v>
      </c>
    </row>
    <row r="1318" spans="1:13" x14ac:dyDescent="0.35">
      <c r="A1318" t="s">
        <v>2035</v>
      </c>
      <c r="B1318" t="s">
        <v>365</v>
      </c>
      <c r="C1318" t="s">
        <v>501</v>
      </c>
      <c r="D1318" t="s">
        <v>46</v>
      </c>
      <c r="E1318" t="s">
        <v>70</v>
      </c>
      <c r="F1318" t="s">
        <v>18</v>
      </c>
      <c r="G1318" t="s">
        <v>107</v>
      </c>
      <c r="H1318">
        <v>189</v>
      </c>
      <c r="I1318">
        <v>50</v>
      </c>
      <c r="J1318">
        <v>50</v>
      </c>
      <c r="K1318" t="s">
        <v>36</v>
      </c>
      <c r="L1318">
        <v>57</v>
      </c>
      <c r="M1318" t="s">
        <v>21</v>
      </c>
    </row>
    <row r="1319" spans="1:13" x14ac:dyDescent="0.35">
      <c r="A1319" t="s">
        <v>2036</v>
      </c>
      <c r="B1319" t="s">
        <v>435</v>
      </c>
      <c r="C1319" t="s">
        <v>195</v>
      </c>
      <c r="D1319" t="s">
        <v>16</v>
      </c>
      <c r="E1319" t="s">
        <v>131</v>
      </c>
      <c r="F1319" t="s">
        <v>55</v>
      </c>
      <c r="G1319" t="s">
        <v>49</v>
      </c>
      <c r="H1319">
        <v>459</v>
      </c>
      <c r="I1319">
        <v>30</v>
      </c>
      <c r="J1319">
        <v>20</v>
      </c>
      <c r="K1319" t="s">
        <v>29</v>
      </c>
      <c r="L1319">
        <v>27</v>
      </c>
      <c r="M1319" t="s">
        <v>30</v>
      </c>
    </row>
    <row r="1320" spans="1:13" x14ac:dyDescent="0.35">
      <c r="A1320" t="s">
        <v>2037</v>
      </c>
      <c r="B1320" t="s">
        <v>113</v>
      </c>
      <c r="C1320" t="s">
        <v>956</v>
      </c>
      <c r="D1320" t="s">
        <v>16</v>
      </c>
      <c r="E1320" t="s">
        <v>89</v>
      </c>
      <c r="F1320" t="s">
        <v>18</v>
      </c>
      <c r="G1320" t="s">
        <v>74</v>
      </c>
      <c r="H1320">
        <v>467</v>
      </c>
      <c r="I1320">
        <v>30</v>
      </c>
      <c r="J1320">
        <v>30</v>
      </c>
      <c r="K1320" t="s">
        <v>36</v>
      </c>
      <c r="L1320">
        <v>25</v>
      </c>
      <c r="M1320" t="s">
        <v>21</v>
      </c>
    </row>
    <row r="1321" spans="1:13" x14ac:dyDescent="0.35">
      <c r="A1321" t="s">
        <v>2038</v>
      </c>
      <c r="B1321" t="s">
        <v>51</v>
      </c>
      <c r="C1321" t="s">
        <v>1978</v>
      </c>
      <c r="D1321" t="s">
        <v>46</v>
      </c>
      <c r="E1321" t="s">
        <v>148</v>
      </c>
      <c r="F1321" t="s">
        <v>27</v>
      </c>
      <c r="G1321" t="s">
        <v>49</v>
      </c>
      <c r="H1321">
        <v>225</v>
      </c>
      <c r="I1321">
        <v>20</v>
      </c>
      <c r="J1321">
        <v>30</v>
      </c>
      <c r="K1321" t="s">
        <v>29</v>
      </c>
      <c r="L1321">
        <v>51</v>
      </c>
      <c r="M1321" t="s">
        <v>21</v>
      </c>
    </row>
    <row r="1322" spans="1:13" x14ac:dyDescent="0.35">
      <c r="A1322" t="s">
        <v>2039</v>
      </c>
      <c r="B1322" t="s">
        <v>186</v>
      </c>
      <c r="C1322" t="s">
        <v>834</v>
      </c>
      <c r="D1322" t="s">
        <v>53</v>
      </c>
      <c r="E1322" t="s">
        <v>84</v>
      </c>
      <c r="F1322" t="s">
        <v>85</v>
      </c>
      <c r="G1322" t="s">
        <v>74</v>
      </c>
      <c r="H1322">
        <v>429</v>
      </c>
      <c r="I1322">
        <v>20</v>
      </c>
      <c r="J1322">
        <v>100</v>
      </c>
      <c r="K1322" t="s">
        <v>20</v>
      </c>
      <c r="L1322">
        <v>38</v>
      </c>
      <c r="M1322" t="s">
        <v>21</v>
      </c>
    </row>
    <row r="1323" spans="1:13" x14ac:dyDescent="0.35">
      <c r="A1323" t="s">
        <v>2040</v>
      </c>
      <c r="B1323" t="s">
        <v>583</v>
      </c>
      <c r="C1323" t="s">
        <v>1907</v>
      </c>
      <c r="D1323" t="s">
        <v>40</v>
      </c>
      <c r="E1323" t="s">
        <v>67</v>
      </c>
      <c r="F1323" t="s">
        <v>48</v>
      </c>
      <c r="G1323" t="s">
        <v>176</v>
      </c>
      <c r="H1323">
        <v>620</v>
      </c>
      <c r="I1323">
        <v>40</v>
      </c>
      <c r="J1323">
        <v>50</v>
      </c>
      <c r="K1323" t="s">
        <v>20</v>
      </c>
      <c r="L1323">
        <v>31</v>
      </c>
      <c r="M1323" t="s">
        <v>21</v>
      </c>
    </row>
    <row r="1324" spans="1:13" x14ac:dyDescent="0.35">
      <c r="A1324" t="s">
        <v>2041</v>
      </c>
      <c r="B1324" t="s">
        <v>61</v>
      </c>
      <c r="C1324" t="s">
        <v>964</v>
      </c>
      <c r="D1324" t="s">
        <v>53</v>
      </c>
      <c r="E1324" t="s">
        <v>152</v>
      </c>
      <c r="F1324" t="s">
        <v>18</v>
      </c>
      <c r="G1324" t="s">
        <v>28</v>
      </c>
      <c r="H1324">
        <v>187</v>
      </c>
      <c r="I1324">
        <v>40</v>
      </c>
      <c r="J1324">
        <v>20</v>
      </c>
      <c r="K1324" t="s">
        <v>20</v>
      </c>
      <c r="L1324">
        <v>48</v>
      </c>
      <c r="M1324" t="s">
        <v>21</v>
      </c>
    </row>
    <row r="1325" spans="1:13" x14ac:dyDescent="0.35">
      <c r="A1325" t="s">
        <v>2042</v>
      </c>
      <c r="B1325" t="s">
        <v>109</v>
      </c>
      <c r="C1325" t="s">
        <v>159</v>
      </c>
      <c r="D1325" t="s">
        <v>46</v>
      </c>
      <c r="E1325" t="s">
        <v>148</v>
      </c>
      <c r="F1325" t="s">
        <v>27</v>
      </c>
      <c r="G1325" t="s">
        <v>49</v>
      </c>
      <c r="H1325">
        <v>641</v>
      </c>
      <c r="I1325">
        <v>20</v>
      </c>
      <c r="J1325">
        <v>30</v>
      </c>
      <c r="K1325" t="s">
        <v>29</v>
      </c>
      <c r="L1325">
        <v>31</v>
      </c>
      <c r="M1325" t="s">
        <v>21</v>
      </c>
    </row>
    <row r="1326" spans="1:13" x14ac:dyDescent="0.35">
      <c r="A1326" t="s">
        <v>2043</v>
      </c>
      <c r="B1326" t="s">
        <v>413</v>
      </c>
      <c r="C1326" t="s">
        <v>585</v>
      </c>
      <c r="D1326" t="s">
        <v>46</v>
      </c>
      <c r="E1326" t="s">
        <v>70</v>
      </c>
      <c r="F1326" t="s">
        <v>18</v>
      </c>
      <c r="G1326" t="s">
        <v>107</v>
      </c>
      <c r="H1326">
        <v>696</v>
      </c>
      <c r="I1326">
        <v>20</v>
      </c>
      <c r="J1326">
        <v>50</v>
      </c>
      <c r="K1326" t="s">
        <v>36</v>
      </c>
      <c r="L1326">
        <v>50</v>
      </c>
      <c r="M1326" t="s">
        <v>21</v>
      </c>
    </row>
    <row r="1327" spans="1:13" x14ac:dyDescent="0.35">
      <c r="A1327" t="s">
        <v>2044</v>
      </c>
      <c r="B1327" t="s">
        <v>99</v>
      </c>
      <c r="C1327" t="s">
        <v>66</v>
      </c>
      <c r="D1327" t="s">
        <v>53</v>
      </c>
      <c r="E1327" t="s">
        <v>54</v>
      </c>
      <c r="F1327" t="s">
        <v>55</v>
      </c>
      <c r="G1327" t="s">
        <v>35</v>
      </c>
      <c r="H1327">
        <v>401</v>
      </c>
      <c r="I1327">
        <v>40</v>
      </c>
      <c r="J1327">
        <v>30</v>
      </c>
      <c r="K1327" t="s">
        <v>36</v>
      </c>
      <c r="L1327">
        <v>43</v>
      </c>
      <c r="M1327" t="s">
        <v>21</v>
      </c>
    </row>
    <row r="1328" spans="1:13" x14ac:dyDescent="0.35">
      <c r="A1328" t="s">
        <v>2045</v>
      </c>
      <c r="B1328" t="s">
        <v>413</v>
      </c>
      <c r="C1328" t="s">
        <v>1495</v>
      </c>
      <c r="D1328" t="s">
        <v>53</v>
      </c>
      <c r="E1328" t="s">
        <v>54</v>
      </c>
      <c r="F1328" t="s">
        <v>55</v>
      </c>
      <c r="G1328" t="s">
        <v>74</v>
      </c>
      <c r="H1328">
        <v>270</v>
      </c>
      <c r="I1328">
        <v>40</v>
      </c>
      <c r="J1328">
        <v>100</v>
      </c>
      <c r="K1328" t="s">
        <v>36</v>
      </c>
      <c r="L1328">
        <v>60</v>
      </c>
      <c r="M1328" t="s">
        <v>21</v>
      </c>
    </row>
    <row r="1329" spans="1:13" x14ac:dyDescent="0.35">
      <c r="A1329" t="s">
        <v>2046</v>
      </c>
      <c r="B1329" t="s">
        <v>476</v>
      </c>
      <c r="C1329" t="s">
        <v>2047</v>
      </c>
      <c r="D1329" t="s">
        <v>46</v>
      </c>
      <c r="E1329" t="s">
        <v>148</v>
      </c>
      <c r="F1329" t="s">
        <v>27</v>
      </c>
      <c r="G1329" t="s">
        <v>35</v>
      </c>
      <c r="H1329">
        <v>343</v>
      </c>
      <c r="I1329">
        <v>30</v>
      </c>
      <c r="J1329">
        <v>100</v>
      </c>
      <c r="K1329" t="s">
        <v>29</v>
      </c>
      <c r="L1329">
        <v>27</v>
      </c>
      <c r="M1329" t="s">
        <v>21</v>
      </c>
    </row>
    <row r="1330" spans="1:13" x14ac:dyDescent="0.35">
      <c r="A1330" t="s">
        <v>2048</v>
      </c>
      <c r="B1330" t="s">
        <v>297</v>
      </c>
      <c r="C1330" t="s">
        <v>382</v>
      </c>
      <c r="D1330" t="s">
        <v>16</v>
      </c>
      <c r="E1330" t="s">
        <v>17</v>
      </c>
      <c r="F1330" t="s">
        <v>18</v>
      </c>
      <c r="G1330" t="s">
        <v>35</v>
      </c>
      <c r="H1330">
        <v>392</v>
      </c>
      <c r="I1330">
        <v>40</v>
      </c>
      <c r="J1330">
        <v>30</v>
      </c>
      <c r="K1330" t="s">
        <v>29</v>
      </c>
      <c r="L1330">
        <v>29</v>
      </c>
      <c r="M1330" t="s">
        <v>21</v>
      </c>
    </row>
    <row r="1331" spans="1:13" x14ac:dyDescent="0.35">
      <c r="A1331" t="s">
        <v>2049</v>
      </c>
      <c r="B1331" t="s">
        <v>121</v>
      </c>
      <c r="C1331" t="s">
        <v>2050</v>
      </c>
      <c r="D1331" t="s">
        <v>40</v>
      </c>
      <c r="E1331" t="s">
        <v>111</v>
      </c>
      <c r="F1331" t="s">
        <v>18</v>
      </c>
      <c r="G1331" t="s">
        <v>74</v>
      </c>
      <c r="H1331">
        <v>275</v>
      </c>
      <c r="I1331">
        <v>50</v>
      </c>
      <c r="J1331">
        <v>50</v>
      </c>
      <c r="K1331" t="s">
        <v>29</v>
      </c>
      <c r="L1331">
        <v>23</v>
      </c>
      <c r="M1331" t="s">
        <v>21</v>
      </c>
    </row>
    <row r="1332" spans="1:13" x14ac:dyDescent="0.35">
      <c r="A1332" t="s">
        <v>2051</v>
      </c>
      <c r="B1332" t="s">
        <v>526</v>
      </c>
      <c r="C1332" t="s">
        <v>914</v>
      </c>
      <c r="D1332" t="s">
        <v>40</v>
      </c>
      <c r="E1332" t="s">
        <v>111</v>
      </c>
      <c r="F1332" t="s">
        <v>18</v>
      </c>
      <c r="G1332" t="s">
        <v>63</v>
      </c>
      <c r="H1332">
        <v>503</v>
      </c>
      <c r="I1332">
        <v>20</v>
      </c>
      <c r="J1332">
        <v>100</v>
      </c>
      <c r="K1332" t="s">
        <v>20</v>
      </c>
      <c r="L1332">
        <v>48</v>
      </c>
      <c r="M1332" t="s">
        <v>21</v>
      </c>
    </row>
    <row r="1333" spans="1:13" x14ac:dyDescent="0.35">
      <c r="A1333" t="s">
        <v>2052</v>
      </c>
      <c r="B1333" t="s">
        <v>126</v>
      </c>
      <c r="C1333" t="s">
        <v>749</v>
      </c>
      <c r="D1333" t="s">
        <v>25</v>
      </c>
      <c r="E1333" t="s">
        <v>78</v>
      </c>
      <c r="F1333" t="s">
        <v>48</v>
      </c>
      <c r="G1333" t="s">
        <v>35</v>
      </c>
      <c r="H1333">
        <v>575</v>
      </c>
      <c r="I1333">
        <v>20</v>
      </c>
      <c r="J1333">
        <v>50</v>
      </c>
      <c r="K1333" t="s">
        <v>20</v>
      </c>
      <c r="L1333">
        <v>21</v>
      </c>
      <c r="M1333" t="s">
        <v>30</v>
      </c>
    </row>
    <row r="1334" spans="1:13" x14ac:dyDescent="0.35">
      <c r="A1334" t="s">
        <v>2053</v>
      </c>
      <c r="B1334" t="s">
        <v>486</v>
      </c>
      <c r="C1334" t="s">
        <v>1935</v>
      </c>
      <c r="D1334" t="s">
        <v>40</v>
      </c>
      <c r="E1334" t="s">
        <v>41</v>
      </c>
      <c r="F1334" t="s">
        <v>27</v>
      </c>
      <c r="G1334" t="s">
        <v>176</v>
      </c>
      <c r="H1334">
        <v>472</v>
      </c>
      <c r="I1334">
        <v>20</v>
      </c>
      <c r="J1334">
        <v>0</v>
      </c>
      <c r="K1334" t="s">
        <v>36</v>
      </c>
      <c r="L1334">
        <v>58</v>
      </c>
      <c r="M1334" t="s">
        <v>21</v>
      </c>
    </row>
    <row r="1335" spans="1:13" x14ac:dyDescent="0.35">
      <c r="A1335" t="s">
        <v>2054</v>
      </c>
      <c r="B1335" t="s">
        <v>273</v>
      </c>
      <c r="C1335" t="s">
        <v>469</v>
      </c>
      <c r="D1335" t="s">
        <v>16</v>
      </c>
      <c r="E1335" t="s">
        <v>89</v>
      </c>
      <c r="F1335" t="s">
        <v>18</v>
      </c>
      <c r="G1335" t="s">
        <v>42</v>
      </c>
      <c r="H1335">
        <v>292</v>
      </c>
      <c r="I1335">
        <v>50</v>
      </c>
      <c r="J1335">
        <v>50</v>
      </c>
      <c r="K1335" t="s">
        <v>36</v>
      </c>
      <c r="L1335">
        <v>25</v>
      </c>
      <c r="M1335" t="s">
        <v>21</v>
      </c>
    </row>
    <row r="1336" spans="1:13" x14ac:dyDescent="0.35">
      <c r="A1336" t="s">
        <v>2055</v>
      </c>
      <c r="B1336" t="s">
        <v>365</v>
      </c>
      <c r="C1336" t="s">
        <v>719</v>
      </c>
      <c r="D1336" t="s">
        <v>16</v>
      </c>
      <c r="E1336" t="s">
        <v>89</v>
      </c>
      <c r="F1336" t="s">
        <v>18</v>
      </c>
      <c r="G1336" t="s">
        <v>74</v>
      </c>
      <c r="H1336">
        <v>526</v>
      </c>
      <c r="I1336">
        <v>30</v>
      </c>
      <c r="J1336">
        <v>50</v>
      </c>
      <c r="K1336" t="s">
        <v>29</v>
      </c>
      <c r="L1336">
        <v>26</v>
      </c>
      <c r="M1336" t="s">
        <v>30</v>
      </c>
    </row>
    <row r="1337" spans="1:13" x14ac:dyDescent="0.35">
      <c r="A1337" t="s">
        <v>2056</v>
      </c>
      <c r="B1337" t="s">
        <v>167</v>
      </c>
      <c r="C1337" t="s">
        <v>1913</v>
      </c>
      <c r="D1337" t="s">
        <v>25</v>
      </c>
      <c r="E1337" t="s">
        <v>78</v>
      </c>
      <c r="F1337" t="s">
        <v>48</v>
      </c>
      <c r="G1337" t="s">
        <v>19</v>
      </c>
      <c r="H1337">
        <v>745</v>
      </c>
      <c r="I1337">
        <v>20</v>
      </c>
      <c r="J1337">
        <v>30</v>
      </c>
      <c r="K1337" t="s">
        <v>20</v>
      </c>
      <c r="L1337">
        <v>29</v>
      </c>
      <c r="M1337" t="s">
        <v>21</v>
      </c>
    </row>
    <row r="1338" spans="1:13" x14ac:dyDescent="0.35">
      <c r="A1338" t="s">
        <v>2057</v>
      </c>
      <c r="B1338" t="s">
        <v>322</v>
      </c>
      <c r="C1338" t="s">
        <v>237</v>
      </c>
      <c r="D1338" t="s">
        <v>25</v>
      </c>
      <c r="E1338" t="s">
        <v>34</v>
      </c>
      <c r="F1338" t="s">
        <v>27</v>
      </c>
      <c r="G1338" t="s">
        <v>49</v>
      </c>
      <c r="H1338">
        <v>276</v>
      </c>
      <c r="I1338">
        <v>20</v>
      </c>
      <c r="J1338">
        <v>100</v>
      </c>
      <c r="K1338" t="s">
        <v>36</v>
      </c>
      <c r="L1338">
        <v>28</v>
      </c>
      <c r="M1338" t="s">
        <v>21</v>
      </c>
    </row>
    <row r="1339" spans="1:13" x14ac:dyDescent="0.35">
      <c r="A1339" t="s">
        <v>2058</v>
      </c>
      <c r="B1339" t="s">
        <v>280</v>
      </c>
      <c r="C1339" t="s">
        <v>480</v>
      </c>
      <c r="D1339" t="s">
        <v>40</v>
      </c>
      <c r="E1339" t="s">
        <v>111</v>
      </c>
      <c r="F1339" t="s">
        <v>18</v>
      </c>
      <c r="G1339" t="s">
        <v>63</v>
      </c>
      <c r="H1339">
        <v>246</v>
      </c>
      <c r="I1339">
        <v>50</v>
      </c>
      <c r="J1339">
        <v>100</v>
      </c>
      <c r="K1339" t="s">
        <v>29</v>
      </c>
      <c r="L1339">
        <v>24</v>
      </c>
      <c r="M1339" t="s">
        <v>21</v>
      </c>
    </row>
    <row r="1340" spans="1:13" x14ac:dyDescent="0.35">
      <c r="A1340" t="s">
        <v>2059</v>
      </c>
      <c r="B1340" t="s">
        <v>454</v>
      </c>
      <c r="C1340" t="s">
        <v>1318</v>
      </c>
      <c r="D1340" t="s">
        <v>40</v>
      </c>
      <c r="E1340" t="s">
        <v>67</v>
      </c>
      <c r="F1340" t="s">
        <v>48</v>
      </c>
      <c r="G1340" t="s">
        <v>107</v>
      </c>
      <c r="H1340">
        <v>529</v>
      </c>
      <c r="I1340">
        <v>30</v>
      </c>
      <c r="J1340">
        <v>30</v>
      </c>
      <c r="K1340" t="s">
        <v>36</v>
      </c>
      <c r="L1340">
        <v>33</v>
      </c>
      <c r="M1340" t="s">
        <v>21</v>
      </c>
    </row>
    <row r="1341" spans="1:13" x14ac:dyDescent="0.35">
      <c r="A1341" t="s">
        <v>2060</v>
      </c>
      <c r="B1341" t="s">
        <v>342</v>
      </c>
      <c r="C1341" t="s">
        <v>501</v>
      </c>
      <c r="D1341" t="s">
        <v>46</v>
      </c>
      <c r="E1341" t="s">
        <v>148</v>
      </c>
      <c r="F1341" t="s">
        <v>27</v>
      </c>
      <c r="G1341" t="s">
        <v>59</v>
      </c>
      <c r="H1341">
        <v>426</v>
      </c>
      <c r="I1341">
        <v>40</v>
      </c>
      <c r="J1341">
        <v>20</v>
      </c>
      <c r="K1341" t="s">
        <v>29</v>
      </c>
      <c r="L1341">
        <v>32</v>
      </c>
      <c r="M1341" t="s">
        <v>21</v>
      </c>
    </row>
    <row r="1342" spans="1:13" x14ac:dyDescent="0.35">
      <c r="A1342" t="s">
        <v>2061</v>
      </c>
      <c r="B1342" t="s">
        <v>113</v>
      </c>
      <c r="C1342" t="s">
        <v>2062</v>
      </c>
      <c r="D1342" t="s">
        <v>46</v>
      </c>
      <c r="E1342" t="s">
        <v>47</v>
      </c>
      <c r="F1342" t="s">
        <v>48</v>
      </c>
      <c r="G1342" t="s">
        <v>28</v>
      </c>
      <c r="H1342">
        <v>611</v>
      </c>
      <c r="I1342">
        <v>30</v>
      </c>
      <c r="J1342">
        <v>0</v>
      </c>
      <c r="K1342" t="s">
        <v>29</v>
      </c>
      <c r="L1342">
        <v>43</v>
      </c>
      <c r="M1342" t="s">
        <v>21</v>
      </c>
    </row>
    <row r="1343" spans="1:13" x14ac:dyDescent="0.35">
      <c r="A1343" t="s">
        <v>2063</v>
      </c>
      <c r="B1343" t="s">
        <v>14</v>
      </c>
      <c r="C1343" t="s">
        <v>127</v>
      </c>
      <c r="D1343" t="s">
        <v>16</v>
      </c>
      <c r="E1343" t="s">
        <v>89</v>
      </c>
      <c r="F1343" t="s">
        <v>18</v>
      </c>
      <c r="G1343" t="s">
        <v>19</v>
      </c>
      <c r="H1343">
        <v>644</v>
      </c>
      <c r="I1343">
        <v>50</v>
      </c>
      <c r="J1343">
        <v>30</v>
      </c>
      <c r="K1343" t="s">
        <v>29</v>
      </c>
      <c r="L1343">
        <v>27</v>
      </c>
      <c r="M1343" t="s">
        <v>21</v>
      </c>
    </row>
    <row r="1344" spans="1:13" x14ac:dyDescent="0.35">
      <c r="A1344" t="s">
        <v>2064</v>
      </c>
      <c r="B1344" t="s">
        <v>273</v>
      </c>
      <c r="C1344" t="s">
        <v>816</v>
      </c>
      <c r="D1344" t="s">
        <v>40</v>
      </c>
      <c r="E1344" t="s">
        <v>67</v>
      </c>
      <c r="F1344" t="s">
        <v>48</v>
      </c>
      <c r="G1344" t="s">
        <v>74</v>
      </c>
      <c r="H1344">
        <v>340</v>
      </c>
      <c r="I1344">
        <v>30</v>
      </c>
      <c r="J1344">
        <v>100</v>
      </c>
      <c r="K1344" t="s">
        <v>29</v>
      </c>
      <c r="L1344">
        <v>29</v>
      </c>
      <c r="M1344" t="s">
        <v>21</v>
      </c>
    </row>
    <row r="1345" spans="1:13" x14ac:dyDescent="0.35">
      <c r="A1345" t="s">
        <v>2065</v>
      </c>
      <c r="B1345" t="s">
        <v>580</v>
      </c>
      <c r="C1345" t="s">
        <v>842</v>
      </c>
      <c r="D1345" t="s">
        <v>53</v>
      </c>
      <c r="E1345" t="s">
        <v>152</v>
      </c>
      <c r="F1345" t="s">
        <v>18</v>
      </c>
      <c r="G1345" t="s">
        <v>28</v>
      </c>
      <c r="H1345">
        <v>217</v>
      </c>
      <c r="I1345">
        <v>40</v>
      </c>
      <c r="J1345">
        <v>50</v>
      </c>
      <c r="K1345" t="s">
        <v>29</v>
      </c>
      <c r="L1345">
        <v>35</v>
      </c>
      <c r="M1345" t="s">
        <v>21</v>
      </c>
    </row>
    <row r="1346" spans="1:13" x14ac:dyDescent="0.35">
      <c r="A1346" t="s">
        <v>2066</v>
      </c>
      <c r="B1346" t="s">
        <v>65</v>
      </c>
      <c r="C1346" t="s">
        <v>612</v>
      </c>
      <c r="D1346" t="s">
        <v>25</v>
      </c>
      <c r="E1346" t="s">
        <v>26</v>
      </c>
      <c r="F1346" t="s">
        <v>27</v>
      </c>
      <c r="G1346" t="s">
        <v>63</v>
      </c>
      <c r="H1346">
        <v>290</v>
      </c>
      <c r="I1346">
        <v>20</v>
      </c>
      <c r="J1346">
        <v>30</v>
      </c>
      <c r="K1346" t="s">
        <v>36</v>
      </c>
      <c r="L1346">
        <v>49</v>
      </c>
      <c r="M1346" t="s">
        <v>30</v>
      </c>
    </row>
    <row r="1347" spans="1:13" x14ac:dyDescent="0.35">
      <c r="A1347" t="s">
        <v>2067</v>
      </c>
      <c r="B1347" t="s">
        <v>167</v>
      </c>
      <c r="C1347" t="s">
        <v>2068</v>
      </c>
      <c r="D1347" t="s">
        <v>46</v>
      </c>
      <c r="E1347" t="s">
        <v>47</v>
      </c>
      <c r="F1347" t="s">
        <v>48</v>
      </c>
      <c r="G1347" t="s">
        <v>35</v>
      </c>
      <c r="H1347">
        <v>309</v>
      </c>
      <c r="I1347">
        <v>20</v>
      </c>
      <c r="J1347">
        <v>20</v>
      </c>
      <c r="K1347" t="s">
        <v>29</v>
      </c>
      <c r="L1347">
        <v>53</v>
      </c>
      <c r="M1347" t="s">
        <v>21</v>
      </c>
    </row>
    <row r="1348" spans="1:13" x14ac:dyDescent="0.35">
      <c r="A1348" t="s">
        <v>2069</v>
      </c>
      <c r="B1348" t="s">
        <v>69</v>
      </c>
      <c r="C1348" t="s">
        <v>391</v>
      </c>
      <c r="D1348" t="s">
        <v>53</v>
      </c>
      <c r="E1348" t="s">
        <v>84</v>
      </c>
      <c r="F1348" t="s">
        <v>85</v>
      </c>
      <c r="G1348" t="s">
        <v>19</v>
      </c>
      <c r="H1348">
        <v>245</v>
      </c>
      <c r="I1348">
        <v>40</v>
      </c>
      <c r="J1348">
        <v>0</v>
      </c>
      <c r="K1348" t="s">
        <v>36</v>
      </c>
      <c r="L1348">
        <v>32</v>
      </c>
      <c r="M1348" t="s">
        <v>21</v>
      </c>
    </row>
    <row r="1349" spans="1:13" x14ac:dyDescent="0.35">
      <c r="A1349" t="s">
        <v>2070</v>
      </c>
      <c r="B1349" t="s">
        <v>568</v>
      </c>
      <c r="C1349" t="s">
        <v>474</v>
      </c>
      <c r="D1349" t="s">
        <v>40</v>
      </c>
      <c r="E1349" t="s">
        <v>111</v>
      </c>
      <c r="F1349" t="s">
        <v>18</v>
      </c>
      <c r="G1349" t="s">
        <v>63</v>
      </c>
      <c r="H1349">
        <v>390</v>
      </c>
      <c r="I1349">
        <v>40</v>
      </c>
      <c r="J1349">
        <v>0</v>
      </c>
      <c r="K1349" t="s">
        <v>29</v>
      </c>
      <c r="L1349">
        <v>33</v>
      </c>
      <c r="M1349" t="s">
        <v>21</v>
      </c>
    </row>
    <row r="1350" spans="1:13" x14ac:dyDescent="0.35">
      <c r="A1350" t="s">
        <v>2071</v>
      </c>
      <c r="B1350" t="s">
        <v>271</v>
      </c>
      <c r="C1350" t="s">
        <v>2072</v>
      </c>
      <c r="D1350" t="s">
        <v>25</v>
      </c>
      <c r="E1350" t="s">
        <v>34</v>
      </c>
      <c r="F1350" t="s">
        <v>27</v>
      </c>
      <c r="G1350" t="s">
        <v>49</v>
      </c>
      <c r="H1350">
        <v>193</v>
      </c>
      <c r="I1350">
        <v>50</v>
      </c>
      <c r="J1350">
        <v>0</v>
      </c>
      <c r="K1350" t="s">
        <v>36</v>
      </c>
      <c r="L1350">
        <v>31</v>
      </c>
      <c r="M1350" t="s">
        <v>21</v>
      </c>
    </row>
    <row r="1351" spans="1:13" x14ac:dyDescent="0.35">
      <c r="A1351" t="s">
        <v>2073</v>
      </c>
      <c r="B1351" t="s">
        <v>432</v>
      </c>
      <c r="C1351" t="s">
        <v>197</v>
      </c>
      <c r="D1351" t="s">
        <v>46</v>
      </c>
      <c r="E1351" t="s">
        <v>70</v>
      </c>
      <c r="F1351" t="s">
        <v>18</v>
      </c>
      <c r="G1351" t="s">
        <v>42</v>
      </c>
      <c r="H1351">
        <v>187</v>
      </c>
      <c r="I1351">
        <v>30</v>
      </c>
      <c r="J1351">
        <v>0</v>
      </c>
      <c r="K1351" t="s">
        <v>29</v>
      </c>
      <c r="L1351">
        <v>52</v>
      </c>
      <c r="M1351" t="s">
        <v>21</v>
      </c>
    </row>
    <row r="1352" spans="1:13" x14ac:dyDescent="0.35">
      <c r="A1352" t="s">
        <v>2074</v>
      </c>
      <c r="B1352" t="s">
        <v>205</v>
      </c>
      <c r="C1352" t="s">
        <v>954</v>
      </c>
      <c r="D1352" t="s">
        <v>53</v>
      </c>
      <c r="E1352" t="s">
        <v>84</v>
      </c>
      <c r="F1352" t="s">
        <v>85</v>
      </c>
      <c r="G1352" t="s">
        <v>107</v>
      </c>
      <c r="H1352">
        <v>201</v>
      </c>
      <c r="I1352">
        <v>30</v>
      </c>
      <c r="J1352">
        <v>30</v>
      </c>
      <c r="K1352" t="s">
        <v>29</v>
      </c>
      <c r="L1352">
        <v>55</v>
      </c>
      <c r="M1352" t="s">
        <v>21</v>
      </c>
    </row>
    <row r="1353" spans="1:13" x14ac:dyDescent="0.35">
      <c r="A1353" t="s">
        <v>2075</v>
      </c>
      <c r="B1353" t="s">
        <v>121</v>
      </c>
      <c r="C1353" t="s">
        <v>976</v>
      </c>
      <c r="D1353" t="s">
        <v>53</v>
      </c>
      <c r="E1353" t="s">
        <v>152</v>
      </c>
      <c r="F1353" t="s">
        <v>18</v>
      </c>
      <c r="G1353" t="s">
        <v>19</v>
      </c>
      <c r="H1353">
        <v>787</v>
      </c>
      <c r="I1353">
        <v>50</v>
      </c>
      <c r="J1353">
        <v>20</v>
      </c>
      <c r="K1353" t="s">
        <v>20</v>
      </c>
      <c r="L1353">
        <v>31</v>
      </c>
      <c r="M1353" t="s">
        <v>21</v>
      </c>
    </row>
    <row r="1354" spans="1:13" x14ac:dyDescent="0.35">
      <c r="A1354" t="s">
        <v>2076</v>
      </c>
      <c r="B1354" t="s">
        <v>329</v>
      </c>
      <c r="C1354" t="s">
        <v>1589</v>
      </c>
      <c r="D1354" t="s">
        <v>53</v>
      </c>
      <c r="E1354" t="s">
        <v>54</v>
      </c>
      <c r="F1354" t="s">
        <v>55</v>
      </c>
      <c r="G1354" t="s">
        <v>176</v>
      </c>
      <c r="H1354">
        <v>479</v>
      </c>
      <c r="I1354">
        <v>50</v>
      </c>
      <c r="J1354">
        <v>50</v>
      </c>
      <c r="K1354" t="s">
        <v>29</v>
      </c>
      <c r="L1354">
        <v>32</v>
      </c>
      <c r="M1354" t="s">
        <v>21</v>
      </c>
    </row>
    <row r="1355" spans="1:13" x14ac:dyDescent="0.35">
      <c r="A1355" t="s">
        <v>2077</v>
      </c>
      <c r="B1355" t="s">
        <v>473</v>
      </c>
      <c r="C1355" t="s">
        <v>2078</v>
      </c>
      <c r="D1355" t="s">
        <v>40</v>
      </c>
      <c r="E1355" t="s">
        <v>41</v>
      </c>
      <c r="F1355" t="s">
        <v>27</v>
      </c>
      <c r="G1355" t="s">
        <v>42</v>
      </c>
      <c r="H1355">
        <v>332</v>
      </c>
      <c r="I1355">
        <v>20</v>
      </c>
      <c r="J1355">
        <v>0</v>
      </c>
      <c r="K1355" t="s">
        <v>36</v>
      </c>
      <c r="L1355">
        <v>54</v>
      </c>
      <c r="M1355" t="s">
        <v>21</v>
      </c>
    </row>
    <row r="1356" spans="1:13" x14ac:dyDescent="0.35">
      <c r="A1356" t="s">
        <v>2079</v>
      </c>
      <c r="B1356" t="s">
        <v>291</v>
      </c>
      <c r="C1356" t="s">
        <v>585</v>
      </c>
      <c r="D1356" t="s">
        <v>25</v>
      </c>
      <c r="E1356" t="s">
        <v>78</v>
      </c>
      <c r="F1356" t="s">
        <v>48</v>
      </c>
      <c r="G1356" t="s">
        <v>19</v>
      </c>
      <c r="H1356">
        <v>486</v>
      </c>
      <c r="I1356">
        <v>50</v>
      </c>
      <c r="J1356">
        <v>50</v>
      </c>
      <c r="K1356" t="s">
        <v>36</v>
      </c>
      <c r="L1356">
        <v>54</v>
      </c>
      <c r="M1356" t="s">
        <v>21</v>
      </c>
    </row>
    <row r="1357" spans="1:13" x14ac:dyDescent="0.35">
      <c r="A1357" t="s">
        <v>2080</v>
      </c>
      <c r="B1357" t="s">
        <v>146</v>
      </c>
      <c r="C1357" t="s">
        <v>1649</v>
      </c>
      <c r="D1357" t="s">
        <v>46</v>
      </c>
      <c r="E1357" t="s">
        <v>47</v>
      </c>
      <c r="F1357" t="s">
        <v>48</v>
      </c>
      <c r="G1357" t="s">
        <v>74</v>
      </c>
      <c r="H1357">
        <v>391</v>
      </c>
      <c r="I1357">
        <v>40</v>
      </c>
      <c r="J1357">
        <v>50</v>
      </c>
      <c r="K1357" t="s">
        <v>29</v>
      </c>
      <c r="L1357">
        <v>36</v>
      </c>
      <c r="M1357" t="s">
        <v>21</v>
      </c>
    </row>
    <row r="1358" spans="1:13" x14ac:dyDescent="0.35">
      <c r="A1358" t="s">
        <v>2081</v>
      </c>
      <c r="B1358" t="s">
        <v>280</v>
      </c>
      <c r="C1358" t="s">
        <v>1649</v>
      </c>
      <c r="D1358" t="s">
        <v>25</v>
      </c>
      <c r="E1358" t="s">
        <v>78</v>
      </c>
      <c r="F1358" t="s">
        <v>48</v>
      </c>
      <c r="G1358" t="s">
        <v>176</v>
      </c>
      <c r="H1358">
        <v>701</v>
      </c>
      <c r="I1358">
        <v>20</v>
      </c>
      <c r="J1358">
        <v>0</v>
      </c>
      <c r="K1358" t="s">
        <v>36</v>
      </c>
      <c r="L1358">
        <v>23</v>
      </c>
      <c r="M1358" t="s">
        <v>21</v>
      </c>
    </row>
    <row r="1359" spans="1:13" x14ac:dyDescent="0.35">
      <c r="A1359" t="s">
        <v>2082</v>
      </c>
      <c r="B1359" t="s">
        <v>76</v>
      </c>
      <c r="C1359" t="s">
        <v>2083</v>
      </c>
      <c r="D1359" t="s">
        <v>40</v>
      </c>
      <c r="E1359" t="s">
        <v>111</v>
      </c>
      <c r="F1359" t="s">
        <v>18</v>
      </c>
      <c r="G1359" t="s">
        <v>49</v>
      </c>
      <c r="H1359">
        <v>174</v>
      </c>
      <c r="I1359">
        <v>20</v>
      </c>
      <c r="J1359">
        <v>30</v>
      </c>
      <c r="K1359" t="s">
        <v>20</v>
      </c>
      <c r="L1359">
        <v>48</v>
      </c>
      <c r="M1359" t="s">
        <v>21</v>
      </c>
    </row>
    <row r="1360" spans="1:13" x14ac:dyDescent="0.35">
      <c r="A1360" t="s">
        <v>2084</v>
      </c>
      <c r="B1360" t="s">
        <v>23</v>
      </c>
      <c r="C1360" t="s">
        <v>1430</v>
      </c>
      <c r="D1360" t="s">
        <v>53</v>
      </c>
      <c r="E1360" t="s">
        <v>152</v>
      </c>
      <c r="F1360" t="s">
        <v>18</v>
      </c>
      <c r="G1360" t="s">
        <v>63</v>
      </c>
      <c r="H1360">
        <v>779</v>
      </c>
      <c r="I1360">
        <v>40</v>
      </c>
      <c r="J1360">
        <v>0</v>
      </c>
      <c r="K1360" t="s">
        <v>20</v>
      </c>
      <c r="L1360">
        <v>33</v>
      </c>
      <c r="M1360" t="s">
        <v>21</v>
      </c>
    </row>
    <row r="1361" spans="1:13" x14ac:dyDescent="0.35">
      <c r="A1361" t="s">
        <v>2085</v>
      </c>
      <c r="B1361" t="s">
        <v>226</v>
      </c>
      <c r="C1361" t="s">
        <v>916</v>
      </c>
      <c r="D1361" t="s">
        <v>46</v>
      </c>
      <c r="E1361" t="s">
        <v>70</v>
      </c>
      <c r="F1361" t="s">
        <v>18</v>
      </c>
      <c r="G1361" t="s">
        <v>19</v>
      </c>
      <c r="H1361">
        <v>458</v>
      </c>
      <c r="I1361">
        <v>40</v>
      </c>
      <c r="J1361">
        <v>0</v>
      </c>
      <c r="K1361" t="s">
        <v>29</v>
      </c>
      <c r="L1361">
        <v>35</v>
      </c>
      <c r="M1361" t="s">
        <v>21</v>
      </c>
    </row>
    <row r="1362" spans="1:13" x14ac:dyDescent="0.35">
      <c r="A1362" t="s">
        <v>2086</v>
      </c>
      <c r="B1362" t="s">
        <v>192</v>
      </c>
      <c r="C1362" t="s">
        <v>1085</v>
      </c>
      <c r="D1362" t="s">
        <v>25</v>
      </c>
      <c r="E1362" t="s">
        <v>26</v>
      </c>
      <c r="F1362" t="s">
        <v>27</v>
      </c>
      <c r="G1362" t="s">
        <v>49</v>
      </c>
      <c r="H1362">
        <v>219</v>
      </c>
      <c r="I1362">
        <v>40</v>
      </c>
      <c r="J1362">
        <v>30</v>
      </c>
      <c r="K1362" t="s">
        <v>29</v>
      </c>
      <c r="L1362">
        <v>36</v>
      </c>
      <c r="M1362" t="s">
        <v>21</v>
      </c>
    </row>
    <row r="1363" spans="1:13" x14ac:dyDescent="0.35">
      <c r="A1363" t="s">
        <v>2087</v>
      </c>
      <c r="B1363" t="s">
        <v>174</v>
      </c>
      <c r="C1363" t="s">
        <v>670</v>
      </c>
      <c r="D1363" t="s">
        <v>16</v>
      </c>
      <c r="E1363" t="s">
        <v>89</v>
      </c>
      <c r="F1363" t="s">
        <v>18</v>
      </c>
      <c r="G1363" t="s">
        <v>35</v>
      </c>
      <c r="H1363">
        <v>661</v>
      </c>
      <c r="I1363">
        <v>40</v>
      </c>
      <c r="J1363">
        <v>30</v>
      </c>
      <c r="K1363" t="s">
        <v>29</v>
      </c>
      <c r="L1363">
        <v>21</v>
      </c>
      <c r="M1363" t="s">
        <v>21</v>
      </c>
    </row>
    <row r="1364" spans="1:13" x14ac:dyDescent="0.35">
      <c r="A1364" t="s">
        <v>2088</v>
      </c>
      <c r="B1364" t="s">
        <v>205</v>
      </c>
      <c r="C1364" t="s">
        <v>2089</v>
      </c>
      <c r="D1364" t="s">
        <v>40</v>
      </c>
      <c r="E1364" t="s">
        <v>67</v>
      </c>
      <c r="F1364" t="s">
        <v>48</v>
      </c>
      <c r="G1364" t="s">
        <v>42</v>
      </c>
      <c r="H1364">
        <v>695</v>
      </c>
      <c r="I1364">
        <v>50</v>
      </c>
      <c r="J1364">
        <v>50</v>
      </c>
      <c r="K1364" t="s">
        <v>20</v>
      </c>
      <c r="L1364">
        <v>53</v>
      </c>
      <c r="M1364" t="s">
        <v>21</v>
      </c>
    </row>
    <row r="1365" spans="1:13" x14ac:dyDescent="0.35">
      <c r="A1365" t="s">
        <v>2090</v>
      </c>
      <c r="B1365" t="s">
        <v>398</v>
      </c>
      <c r="C1365" t="s">
        <v>672</v>
      </c>
      <c r="D1365" t="s">
        <v>53</v>
      </c>
      <c r="E1365" t="s">
        <v>84</v>
      </c>
      <c r="F1365" t="s">
        <v>85</v>
      </c>
      <c r="G1365" t="s">
        <v>49</v>
      </c>
      <c r="H1365">
        <v>407</v>
      </c>
      <c r="I1365">
        <v>50</v>
      </c>
      <c r="J1365">
        <v>30</v>
      </c>
      <c r="K1365" t="s">
        <v>20</v>
      </c>
      <c r="L1365">
        <v>36</v>
      </c>
      <c r="M1365" t="s">
        <v>21</v>
      </c>
    </row>
    <row r="1366" spans="1:13" x14ac:dyDescent="0.35">
      <c r="A1366" t="s">
        <v>2091</v>
      </c>
      <c r="B1366" t="s">
        <v>336</v>
      </c>
      <c r="C1366" t="s">
        <v>1322</v>
      </c>
      <c r="D1366" t="s">
        <v>40</v>
      </c>
      <c r="E1366" t="s">
        <v>111</v>
      </c>
      <c r="F1366" t="s">
        <v>18</v>
      </c>
      <c r="G1366" t="s">
        <v>28</v>
      </c>
      <c r="H1366">
        <v>301</v>
      </c>
      <c r="I1366">
        <v>40</v>
      </c>
      <c r="J1366">
        <v>50</v>
      </c>
      <c r="K1366" t="s">
        <v>36</v>
      </c>
      <c r="L1366">
        <v>44</v>
      </c>
      <c r="M1366" t="s">
        <v>21</v>
      </c>
    </row>
    <row r="1367" spans="1:13" x14ac:dyDescent="0.35">
      <c r="A1367" t="s">
        <v>2092</v>
      </c>
      <c r="B1367" t="s">
        <v>223</v>
      </c>
      <c r="C1367" t="s">
        <v>1907</v>
      </c>
      <c r="D1367" t="s">
        <v>25</v>
      </c>
      <c r="E1367" t="s">
        <v>26</v>
      </c>
      <c r="F1367" t="s">
        <v>27</v>
      </c>
      <c r="G1367" t="s">
        <v>63</v>
      </c>
      <c r="H1367">
        <v>196</v>
      </c>
      <c r="I1367">
        <v>40</v>
      </c>
      <c r="J1367">
        <v>30</v>
      </c>
      <c r="K1367" t="s">
        <v>20</v>
      </c>
      <c r="L1367">
        <v>26</v>
      </c>
      <c r="M1367" t="s">
        <v>21</v>
      </c>
    </row>
    <row r="1368" spans="1:13" x14ac:dyDescent="0.35">
      <c r="A1368" t="s">
        <v>2093</v>
      </c>
      <c r="B1368" t="s">
        <v>583</v>
      </c>
      <c r="C1368" t="s">
        <v>2094</v>
      </c>
      <c r="D1368" t="s">
        <v>25</v>
      </c>
      <c r="E1368" t="s">
        <v>34</v>
      </c>
      <c r="F1368" t="s">
        <v>27</v>
      </c>
      <c r="G1368" t="s">
        <v>42</v>
      </c>
      <c r="H1368">
        <v>278</v>
      </c>
      <c r="I1368">
        <v>50</v>
      </c>
      <c r="J1368">
        <v>30</v>
      </c>
      <c r="K1368" t="s">
        <v>36</v>
      </c>
      <c r="L1368">
        <v>49</v>
      </c>
      <c r="M1368" t="s">
        <v>21</v>
      </c>
    </row>
    <row r="1369" spans="1:13" x14ac:dyDescent="0.35">
      <c r="A1369" t="s">
        <v>2095</v>
      </c>
      <c r="B1369" t="s">
        <v>305</v>
      </c>
      <c r="C1369" t="s">
        <v>585</v>
      </c>
      <c r="D1369" t="s">
        <v>25</v>
      </c>
      <c r="E1369" t="s">
        <v>34</v>
      </c>
      <c r="F1369" t="s">
        <v>27</v>
      </c>
      <c r="G1369" t="s">
        <v>59</v>
      </c>
      <c r="H1369">
        <v>268</v>
      </c>
      <c r="I1369">
        <v>50</v>
      </c>
      <c r="J1369">
        <v>50</v>
      </c>
      <c r="K1369" t="s">
        <v>29</v>
      </c>
      <c r="L1369">
        <v>46</v>
      </c>
      <c r="M1369" t="s">
        <v>21</v>
      </c>
    </row>
    <row r="1370" spans="1:13" x14ac:dyDescent="0.35">
      <c r="A1370" t="s">
        <v>2096</v>
      </c>
      <c r="B1370" t="s">
        <v>476</v>
      </c>
      <c r="C1370" t="s">
        <v>237</v>
      </c>
      <c r="D1370" t="s">
        <v>25</v>
      </c>
      <c r="E1370" t="s">
        <v>34</v>
      </c>
      <c r="F1370" t="s">
        <v>27</v>
      </c>
      <c r="G1370" t="s">
        <v>107</v>
      </c>
      <c r="H1370">
        <v>314</v>
      </c>
      <c r="I1370">
        <v>30</v>
      </c>
      <c r="J1370">
        <v>30</v>
      </c>
      <c r="K1370" t="s">
        <v>29</v>
      </c>
      <c r="L1370">
        <v>31</v>
      </c>
      <c r="M1370" t="s">
        <v>21</v>
      </c>
    </row>
    <row r="1371" spans="1:13" x14ac:dyDescent="0.35">
      <c r="A1371" t="s">
        <v>2097</v>
      </c>
      <c r="B1371" t="s">
        <v>91</v>
      </c>
      <c r="C1371" t="s">
        <v>235</v>
      </c>
      <c r="D1371" t="s">
        <v>46</v>
      </c>
      <c r="E1371" t="s">
        <v>70</v>
      </c>
      <c r="F1371" t="s">
        <v>18</v>
      </c>
      <c r="G1371" t="s">
        <v>19</v>
      </c>
      <c r="H1371">
        <v>260</v>
      </c>
      <c r="I1371">
        <v>40</v>
      </c>
      <c r="J1371">
        <v>20</v>
      </c>
      <c r="K1371" t="s">
        <v>29</v>
      </c>
      <c r="L1371">
        <v>45</v>
      </c>
      <c r="M1371" t="s">
        <v>30</v>
      </c>
    </row>
    <row r="1372" spans="1:13" x14ac:dyDescent="0.35">
      <c r="A1372" t="s">
        <v>2098</v>
      </c>
      <c r="B1372" t="s">
        <v>322</v>
      </c>
      <c r="C1372" t="s">
        <v>1855</v>
      </c>
      <c r="D1372" t="s">
        <v>16</v>
      </c>
      <c r="E1372" t="s">
        <v>17</v>
      </c>
      <c r="F1372" t="s">
        <v>18</v>
      </c>
      <c r="G1372" t="s">
        <v>42</v>
      </c>
      <c r="H1372">
        <v>496</v>
      </c>
      <c r="I1372">
        <v>40</v>
      </c>
      <c r="J1372">
        <v>100</v>
      </c>
      <c r="K1372" t="s">
        <v>36</v>
      </c>
      <c r="L1372">
        <v>38</v>
      </c>
      <c r="M1372" t="s">
        <v>21</v>
      </c>
    </row>
    <row r="1373" spans="1:13" x14ac:dyDescent="0.35">
      <c r="A1373" t="s">
        <v>2099</v>
      </c>
      <c r="B1373" t="s">
        <v>388</v>
      </c>
      <c r="C1373" t="s">
        <v>1528</v>
      </c>
      <c r="D1373" t="s">
        <v>25</v>
      </c>
      <c r="E1373" t="s">
        <v>26</v>
      </c>
      <c r="F1373" t="s">
        <v>27</v>
      </c>
      <c r="G1373" t="s">
        <v>49</v>
      </c>
      <c r="H1373">
        <v>151</v>
      </c>
      <c r="I1373">
        <v>20</v>
      </c>
      <c r="J1373">
        <v>50</v>
      </c>
      <c r="K1373" t="s">
        <v>20</v>
      </c>
      <c r="L1373">
        <v>31</v>
      </c>
      <c r="M1373" t="s">
        <v>21</v>
      </c>
    </row>
    <row r="1374" spans="1:13" x14ac:dyDescent="0.35">
      <c r="A1374" t="s">
        <v>2100</v>
      </c>
      <c r="B1374" t="s">
        <v>150</v>
      </c>
      <c r="C1374" t="s">
        <v>45</v>
      </c>
      <c r="D1374" t="s">
        <v>46</v>
      </c>
      <c r="E1374" t="s">
        <v>47</v>
      </c>
      <c r="F1374" t="s">
        <v>48</v>
      </c>
      <c r="G1374" t="s">
        <v>28</v>
      </c>
      <c r="H1374">
        <v>518</v>
      </c>
      <c r="I1374">
        <v>40</v>
      </c>
      <c r="J1374">
        <v>0</v>
      </c>
      <c r="K1374" t="s">
        <v>20</v>
      </c>
      <c r="L1374">
        <v>22</v>
      </c>
      <c r="M1374" t="s">
        <v>21</v>
      </c>
    </row>
    <row r="1375" spans="1:13" x14ac:dyDescent="0.35">
      <c r="A1375" t="s">
        <v>2101</v>
      </c>
      <c r="B1375" t="s">
        <v>121</v>
      </c>
      <c r="C1375" t="s">
        <v>2102</v>
      </c>
      <c r="D1375" t="s">
        <v>53</v>
      </c>
      <c r="E1375" t="s">
        <v>84</v>
      </c>
      <c r="F1375" t="s">
        <v>85</v>
      </c>
      <c r="G1375" t="s">
        <v>176</v>
      </c>
      <c r="H1375">
        <v>544</v>
      </c>
      <c r="I1375">
        <v>50</v>
      </c>
      <c r="J1375">
        <v>50</v>
      </c>
      <c r="K1375" t="s">
        <v>20</v>
      </c>
      <c r="L1375">
        <v>56</v>
      </c>
      <c r="M1375" t="s">
        <v>21</v>
      </c>
    </row>
    <row r="1376" spans="1:13" x14ac:dyDescent="0.35">
      <c r="A1376" t="s">
        <v>2103</v>
      </c>
      <c r="B1376" t="s">
        <v>339</v>
      </c>
      <c r="C1376" t="s">
        <v>1370</v>
      </c>
      <c r="D1376" t="s">
        <v>40</v>
      </c>
      <c r="E1376" t="s">
        <v>41</v>
      </c>
      <c r="F1376" t="s">
        <v>27</v>
      </c>
      <c r="G1376" t="s">
        <v>107</v>
      </c>
      <c r="H1376">
        <v>221</v>
      </c>
      <c r="I1376">
        <v>50</v>
      </c>
      <c r="J1376">
        <v>100</v>
      </c>
      <c r="K1376" t="s">
        <v>36</v>
      </c>
      <c r="L1376">
        <v>21</v>
      </c>
      <c r="M1376" t="s">
        <v>21</v>
      </c>
    </row>
    <row r="1377" spans="1:13" x14ac:dyDescent="0.35">
      <c r="A1377" t="s">
        <v>2104</v>
      </c>
      <c r="B1377" t="s">
        <v>61</v>
      </c>
      <c r="C1377" t="s">
        <v>2094</v>
      </c>
      <c r="D1377" t="s">
        <v>40</v>
      </c>
      <c r="E1377" t="s">
        <v>67</v>
      </c>
      <c r="F1377" t="s">
        <v>48</v>
      </c>
      <c r="G1377" t="s">
        <v>28</v>
      </c>
      <c r="H1377">
        <v>442</v>
      </c>
      <c r="I1377">
        <v>50</v>
      </c>
      <c r="J1377">
        <v>30</v>
      </c>
      <c r="K1377" t="s">
        <v>29</v>
      </c>
      <c r="L1377">
        <v>54</v>
      </c>
      <c r="M1377" t="s">
        <v>21</v>
      </c>
    </row>
    <row r="1378" spans="1:13" x14ac:dyDescent="0.35">
      <c r="A1378" t="s">
        <v>2105</v>
      </c>
      <c r="B1378" t="s">
        <v>226</v>
      </c>
      <c r="C1378" t="s">
        <v>545</v>
      </c>
      <c r="D1378" t="s">
        <v>25</v>
      </c>
      <c r="E1378" t="s">
        <v>34</v>
      </c>
      <c r="F1378" t="s">
        <v>27</v>
      </c>
      <c r="G1378" t="s">
        <v>35</v>
      </c>
      <c r="H1378">
        <v>355</v>
      </c>
      <c r="I1378">
        <v>50</v>
      </c>
      <c r="J1378">
        <v>20</v>
      </c>
      <c r="K1378" t="s">
        <v>29</v>
      </c>
      <c r="L1378">
        <v>25</v>
      </c>
      <c r="M1378" t="s">
        <v>30</v>
      </c>
    </row>
    <row r="1379" spans="1:13" x14ac:dyDescent="0.35">
      <c r="A1379" t="s">
        <v>2106</v>
      </c>
      <c r="B1379" t="s">
        <v>583</v>
      </c>
      <c r="C1379" t="s">
        <v>2107</v>
      </c>
      <c r="D1379" t="s">
        <v>25</v>
      </c>
      <c r="E1379" t="s">
        <v>78</v>
      </c>
      <c r="F1379" t="s">
        <v>48</v>
      </c>
      <c r="G1379" t="s">
        <v>59</v>
      </c>
      <c r="H1379">
        <v>297</v>
      </c>
      <c r="I1379">
        <v>50</v>
      </c>
      <c r="J1379">
        <v>20</v>
      </c>
      <c r="K1379" t="s">
        <v>20</v>
      </c>
      <c r="L1379">
        <v>41</v>
      </c>
      <c r="M1379" t="s">
        <v>30</v>
      </c>
    </row>
    <row r="1380" spans="1:13" x14ac:dyDescent="0.35">
      <c r="A1380" t="s">
        <v>2108</v>
      </c>
      <c r="B1380" t="s">
        <v>326</v>
      </c>
      <c r="C1380" t="s">
        <v>842</v>
      </c>
      <c r="D1380" t="s">
        <v>46</v>
      </c>
      <c r="E1380" t="s">
        <v>70</v>
      </c>
      <c r="F1380" t="s">
        <v>18</v>
      </c>
      <c r="G1380" t="s">
        <v>74</v>
      </c>
      <c r="H1380">
        <v>280</v>
      </c>
      <c r="I1380">
        <v>40</v>
      </c>
      <c r="J1380">
        <v>30</v>
      </c>
      <c r="K1380" t="s">
        <v>20</v>
      </c>
      <c r="L1380">
        <v>52</v>
      </c>
      <c r="M1380" t="s">
        <v>21</v>
      </c>
    </row>
    <row r="1381" spans="1:13" x14ac:dyDescent="0.35">
      <c r="A1381" t="s">
        <v>2109</v>
      </c>
      <c r="B1381" t="s">
        <v>87</v>
      </c>
      <c r="C1381" t="s">
        <v>967</v>
      </c>
      <c r="D1381" t="s">
        <v>25</v>
      </c>
      <c r="E1381" t="s">
        <v>78</v>
      </c>
      <c r="F1381" t="s">
        <v>48</v>
      </c>
      <c r="G1381" t="s">
        <v>74</v>
      </c>
      <c r="H1381">
        <v>363</v>
      </c>
      <c r="I1381">
        <v>30</v>
      </c>
      <c r="J1381">
        <v>50</v>
      </c>
      <c r="K1381" t="s">
        <v>20</v>
      </c>
      <c r="L1381">
        <v>30</v>
      </c>
      <c r="M1381" t="s">
        <v>21</v>
      </c>
    </row>
    <row r="1382" spans="1:13" x14ac:dyDescent="0.35">
      <c r="A1382" t="s">
        <v>2110</v>
      </c>
      <c r="B1382" t="s">
        <v>205</v>
      </c>
      <c r="C1382" t="s">
        <v>1931</v>
      </c>
      <c r="D1382" t="s">
        <v>53</v>
      </c>
      <c r="E1382" t="s">
        <v>54</v>
      </c>
      <c r="F1382" t="s">
        <v>55</v>
      </c>
      <c r="G1382" t="s">
        <v>59</v>
      </c>
      <c r="H1382">
        <v>316</v>
      </c>
      <c r="I1382">
        <v>40</v>
      </c>
      <c r="J1382">
        <v>0</v>
      </c>
      <c r="K1382" t="s">
        <v>36</v>
      </c>
      <c r="L1382">
        <v>36</v>
      </c>
      <c r="M1382" t="s">
        <v>21</v>
      </c>
    </row>
    <row r="1383" spans="1:13" x14ac:dyDescent="0.35">
      <c r="A1383" t="s">
        <v>2111</v>
      </c>
      <c r="B1383" t="s">
        <v>413</v>
      </c>
      <c r="C1383" t="s">
        <v>2062</v>
      </c>
      <c r="D1383" t="s">
        <v>53</v>
      </c>
      <c r="E1383" t="s">
        <v>84</v>
      </c>
      <c r="F1383" t="s">
        <v>85</v>
      </c>
      <c r="G1383" t="s">
        <v>42</v>
      </c>
      <c r="H1383">
        <v>507</v>
      </c>
      <c r="I1383">
        <v>40</v>
      </c>
      <c r="J1383">
        <v>50</v>
      </c>
      <c r="K1383" t="s">
        <v>36</v>
      </c>
      <c r="L1383">
        <v>53</v>
      </c>
      <c r="M1383" t="s">
        <v>21</v>
      </c>
    </row>
    <row r="1384" spans="1:13" x14ac:dyDescent="0.35">
      <c r="A1384" t="s">
        <v>2112</v>
      </c>
      <c r="B1384" t="s">
        <v>69</v>
      </c>
      <c r="C1384" t="s">
        <v>1218</v>
      </c>
      <c r="D1384" t="s">
        <v>40</v>
      </c>
      <c r="E1384" t="s">
        <v>41</v>
      </c>
      <c r="F1384" t="s">
        <v>27</v>
      </c>
      <c r="G1384" t="s">
        <v>59</v>
      </c>
      <c r="H1384">
        <v>318</v>
      </c>
      <c r="I1384">
        <v>50</v>
      </c>
      <c r="J1384">
        <v>30</v>
      </c>
      <c r="K1384" t="s">
        <v>29</v>
      </c>
      <c r="L1384">
        <v>25</v>
      </c>
      <c r="M1384" t="s">
        <v>21</v>
      </c>
    </row>
    <row r="1385" spans="1:13" x14ac:dyDescent="0.35">
      <c r="A1385" t="s">
        <v>2113</v>
      </c>
      <c r="B1385" t="s">
        <v>189</v>
      </c>
      <c r="C1385" t="s">
        <v>474</v>
      </c>
      <c r="D1385" t="s">
        <v>25</v>
      </c>
      <c r="E1385" t="s">
        <v>26</v>
      </c>
      <c r="F1385" t="s">
        <v>27</v>
      </c>
      <c r="G1385" t="s">
        <v>59</v>
      </c>
      <c r="H1385">
        <v>434</v>
      </c>
      <c r="I1385">
        <v>50</v>
      </c>
      <c r="J1385">
        <v>0</v>
      </c>
      <c r="K1385" t="s">
        <v>36</v>
      </c>
      <c r="L1385">
        <v>23</v>
      </c>
      <c r="M1385" t="s">
        <v>30</v>
      </c>
    </row>
    <row r="1386" spans="1:13" x14ac:dyDescent="0.35">
      <c r="A1386" t="s">
        <v>2114</v>
      </c>
      <c r="B1386" t="s">
        <v>326</v>
      </c>
      <c r="C1386" t="s">
        <v>820</v>
      </c>
      <c r="D1386" t="s">
        <v>16</v>
      </c>
      <c r="E1386" t="s">
        <v>89</v>
      </c>
      <c r="F1386" t="s">
        <v>18</v>
      </c>
      <c r="G1386" t="s">
        <v>42</v>
      </c>
      <c r="H1386">
        <v>277</v>
      </c>
      <c r="I1386">
        <v>50</v>
      </c>
      <c r="J1386">
        <v>0</v>
      </c>
      <c r="K1386" t="s">
        <v>20</v>
      </c>
      <c r="L1386">
        <v>51</v>
      </c>
      <c r="M1386" t="s">
        <v>21</v>
      </c>
    </row>
    <row r="1387" spans="1:13" x14ac:dyDescent="0.35">
      <c r="A1387" t="s">
        <v>2115</v>
      </c>
      <c r="B1387" t="s">
        <v>273</v>
      </c>
      <c r="C1387" t="s">
        <v>1693</v>
      </c>
      <c r="D1387" t="s">
        <v>25</v>
      </c>
      <c r="E1387" t="s">
        <v>26</v>
      </c>
      <c r="F1387" t="s">
        <v>27</v>
      </c>
      <c r="G1387" t="s">
        <v>35</v>
      </c>
      <c r="H1387">
        <v>490</v>
      </c>
      <c r="I1387">
        <v>50</v>
      </c>
      <c r="J1387">
        <v>100</v>
      </c>
      <c r="K1387" t="s">
        <v>20</v>
      </c>
      <c r="L1387">
        <v>32</v>
      </c>
      <c r="M1387" t="s">
        <v>21</v>
      </c>
    </row>
    <row r="1388" spans="1:13" x14ac:dyDescent="0.35">
      <c r="A1388" t="s">
        <v>2116</v>
      </c>
      <c r="B1388" t="s">
        <v>476</v>
      </c>
      <c r="C1388" t="s">
        <v>993</v>
      </c>
      <c r="D1388" t="s">
        <v>40</v>
      </c>
      <c r="E1388" t="s">
        <v>41</v>
      </c>
      <c r="F1388" t="s">
        <v>27</v>
      </c>
      <c r="G1388" t="s">
        <v>59</v>
      </c>
      <c r="H1388">
        <v>173</v>
      </c>
      <c r="I1388">
        <v>20</v>
      </c>
      <c r="J1388">
        <v>50</v>
      </c>
      <c r="K1388" t="s">
        <v>29</v>
      </c>
      <c r="L1388">
        <v>26</v>
      </c>
      <c r="M1388" t="s">
        <v>21</v>
      </c>
    </row>
    <row r="1389" spans="1:13" x14ac:dyDescent="0.35">
      <c r="A1389" t="s">
        <v>2117</v>
      </c>
      <c r="B1389" t="s">
        <v>133</v>
      </c>
      <c r="C1389" t="s">
        <v>170</v>
      </c>
      <c r="D1389" t="s">
        <v>53</v>
      </c>
      <c r="E1389" t="s">
        <v>84</v>
      </c>
      <c r="F1389" t="s">
        <v>85</v>
      </c>
      <c r="G1389" t="s">
        <v>74</v>
      </c>
      <c r="H1389">
        <v>580</v>
      </c>
      <c r="I1389">
        <v>20</v>
      </c>
      <c r="J1389">
        <v>20</v>
      </c>
      <c r="K1389" t="s">
        <v>20</v>
      </c>
      <c r="L1389">
        <v>20</v>
      </c>
      <c r="M1389" t="s">
        <v>21</v>
      </c>
    </row>
    <row r="1390" spans="1:13" x14ac:dyDescent="0.35">
      <c r="A1390" t="s">
        <v>2118</v>
      </c>
      <c r="B1390" t="s">
        <v>473</v>
      </c>
      <c r="C1390" t="s">
        <v>1681</v>
      </c>
      <c r="D1390" t="s">
        <v>16</v>
      </c>
      <c r="E1390" t="s">
        <v>131</v>
      </c>
      <c r="F1390" t="s">
        <v>55</v>
      </c>
      <c r="G1390" t="s">
        <v>59</v>
      </c>
      <c r="H1390">
        <v>725</v>
      </c>
      <c r="I1390">
        <v>50</v>
      </c>
      <c r="J1390">
        <v>20</v>
      </c>
      <c r="K1390" t="s">
        <v>29</v>
      </c>
      <c r="L1390">
        <v>50</v>
      </c>
      <c r="M1390" t="s">
        <v>30</v>
      </c>
    </row>
    <row r="1391" spans="1:13" x14ac:dyDescent="0.35">
      <c r="A1391" t="s">
        <v>2119</v>
      </c>
      <c r="B1391" t="s">
        <v>280</v>
      </c>
      <c r="C1391" t="s">
        <v>1233</v>
      </c>
      <c r="D1391" t="s">
        <v>16</v>
      </c>
      <c r="E1391" t="s">
        <v>131</v>
      </c>
      <c r="F1391" t="s">
        <v>55</v>
      </c>
      <c r="G1391" t="s">
        <v>28</v>
      </c>
      <c r="H1391">
        <v>214</v>
      </c>
      <c r="I1391">
        <v>20</v>
      </c>
      <c r="J1391">
        <v>0</v>
      </c>
      <c r="K1391" t="s">
        <v>36</v>
      </c>
      <c r="L1391">
        <v>49</v>
      </c>
      <c r="M1391" t="s">
        <v>21</v>
      </c>
    </row>
    <row r="1392" spans="1:13" x14ac:dyDescent="0.35">
      <c r="A1392" t="s">
        <v>2120</v>
      </c>
      <c r="B1392" t="s">
        <v>226</v>
      </c>
      <c r="C1392" t="s">
        <v>496</v>
      </c>
      <c r="D1392" t="s">
        <v>16</v>
      </c>
      <c r="E1392" t="s">
        <v>17</v>
      </c>
      <c r="F1392" t="s">
        <v>18</v>
      </c>
      <c r="G1392" t="s">
        <v>49</v>
      </c>
      <c r="H1392">
        <v>650</v>
      </c>
      <c r="I1392">
        <v>30</v>
      </c>
      <c r="J1392">
        <v>100</v>
      </c>
      <c r="K1392" t="s">
        <v>36</v>
      </c>
      <c r="L1392">
        <v>53</v>
      </c>
      <c r="M1392" t="s">
        <v>21</v>
      </c>
    </row>
    <row r="1393" spans="1:13" x14ac:dyDescent="0.35">
      <c r="A1393" t="s">
        <v>2121</v>
      </c>
      <c r="B1393" t="s">
        <v>32</v>
      </c>
      <c r="C1393" t="s">
        <v>2122</v>
      </c>
      <c r="D1393" t="s">
        <v>53</v>
      </c>
      <c r="E1393" t="s">
        <v>54</v>
      </c>
      <c r="F1393" t="s">
        <v>55</v>
      </c>
      <c r="G1393" t="s">
        <v>63</v>
      </c>
      <c r="H1393">
        <v>274</v>
      </c>
      <c r="I1393">
        <v>50</v>
      </c>
      <c r="J1393">
        <v>100</v>
      </c>
      <c r="K1393" t="s">
        <v>36</v>
      </c>
      <c r="L1393">
        <v>57</v>
      </c>
      <c r="M1393" t="s">
        <v>21</v>
      </c>
    </row>
    <row r="1394" spans="1:13" x14ac:dyDescent="0.35">
      <c r="A1394" t="s">
        <v>2123</v>
      </c>
      <c r="B1394" t="s">
        <v>91</v>
      </c>
      <c r="C1394" t="s">
        <v>2124</v>
      </c>
      <c r="D1394" t="s">
        <v>25</v>
      </c>
      <c r="E1394" t="s">
        <v>78</v>
      </c>
      <c r="F1394" t="s">
        <v>48</v>
      </c>
      <c r="G1394" t="s">
        <v>63</v>
      </c>
      <c r="H1394">
        <v>659</v>
      </c>
      <c r="I1394">
        <v>40</v>
      </c>
      <c r="J1394">
        <v>20</v>
      </c>
      <c r="K1394" t="s">
        <v>29</v>
      </c>
      <c r="L1394">
        <v>33</v>
      </c>
      <c r="M1394" t="s">
        <v>21</v>
      </c>
    </row>
    <row r="1395" spans="1:13" x14ac:dyDescent="0.35">
      <c r="A1395" t="s">
        <v>2125</v>
      </c>
      <c r="B1395" t="s">
        <v>136</v>
      </c>
      <c r="C1395" t="s">
        <v>1275</v>
      </c>
      <c r="D1395" t="s">
        <v>53</v>
      </c>
      <c r="E1395" t="s">
        <v>152</v>
      </c>
      <c r="F1395" t="s">
        <v>18</v>
      </c>
      <c r="G1395" t="s">
        <v>63</v>
      </c>
      <c r="H1395">
        <v>303</v>
      </c>
      <c r="I1395">
        <v>30</v>
      </c>
      <c r="J1395">
        <v>0</v>
      </c>
      <c r="K1395" t="s">
        <v>29</v>
      </c>
      <c r="L1395">
        <v>57</v>
      </c>
      <c r="M1395" t="s">
        <v>21</v>
      </c>
    </row>
    <row r="1396" spans="1:13" x14ac:dyDescent="0.35">
      <c r="A1396" t="s">
        <v>2126</v>
      </c>
      <c r="B1396" t="s">
        <v>413</v>
      </c>
      <c r="C1396" t="s">
        <v>2127</v>
      </c>
      <c r="D1396" t="s">
        <v>16</v>
      </c>
      <c r="E1396" t="s">
        <v>89</v>
      </c>
      <c r="F1396" t="s">
        <v>18</v>
      </c>
      <c r="G1396" t="s">
        <v>35</v>
      </c>
      <c r="H1396">
        <v>750</v>
      </c>
      <c r="I1396">
        <v>20</v>
      </c>
      <c r="J1396">
        <v>0</v>
      </c>
      <c r="K1396" t="s">
        <v>20</v>
      </c>
      <c r="L1396">
        <v>43</v>
      </c>
      <c r="M1396" t="s">
        <v>30</v>
      </c>
    </row>
    <row r="1397" spans="1:13" x14ac:dyDescent="0.35">
      <c r="A1397" t="s">
        <v>2128</v>
      </c>
      <c r="B1397" t="s">
        <v>329</v>
      </c>
      <c r="C1397" t="s">
        <v>2129</v>
      </c>
      <c r="D1397" t="s">
        <v>53</v>
      </c>
      <c r="E1397" t="s">
        <v>84</v>
      </c>
      <c r="F1397" t="s">
        <v>85</v>
      </c>
      <c r="G1397" t="s">
        <v>74</v>
      </c>
      <c r="H1397">
        <v>703</v>
      </c>
      <c r="I1397">
        <v>50</v>
      </c>
      <c r="J1397">
        <v>0</v>
      </c>
      <c r="K1397" t="s">
        <v>20</v>
      </c>
      <c r="L1397">
        <v>59</v>
      </c>
      <c r="M1397" t="s">
        <v>21</v>
      </c>
    </row>
    <row r="1398" spans="1:13" x14ac:dyDescent="0.35">
      <c r="A1398" t="s">
        <v>2130</v>
      </c>
      <c r="B1398" t="s">
        <v>154</v>
      </c>
      <c r="C1398" t="s">
        <v>437</v>
      </c>
      <c r="D1398" t="s">
        <v>40</v>
      </c>
      <c r="E1398" t="s">
        <v>111</v>
      </c>
      <c r="F1398" t="s">
        <v>18</v>
      </c>
      <c r="G1398" t="s">
        <v>42</v>
      </c>
      <c r="H1398">
        <v>263</v>
      </c>
      <c r="I1398">
        <v>20</v>
      </c>
      <c r="J1398">
        <v>30</v>
      </c>
      <c r="K1398" t="s">
        <v>36</v>
      </c>
      <c r="L1398">
        <v>46</v>
      </c>
      <c r="M1398" t="s">
        <v>21</v>
      </c>
    </row>
    <row r="1399" spans="1:13" x14ac:dyDescent="0.35">
      <c r="A1399" t="s">
        <v>2131</v>
      </c>
      <c r="B1399" t="s">
        <v>416</v>
      </c>
      <c r="C1399" t="s">
        <v>1532</v>
      </c>
      <c r="D1399" t="s">
        <v>16</v>
      </c>
      <c r="E1399" t="s">
        <v>131</v>
      </c>
      <c r="F1399" t="s">
        <v>55</v>
      </c>
      <c r="G1399" t="s">
        <v>28</v>
      </c>
      <c r="H1399">
        <v>719</v>
      </c>
      <c r="I1399">
        <v>50</v>
      </c>
      <c r="J1399">
        <v>0</v>
      </c>
      <c r="K1399" t="s">
        <v>29</v>
      </c>
      <c r="L1399">
        <v>39</v>
      </c>
      <c r="M1399" t="s">
        <v>21</v>
      </c>
    </row>
    <row r="1400" spans="1:13" x14ac:dyDescent="0.35">
      <c r="A1400" t="s">
        <v>2132</v>
      </c>
      <c r="B1400" t="s">
        <v>189</v>
      </c>
      <c r="C1400" t="s">
        <v>484</v>
      </c>
      <c r="D1400" t="s">
        <v>40</v>
      </c>
      <c r="E1400" t="s">
        <v>111</v>
      </c>
      <c r="F1400" t="s">
        <v>18</v>
      </c>
      <c r="G1400" t="s">
        <v>107</v>
      </c>
      <c r="H1400">
        <v>715</v>
      </c>
      <c r="I1400">
        <v>40</v>
      </c>
      <c r="J1400">
        <v>20</v>
      </c>
      <c r="K1400" t="s">
        <v>20</v>
      </c>
      <c r="L1400">
        <v>26</v>
      </c>
      <c r="M1400" t="s">
        <v>21</v>
      </c>
    </row>
    <row r="1401" spans="1:13" x14ac:dyDescent="0.35">
      <c r="A1401" t="s">
        <v>2133</v>
      </c>
      <c r="B1401" t="s">
        <v>329</v>
      </c>
      <c r="C1401" t="s">
        <v>840</v>
      </c>
      <c r="D1401" t="s">
        <v>53</v>
      </c>
      <c r="E1401" t="s">
        <v>54</v>
      </c>
      <c r="F1401" t="s">
        <v>55</v>
      </c>
      <c r="G1401" t="s">
        <v>59</v>
      </c>
      <c r="H1401">
        <v>489</v>
      </c>
      <c r="I1401">
        <v>50</v>
      </c>
      <c r="J1401">
        <v>50</v>
      </c>
      <c r="K1401" t="s">
        <v>36</v>
      </c>
      <c r="L1401">
        <v>58</v>
      </c>
      <c r="M1401" t="s">
        <v>21</v>
      </c>
    </row>
    <row r="1402" spans="1:13" x14ac:dyDescent="0.35">
      <c r="A1402" t="s">
        <v>2134</v>
      </c>
      <c r="B1402" t="s">
        <v>291</v>
      </c>
      <c r="C1402" t="s">
        <v>1147</v>
      </c>
      <c r="D1402" t="s">
        <v>16</v>
      </c>
      <c r="E1402" t="s">
        <v>131</v>
      </c>
      <c r="F1402" t="s">
        <v>55</v>
      </c>
      <c r="G1402" t="s">
        <v>49</v>
      </c>
      <c r="H1402">
        <v>331</v>
      </c>
      <c r="I1402">
        <v>50</v>
      </c>
      <c r="J1402">
        <v>20</v>
      </c>
      <c r="K1402" t="s">
        <v>36</v>
      </c>
      <c r="L1402">
        <v>29</v>
      </c>
      <c r="M1402" t="s">
        <v>21</v>
      </c>
    </row>
    <row r="1403" spans="1:13" x14ac:dyDescent="0.35">
      <c r="A1403" t="s">
        <v>2135</v>
      </c>
      <c r="B1403" t="s">
        <v>213</v>
      </c>
      <c r="C1403" t="s">
        <v>1490</v>
      </c>
      <c r="D1403" t="s">
        <v>16</v>
      </c>
      <c r="E1403" t="s">
        <v>17</v>
      </c>
      <c r="F1403" t="s">
        <v>18</v>
      </c>
      <c r="G1403" t="s">
        <v>42</v>
      </c>
      <c r="H1403">
        <v>477</v>
      </c>
      <c r="I1403">
        <v>50</v>
      </c>
      <c r="J1403">
        <v>20</v>
      </c>
      <c r="K1403" t="s">
        <v>29</v>
      </c>
      <c r="L1403">
        <v>58</v>
      </c>
      <c r="M1403" t="s">
        <v>21</v>
      </c>
    </row>
    <row r="1404" spans="1:13" x14ac:dyDescent="0.35">
      <c r="A1404" t="s">
        <v>2136</v>
      </c>
      <c r="B1404" t="s">
        <v>416</v>
      </c>
      <c r="C1404" t="s">
        <v>103</v>
      </c>
      <c r="D1404" t="s">
        <v>25</v>
      </c>
      <c r="E1404" t="s">
        <v>34</v>
      </c>
      <c r="F1404" t="s">
        <v>27</v>
      </c>
      <c r="G1404" t="s">
        <v>59</v>
      </c>
      <c r="H1404">
        <v>413</v>
      </c>
      <c r="I1404">
        <v>50</v>
      </c>
      <c r="J1404">
        <v>30</v>
      </c>
      <c r="K1404" t="s">
        <v>36</v>
      </c>
      <c r="L1404">
        <v>29</v>
      </c>
      <c r="M1404" t="s">
        <v>21</v>
      </c>
    </row>
    <row r="1405" spans="1:13" x14ac:dyDescent="0.35">
      <c r="A1405" t="s">
        <v>2137</v>
      </c>
      <c r="B1405" t="s">
        <v>218</v>
      </c>
      <c r="C1405" t="s">
        <v>745</v>
      </c>
      <c r="D1405" t="s">
        <v>40</v>
      </c>
      <c r="E1405" t="s">
        <v>111</v>
      </c>
      <c r="F1405" t="s">
        <v>18</v>
      </c>
      <c r="G1405" t="s">
        <v>35</v>
      </c>
      <c r="H1405">
        <v>327</v>
      </c>
      <c r="I1405">
        <v>30</v>
      </c>
      <c r="J1405">
        <v>30</v>
      </c>
      <c r="K1405" t="s">
        <v>29</v>
      </c>
      <c r="L1405">
        <v>56</v>
      </c>
      <c r="M1405" t="s">
        <v>21</v>
      </c>
    </row>
    <row r="1406" spans="1:13" x14ac:dyDescent="0.35">
      <c r="A1406" t="s">
        <v>2138</v>
      </c>
      <c r="B1406" t="s">
        <v>286</v>
      </c>
      <c r="C1406" t="s">
        <v>2139</v>
      </c>
      <c r="D1406" t="s">
        <v>53</v>
      </c>
      <c r="E1406" t="s">
        <v>54</v>
      </c>
      <c r="F1406" t="s">
        <v>55</v>
      </c>
      <c r="G1406" t="s">
        <v>107</v>
      </c>
      <c r="H1406">
        <v>177</v>
      </c>
      <c r="I1406">
        <v>40</v>
      </c>
      <c r="J1406">
        <v>0</v>
      </c>
      <c r="K1406" t="s">
        <v>29</v>
      </c>
      <c r="L1406">
        <v>45</v>
      </c>
      <c r="M1406" t="s">
        <v>21</v>
      </c>
    </row>
    <row r="1407" spans="1:13" x14ac:dyDescent="0.35">
      <c r="A1407" t="s">
        <v>2140</v>
      </c>
      <c r="B1407" t="s">
        <v>310</v>
      </c>
      <c r="C1407" t="s">
        <v>2141</v>
      </c>
      <c r="D1407" t="s">
        <v>40</v>
      </c>
      <c r="E1407" t="s">
        <v>111</v>
      </c>
      <c r="F1407" t="s">
        <v>18</v>
      </c>
      <c r="G1407" t="s">
        <v>176</v>
      </c>
      <c r="H1407">
        <v>335</v>
      </c>
      <c r="I1407">
        <v>20</v>
      </c>
      <c r="J1407">
        <v>30</v>
      </c>
      <c r="K1407" t="s">
        <v>20</v>
      </c>
      <c r="L1407">
        <v>37</v>
      </c>
      <c r="M1407" t="s">
        <v>21</v>
      </c>
    </row>
    <row r="1408" spans="1:13" x14ac:dyDescent="0.35">
      <c r="A1408" t="s">
        <v>2142</v>
      </c>
      <c r="B1408" t="s">
        <v>286</v>
      </c>
      <c r="C1408" t="s">
        <v>1957</v>
      </c>
      <c r="D1408" t="s">
        <v>25</v>
      </c>
      <c r="E1408" t="s">
        <v>34</v>
      </c>
      <c r="F1408" t="s">
        <v>27</v>
      </c>
      <c r="G1408" t="s">
        <v>176</v>
      </c>
      <c r="H1408">
        <v>664</v>
      </c>
      <c r="I1408">
        <v>30</v>
      </c>
      <c r="J1408">
        <v>30</v>
      </c>
      <c r="K1408" t="s">
        <v>20</v>
      </c>
      <c r="L1408">
        <v>55</v>
      </c>
      <c r="M1408" t="s">
        <v>30</v>
      </c>
    </row>
    <row r="1409" spans="1:13" x14ac:dyDescent="0.35">
      <c r="A1409" t="s">
        <v>2143</v>
      </c>
      <c r="B1409" t="s">
        <v>541</v>
      </c>
      <c r="C1409" t="s">
        <v>459</v>
      </c>
      <c r="D1409" t="s">
        <v>25</v>
      </c>
      <c r="E1409" t="s">
        <v>26</v>
      </c>
      <c r="F1409" t="s">
        <v>27</v>
      </c>
      <c r="G1409" t="s">
        <v>176</v>
      </c>
      <c r="H1409">
        <v>235</v>
      </c>
      <c r="I1409">
        <v>30</v>
      </c>
      <c r="J1409">
        <v>0</v>
      </c>
      <c r="K1409" t="s">
        <v>36</v>
      </c>
      <c r="L1409">
        <v>36</v>
      </c>
      <c r="M1409" t="s">
        <v>21</v>
      </c>
    </row>
    <row r="1410" spans="1:13" x14ac:dyDescent="0.35">
      <c r="A1410" t="s">
        <v>2144</v>
      </c>
      <c r="B1410" t="s">
        <v>76</v>
      </c>
      <c r="C1410" t="s">
        <v>1396</v>
      </c>
      <c r="D1410" t="s">
        <v>16</v>
      </c>
      <c r="E1410" t="s">
        <v>89</v>
      </c>
      <c r="F1410" t="s">
        <v>18</v>
      </c>
      <c r="G1410" t="s">
        <v>35</v>
      </c>
      <c r="H1410">
        <v>612</v>
      </c>
      <c r="I1410">
        <v>50</v>
      </c>
      <c r="J1410">
        <v>50</v>
      </c>
      <c r="K1410" t="s">
        <v>29</v>
      </c>
      <c r="L1410">
        <v>33</v>
      </c>
      <c r="M1410" t="s">
        <v>21</v>
      </c>
    </row>
    <row r="1411" spans="1:13" x14ac:dyDescent="0.35">
      <c r="A1411" t="s">
        <v>2145</v>
      </c>
      <c r="B1411" t="s">
        <v>178</v>
      </c>
      <c r="C1411" t="s">
        <v>2009</v>
      </c>
      <c r="D1411" t="s">
        <v>16</v>
      </c>
      <c r="E1411" t="s">
        <v>89</v>
      </c>
      <c r="F1411" t="s">
        <v>18</v>
      </c>
      <c r="G1411" t="s">
        <v>35</v>
      </c>
      <c r="H1411">
        <v>470</v>
      </c>
      <c r="I1411">
        <v>50</v>
      </c>
      <c r="J1411">
        <v>30</v>
      </c>
      <c r="K1411" t="s">
        <v>36</v>
      </c>
      <c r="L1411">
        <v>48</v>
      </c>
      <c r="M1411" t="s">
        <v>21</v>
      </c>
    </row>
    <row r="1412" spans="1:13" x14ac:dyDescent="0.35">
      <c r="A1412" t="s">
        <v>2146</v>
      </c>
      <c r="B1412" t="s">
        <v>435</v>
      </c>
      <c r="C1412" t="s">
        <v>463</v>
      </c>
      <c r="D1412" t="s">
        <v>40</v>
      </c>
      <c r="E1412" t="s">
        <v>111</v>
      </c>
      <c r="F1412" t="s">
        <v>18</v>
      </c>
      <c r="G1412" t="s">
        <v>63</v>
      </c>
      <c r="H1412">
        <v>663</v>
      </c>
      <c r="I1412">
        <v>50</v>
      </c>
      <c r="J1412">
        <v>50</v>
      </c>
      <c r="K1412" t="s">
        <v>29</v>
      </c>
      <c r="L1412">
        <v>22</v>
      </c>
      <c r="M1412" t="s">
        <v>21</v>
      </c>
    </row>
    <row r="1413" spans="1:13" x14ac:dyDescent="0.35">
      <c r="A1413" t="s">
        <v>2147</v>
      </c>
      <c r="B1413" t="s">
        <v>65</v>
      </c>
      <c r="C1413" t="s">
        <v>2148</v>
      </c>
      <c r="D1413" t="s">
        <v>40</v>
      </c>
      <c r="E1413" t="s">
        <v>111</v>
      </c>
      <c r="F1413" t="s">
        <v>18</v>
      </c>
      <c r="G1413" t="s">
        <v>107</v>
      </c>
      <c r="H1413">
        <v>292</v>
      </c>
      <c r="I1413">
        <v>20</v>
      </c>
      <c r="J1413">
        <v>30</v>
      </c>
      <c r="K1413" t="s">
        <v>29</v>
      </c>
      <c r="L1413">
        <v>35</v>
      </c>
      <c r="M1413" t="s">
        <v>21</v>
      </c>
    </row>
    <row r="1414" spans="1:13" x14ac:dyDescent="0.35">
      <c r="A1414" t="s">
        <v>2149</v>
      </c>
      <c r="B1414" t="s">
        <v>526</v>
      </c>
      <c r="C1414" t="s">
        <v>425</v>
      </c>
      <c r="D1414" t="s">
        <v>16</v>
      </c>
      <c r="E1414" t="s">
        <v>89</v>
      </c>
      <c r="F1414" t="s">
        <v>18</v>
      </c>
      <c r="G1414" t="s">
        <v>107</v>
      </c>
      <c r="H1414">
        <v>257</v>
      </c>
      <c r="I1414">
        <v>30</v>
      </c>
      <c r="J1414">
        <v>100</v>
      </c>
      <c r="K1414" t="s">
        <v>36</v>
      </c>
      <c r="L1414">
        <v>53</v>
      </c>
      <c r="M1414" t="s">
        <v>21</v>
      </c>
    </row>
    <row r="1415" spans="1:13" x14ac:dyDescent="0.35">
      <c r="A1415" t="s">
        <v>2150</v>
      </c>
      <c r="B1415" t="s">
        <v>213</v>
      </c>
      <c r="C1415" t="s">
        <v>1401</v>
      </c>
      <c r="D1415" t="s">
        <v>53</v>
      </c>
      <c r="E1415" t="s">
        <v>54</v>
      </c>
      <c r="F1415" t="s">
        <v>55</v>
      </c>
      <c r="G1415" t="s">
        <v>49</v>
      </c>
      <c r="H1415">
        <v>688</v>
      </c>
      <c r="I1415">
        <v>40</v>
      </c>
      <c r="J1415">
        <v>20</v>
      </c>
      <c r="K1415" t="s">
        <v>20</v>
      </c>
      <c r="L1415">
        <v>27</v>
      </c>
      <c r="M1415" t="s">
        <v>21</v>
      </c>
    </row>
    <row r="1416" spans="1:13" x14ac:dyDescent="0.35">
      <c r="A1416" t="s">
        <v>2151</v>
      </c>
      <c r="B1416" t="s">
        <v>205</v>
      </c>
      <c r="C1416" t="s">
        <v>1434</v>
      </c>
      <c r="D1416" t="s">
        <v>53</v>
      </c>
      <c r="E1416" t="s">
        <v>152</v>
      </c>
      <c r="F1416" t="s">
        <v>18</v>
      </c>
      <c r="G1416" t="s">
        <v>49</v>
      </c>
      <c r="H1416">
        <v>256</v>
      </c>
      <c r="I1416">
        <v>50</v>
      </c>
      <c r="J1416">
        <v>30</v>
      </c>
      <c r="K1416" t="s">
        <v>36</v>
      </c>
      <c r="L1416">
        <v>35</v>
      </c>
      <c r="M1416" t="s">
        <v>21</v>
      </c>
    </row>
    <row r="1417" spans="1:13" x14ac:dyDescent="0.35">
      <c r="A1417" t="s">
        <v>2152</v>
      </c>
      <c r="B1417" t="s">
        <v>91</v>
      </c>
      <c r="C1417" t="s">
        <v>1326</v>
      </c>
      <c r="D1417" t="s">
        <v>25</v>
      </c>
      <c r="E1417" t="s">
        <v>34</v>
      </c>
      <c r="F1417" t="s">
        <v>27</v>
      </c>
      <c r="G1417" t="s">
        <v>42</v>
      </c>
      <c r="H1417">
        <v>215</v>
      </c>
      <c r="I1417">
        <v>30</v>
      </c>
      <c r="J1417">
        <v>30</v>
      </c>
      <c r="K1417" t="s">
        <v>36</v>
      </c>
      <c r="L1417">
        <v>20</v>
      </c>
      <c r="M1417" t="s">
        <v>21</v>
      </c>
    </row>
    <row r="1418" spans="1:13" x14ac:dyDescent="0.35">
      <c r="A1418" t="s">
        <v>2153</v>
      </c>
      <c r="B1418" t="s">
        <v>51</v>
      </c>
      <c r="C1418" t="s">
        <v>1767</v>
      </c>
      <c r="D1418" t="s">
        <v>25</v>
      </c>
      <c r="E1418" t="s">
        <v>34</v>
      </c>
      <c r="F1418" t="s">
        <v>27</v>
      </c>
      <c r="G1418" t="s">
        <v>19</v>
      </c>
      <c r="H1418">
        <v>671</v>
      </c>
      <c r="I1418">
        <v>40</v>
      </c>
      <c r="J1418">
        <v>50</v>
      </c>
      <c r="K1418" t="s">
        <v>29</v>
      </c>
      <c r="L1418">
        <v>32</v>
      </c>
      <c r="M1418" t="s">
        <v>21</v>
      </c>
    </row>
    <row r="1419" spans="1:13" x14ac:dyDescent="0.35">
      <c r="A1419" t="s">
        <v>2154</v>
      </c>
      <c r="B1419" t="s">
        <v>432</v>
      </c>
      <c r="C1419" t="s">
        <v>1919</v>
      </c>
      <c r="D1419" t="s">
        <v>46</v>
      </c>
      <c r="E1419" t="s">
        <v>47</v>
      </c>
      <c r="F1419" t="s">
        <v>48</v>
      </c>
      <c r="G1419" t="s">
        <v>35</v>
      </c>
      <c r="H1419">
        <v>520</v>
      </c>
      <c r="I1419">
        <v>50</v>
      </c>
      <c r="J1419">
        <v>20</v>
      </c>
      <c r="K1419" t="s">
        <v>36</v>
      </c>
      <c r="L1419">
        <v>35</v>
      </c>
      <c r="M1419" t="s">
        <v>21</v>
      </c>
    </row>
    <row r="1420" spans="1:13" x14ac:dyDescent="0.35">
      <c r="A1420" t="s">
        <v>2155</v>
      </c>
      <c r="B1420" t="s">
        <v>583</v>
      </c>
      <c r="C1420" t="s">
        <v>353</v>
      </c>
      <c r="D1420" t="s">
        <v>53</v>
      </c>
      <c r="E1420" t="s">
        <v>84</v>
      </c>
      <c r="F1420" t="s">
        <v>85</v>
      </c>
      <c r="G1420" t="s">
        <v>107</v>
      </c>
      <c r="H1420">
        <v>357</v>
      </c>
      <c r="I1420">
        <v>40</v>
      </c>
      <c r="J1420">
        <v>30</v>
      </c>
      <c r="K1420" t="s">
        <v>36</v>
      </c>
      <c r="L1420">
        <v>49</v>
      </c>
      <c r="M1420" t="s">
        <v>30</v>
      </c>
    </row>
    <row r="1421" spans="1:13" x14ac:dyDescent="0.35">
      <c r="A1421" t="s">
        <v>2156</v>
      </c>
      <c r="B1421" t="s">
        <v>14</v>
      </c>
      <c r="C1421" t="s">
        <v>2157</v>
      </c>
      <c r="D1421" t="s">
        <v>40</v>
      </c>
      <c r="E1421" t="s">
        <v>111</v>
      </c>
      <c r="F1421" t="s">
        <v>18</v>
      </c>
      <c r="G1421" t="s">
        <v>19</v>
      </c>
      <c r="H1421">
        <v>709</v>
      </c>
      <c r="I1421">
        <v>40</v>
      </c>
      <c r="J1421">
        <v>20</v>
      </c>
      <c r="K1421" t="s">
        <v>36</v>
      </c>
      <c r="L1421">
        <v>59</v>
      </c>
      <c r="M1421" t="s">
        <v>21</v>
      </c>
    </row>
    <row r="1422" spans="1:13" x14ac:dyDescent="0.35">
      <c r="A1422" t="s">
        <v>2158</v>
      </c>
      <c r="B1422" t="s">
        <v>87</v>
      </c>
      <c r="C1422" t="s">
        <v>1394</v>
      </c>
      <c r="D1422" t="s">
        <v>40</v>
      </c>
      <c r="E1422" t="s">
        <v>111</v>
      </c>
      <c r="F1422" t="s">
        <v>18</v>
      </c>
      <c r="G1422" t="s">
        <v>35</v>
      </c>
      <c r="H1422">
        <v>576</v>
      </c>
      <c r="I1422">
        <v>50</v>
      </c>
      <c r="J1422">
        <v>20</v>
      </c>
      <c r="K1422" t="s">
        <v>29</v>
      </c>
      <c r="L1422">
        <v>55</v>
      </c>
      <c r="M1422" t="s">
        <v>21</v>
      </c>
    </row>
    <row r="1423" spans="1:13" x14ac:dyDescent="0.35">
      <c r="A1423" t="s">
        <v>2159</v>
      </c>
      <c r="B1423" t="s">
        <v>336</v>
      </c>
      <c r="C1423" t="s">
        <v>1649</v>
      </c>
      <c r="D1423" t="s">
        <v>16</v>
      </c>
      <c r="E1423" t="s">
        <v>89</v>
      </c>
      <c r="F1423" t="s">
        <v>18</v>
      </c>
      <c r="G1423" t="s">
        <v>35</v>
      </c>
      <c r="H1423">
        <v>297</v>
      </c>
      <c r="I1423">
        <v>40</v>
      </c>
      <c r="J1423">
        <v>30</v>
      </c>
      <c r="K1423" t="s">
        <v>29</v>
      </c>
      <c r="L1423">
        <v>39</v>
      </c>
      <c r="M1423" t="s">
        <v>21</v>
      </c>
    </row>
    <row r="1424" spans="1:13" x14ac:dyDescent="0.35">
      <c r="A1424" t="s">
        <v>2160</v>
      </c>
      <c r="B1424" t="s">
        <v>38</v>
      </c>
      <c r="C1424" t="s">
        <v>879</v>
      </c>
      <c r="D1424" t="s">
        <v>40</v>
      </c>
      <c r="E1424" t="s">
        <v>111</v>
      </c>
      <c r="F1424" t="s">
        <v>18</v>
      </c>
      <c r="G1424" t="s">
        <v>19</v>
      </c>
      <c r="H1424">
        <v>516</v>
      </c>
      <c r="I1424">
        <v>40</v>
      </c>
      <c r="J1424">
        <v>100</v>
      </c>
      <c r="K1424" t="s">
        <v>29</v>
      </c>
      <c r="L1424">
        <v>29</v>
      </c>
      <c r="M1424" t="s">
        <v>30</v>
      </c>
    </row>
    <row r="1425" spans="1:13" x14ac:dyDescent="0.35">
      <c r="A1425" t="s">
        <v>2161</v>
      </c>
      <c r="B1425" t="s">
        <v>398</v>
      </c>
      <c r="C1425" t="s">
        <v>77</v>
      </c>
      <c r="D1425" t="s">
        <v>53</v>
      </c>
      <c r="E1425" t="s">
        <v>54</v>
      </c>
      <c r="F1425" t="s">
        <v>55</v>
      </c>
      <c r="G1425" t="s">
        <v>28</v>
      </c>
      <c r="H1425">
        <v>374</v>
      </c>
      <c r="I1425">
        <v>40</v>
      </c>
      <c r="J1425">
        <v>20</v>
      </c>
      <c r="K1425" t="s">
        <v>36</v>
      </c>
      <c r="L1425">
        <v>20</v>
      </c>
      <c r="M1425" t="s">
        <v>21</v>
      </c>
    </row>
    <row r="1426" spans="1:13" x14ac:dyDescent="0.35">
      <c r="A1426" t="s">
        <v>2162</v>
      </c>
      <c r="B1426" t="s">
        <v>65</v>
      </c>
      <c r="C1426" t="s">
        <v>648</v>
      </c>
      <c r="D1426" t="s">
        <v>53</v>
      </c>
      <c r="E1426" t="s">
        <v>152</v>
      </c>
      <c r="F1426" t="s">
        <v>18</v>
      </c>
      <c r="G1426" t="s">
        <v>19</v>
      </c>
      <c r="H1426">
        <v>339</v>
      </c>
      <c r="I1426">
        <v>50</v>
      </c>
      <c r="J1426">
        <v>0</v>
      </c>
      <c r="K1426" t="s">
        <v>36</v>
      </c>
      <c r="L1426">
        <v>55</v>
      </c>
      <c r="M1426" t="s">
        <v>21</v>
      </c>
    </row>
    <row r="1427" spans="1:13" x14ac:dyDescent="0.35">
      <c r="A1427" t="s">
        <v>2163</v>
      </c>
      <c r="B1427" t="s">
        <v>72</v>
      </c>
      <c r="C1427" t="s">
        <v>1879</v>
      </c>
      <c r="D1427" t="s">
        <v>25</v>
      </c>
      <c r="E1427" t="s">
        <v>34</v>
      </c>
      <c r="F1427" t="s">
        <v>27</v>
      </c>
      <c r="G1427" t="s">
        <v>59</v>
      </c>
      <c r="H1427">
        <v>790</v>
      </c>
      <c r="I1427">
        <v>40</v>
      </c>
      <c r="J1427">
        <v>30</v>
      </c>
      <c r="K1427" t="s">
        <v>29</v>
      </c>
      <c r="L1427">
        <v>41</v>
      </c>
      <c r="M1427" t="s">
        <v>21</v>
      </c>
    </row>
    <row r="1428" spans="1:13" x14ac:dyDescent="0.35">
      <c r="A1428" t="s">
        <v>2164</v>
      </c>
      <c r="B1428" t="s">
        <v>23</v>
      </c>
      <c r="C1428" t="s">
        <v>1338</v>
      </c>
      <c r="D1428" t="s">
        <v>46</v>
      </c>
      <c r="E1428" t="s">
        <v>47</v>
      </c>
      <c r="F1428" t="s">
        <v>48</v>
      </c>
      <c r="G1428" t="s">
        <v>107</v>
      </c>
      <c r="H1428">
        <v>204</v>
      </c>
      <c r="I1428">
        <v>50</v>
      </c>
      <c r="J1428">
        <v>100</v>
      </c>
      <c r="K1428" t="s">
        <v>36</v>
      </c>
      <c r="L1428">
        <v>53</v>
      </c>
      <c r="M1428" t="s">
        <v>21</v>
      </c>
    </row>
    <row r="1429" spans="1:13" x14ac:dyDescent="0.35">
      <c r="A1429" t="s">
        <v>2165</v>
      </c>
      <c r="B1429" t="s">
        <v>118</v>
      </c>
      <c r="C1429" t="s">
        <v>114</v>
      </c>
      <c r="D1429" t="s">
        <v>16</v>
      </c>
      <c r="E1429" t="s">
        <v>131</v>
      </c>
      <c r="F1429" t="s">
        <v>55</v>
      </c>
      <c r="G1429" t="s">
        <v>63</v>
      </c>
      <c r="H1429">
        <v>711</v>
      </c>
      <c r="I1429">
        <v>50</v>
      </c>
      <c r="J1429">
        <v>20</v>
      </c>
      <c r="K1429" t="s">
        <v>20</v>
      </c>
      <c r="L1429">
        <v>24</v>
      </c>
      <c r="M1429" t="s">
        <v>21</v>
      </c>
    </row>
    <row r="1430" spans="1:13" x14ac:dyDescent="0.35">
      <c r="A1430" t="s">
        <v>2166</v>
      </c>
      <c r="B1430" t="s">
        <v>213</v>
      </c>
      <c r="C1430" t="s">
        <v>596</v>
      </c>
      <c r="D1430" t="s">
        <v>53</v>
      </c>
      <c r="E1430" t="s">
        <v>152</v>
      </c>
      <c r="F1430" t="s">
        <v>18</v>
      </c>
      <c r="G1430" t="s">
        <v>42</v>
      </c>
      <c r="H1430">
        <v>214</v>
      </c>
      <c r="I1430">
        <v>40</v>
      </c>
      <c r="J1430">
        <v>0</v>
      </c>
      <c r="K1430" t="s">
        <v>36</v>
      </c>
      <c r="L1430">
        <v>33</v>
      </c>
      <c r="M1430" t="s">
        <v>21</v>
      </c>
    </row>
    <row r="1431" spans="1:13" x14ac:dyDescent="0.35">
      <c r="A1431" t="s">
        <v>2167</v>
      </c>
      <c r="B1431" t="s">
        <v>38</v>
      </c>
      <c r="C1431" t="s">
        <v>2168</v>
      </c>
      <c r="D1431" t="s">
        <v>46</v>
      </c>
      <c r="E1431" t="s">
        <v>47</v>
      </c>
      <c r="F1431" t="s">
        <v>48</v>
      </c>
      <c r="G1431" t="s">
        <v>42</v>
      </c>
      <c r="H1431">
        <v>577</v>
      </c>
      <c r="I1431">
        <v>40</v>
      </c>
      <c r="J1431">
        <v>0</v>
      </c>
      <c r="K1431" t="s">
        <v>29</v>
      </c>
      <c r="L1431">
        <v>22</v>
      </c>
      <c r="M1431" t="s">
        <v>21</v>
      </c>
    </row>
    <row r="1432" spans="1:13" x14ac:dyDescent="0.35">
      <c r="A1432" t="s">
        <v>2169</v>
      </c>
      <c r="B1432" t="s">
        <v>336</v>
      </c>
      <c r="C1432" t="s">
        <v>1311</v>
      </c>
      <c r="D1432" t="s">
        <v>40</v>
      </c>
      <c r="E1432" t="s">
        <v>67</v>
      </c>
      <c r="F1432" t="s">
        <v>48</v>
      </c>
      <c r="G1432" t="s">
        <v>19</v>
      </c>
      <c r="H1432">
        <v>404</v>
      </c>
      <c r="I1432">
        <v>20</v>
      </c>
      <c r="J1432">
        <v>20</v>
      </c>
      <c r="K1432" t="s">
        <v>29</v>
      </c>
      <c r="L1432">
        <v>22</v>
      </c>
      <c r="M1432" t="s">
        <v>21</v>
      </c>
    </row>
    <row r="1433" spans="1:13" x14ac:dyDescent="0.35">
      <c r="A1433" t="s">
        <v>2170</v>
      </c>
      <c r="B1433" t="s">
        <v>109</v>
      </c>
      <c r="C1433" t="s">
        <v>151</v>
      </c>
      <c r="D1433" t="s">
        <v>53</v>
      </c>
      <c r="E1433" t="s">
        <v>54</v>
      </c>
      <c r="F1433" t="s">
        <v>55</v>
      </c>
      <c r="G1433" t="s">
        <v>59</v>
      </c>
      <c r="H1433">
        <v>562</v>
      </c>
      <c r="I1433">
        <v>20</v>
      </c>
      <c r="J1433">
        <v>30</v>
      </c>
      <c r="K1433" t="s">
        <v>29</v>
      </c>
      <c r="L1433">
        <v>25</v>
      </c>
      <c r="M1433" t="s">
        <v>21</v>
      </c>
    </row>
    <row r="1434" spans="1:13" x14ac:dyDescent="0.35">
      <c r="A1434" t="s">
        <v>2171</v>
      </c>
      <c r="B1434" t="s">
        <v>454</v>
      </c>
      <c r="C1434" t="s">
        <v>425</v>
      </c>
      <c r="D1434" t="s">
        <v>53</v>
      </c>
      <c r="E1434" t="s">
        <v>152</v>
      </c>
      <c r="F1434" t="s">
        <v>18</v>
      </c>
      <c r="G1434" t="s">
        <v>176</v>
      </c>
      <c r="H1434">
        <v>391</v>
      </c>
      <c r="I1434">
        <v>40</v>
      </c>
      <c r="J1434">
        <v>0</v>
      </c>
      <c r="K1434" t="s">
        <v>29</v>
      </c>
      <c r="L1434">
        <v>32</v>
      </c>
      <c r="M1434" t="s">
        <v>21</v>
      </c>
    </row>
    <row r="1435" spans="1:13" x14ac:dyDescent="0.35">
      <c r="A1435" t="s">
        <v>2172</v>
      </c>
      <c r="B1435" t="s">
        <v>568</v>
      </c>
      <c r="C1435" t="s">
        <v>287</v>
      </c>
      <c r="D1435" t="s">
        <v>53</v>
      </c>
      <c r="E1435" t="s">
        <v>54</v>
      </c>
      <c r="F1435" t="s">
        <v>55</v>
      </c>
      <c r="G1435" t="s">
        <v>42</v>
      </c>
      <c r="H1435">
        <v>511</v>
      </c>
      <c r="I1435">
        <v>50</v>
      </c>
      <c r="J1435">
        <v>100</v>
      </c>
      <c r="K1435" t="s">
        <v>36</v>
      </c>
      <c r="L1435">
        <v>46</v>
      </c>
      <c r="M1435" t="s">
        <v>21</v>
      </c>
    </row>
    <row r="1436" spans="1:13" x14ac:dyDescent="0.35">
      <c r="A1436" t="s">
        <v>2173</v>
      </c>
      <c r="B1436" t="s">
        <v>273</v>
      </c>
      <c r="C1436" t="s">
        <v>1428</v>
      </c>
      <c r="D1436" t="s">
        <v>40</v>
      </c>
      <c r="E1436" t="s">
        <v>67</v>
      </c>
      <c r="F1436" t="s">
        <v>48</v>
      </c>
      <c r="G1436" t="s">
        <v>42</v>
      </c>
      <c r="H1436">
        <v>708</v>
      </c>
      <c r="I1436">
        <v>40</v>
      </c>
      <c r="J1436">
        <v>20</v>
      </c>
      <c r="K1436" t="s">
        <v>36</v>
      </c>
      <c r="L1436">
        <v>23</v>
      </c>
      <c r="M1436" t="s">
        <v>21</v>
      </c>
    </row>
    <row r="1437" spans="1:13" x14ac:dyDescent="0.35">
      <c r="A1437" t="s">
        <v>2174</v>
      </c>
      <c r="B1437" t="s">
        <v>365</v>
      </c>
      <c r="C1437" t="s">
        <v>229</v>
      </c>
      <c r="D1437" t="s">
        <v>46</v>
      </c>
      <c r="E1437" t="s">
        <v>148</v>
      </c>
      <c r="F1437" t="s">
        <v>27</v>
      </c>
      <c r="G1437" t="s">
        <v>59</v>
      </c>
      <c r="H1437">
        <v>645</v>
      </c>
      <c r="I1437">
        <v>50</v>
      </c>
      <c r="J1437">
        <v>50</v>
      </c>
      <c r="K1437" t="s">
        <v>20</v>
      </c>
      <c r="L1437">
        <v>33</v>
      </c>
      <c r="M1437" t="s">
        <v>21</v>
      </c>
    </row>
    <row r="1438" spans="1:13" x14ac:dyDescent="0.35">
      <c r="A1438" t="s">
        <v>2175</v>
      </c>
      <c r="B1438" t="s">
        <v>435</v>
      </c>
      <c r="C1438" t="s">
        <v>1720</v>
      </c>
      <c r="D1438" t="s">
        <v>40</v>
      </c>
      <c r="E1438" t="s">
        <v>67</v>
      </c>
      <c r="F1438" t="s">
        <v>48</v>
      </c>
      <c r="G1438" t="s">
        <v>74</v>
      </c>
      <c r="H1438">
        <v>438</v>
      </c>
      <c r="I1438">
        <v>40</v>
      </c>
      <c r="J1438">
        <v>0</v>
      </c>
      <c r="K1438" t="s">
        <v>29</v>
      </c>
      <c r="L1438">
        <v>49</v>
      </c>
      <c r="M1438" t="s">
        <v>21</v>
      </c>
    </row>
    <row r="1439" spans="1:13" x14ac:dyDescent="0.35">
      <c r="A1439" t="s">
        <v>2176</v>
      </c>
      <c r="B1439" t="s">
        <v>432</v>
      </c>
      <c r="C1439" t="s">
        <v>141</v>
      </c>
      <c r="D1439" t="s">
        <v>40</v>
      </c>
      <c r="E1439" t="s">
        <v>67</v>
      </c>
      <c r="F1439" t="s">
        <v>48</v>
      </c>
      <c r="G1439" t="s">
        <v>28</v>
      </c>
      <c r="H1439">
        <v>511</v>
      </c>
      <c r="I1439">
        <v>40</v>
      </c>
      <c r="J1439">
        <v>100</v>
      </c>
      <c r="K1439" t="s">
        <v>36</v>
      </c>
      <c r="L1439">
        <v>41</v>
      </c>
      <c r="M1439" t="s">
        <v>21</v>
      </c>
    </row>
    <row r="1440" spans="1:13" x14ac:dyDescent="0.35">
      <c r="A1440" t="s">
        <v>2177</v>
      </c>
      <c r="B1440" t="s">
        <v>189</v>
      </c>
      <c r="C1440" t="s">
        <v>2178</v>
      </c>
      <c r="D1440" t="s">
        <v>53</v>
      </c>
      <c r="E1440" t="s">
        <v>54</v>
      </c>
      <c r="F1440" t="s">
        <v>55</v>
      </c>
      <c r="G1440" t="s">
        <v>28</v>
      </c>
      <c r="H1440">
        <v>719</v>
      </c>
      <c r="I1440">
        <v>30</v>
      </c>
      <c r="J1440">
        <v>50</v>
      </c>
      <c r="K1440" t="s">
        <v>36</v>
      </c>
      <c r="L1440">
        <v>20</v>
      </c>
      <c r="M1440" t="s">
        <v>30</v>
      </c>
    </row>
    <row r="1441" spans="1:13" x14ac:dyDescent="0.35">
      <c r="A1441" t="s">
        <v>2179</v>
      </c>
      <c r="B1441" t="s">
        <v>61</v>
      </c>
      <c r="C1441" t="s">
        <v>259</v>
      </c>
      <c r="D1441" t="s">
        <v>25</v>
      </c>
      <c r="E1441" t="s">
        <v>26</v>
      </c>
      <c r="F1441" t="s">
        <v>27</v>
      </c>
      <c r="G1441" t="s">
        <v>176</v>
      </c>
      <c r="H1441">
        <v>319</v>
      </c>
      <c r="I1441">
        <v>30</v>
      </c>
      <c r="J1441">
        <v>0</v>
      </c>
      <c r="K1441" t="s">
        <v>36</v>
      </c>
      <c r="L1441">
        <v>52</v>
      </c>
      <c r="M1441" t="s">
        <v>21</v>
      </c>
    </row>
    <row r="1442" spans="1:13" x14ac:dyDescent="0.35">
      <c r="A1442" t="s">
        <v>2180</v>
      </c>
      <c r="B1442" t="s">
        <v>80</v>
      </c>
      <c r="C1442" t="s">
        <v>2181</v>
      </c>
      <c r="D1442" t="s">
        <v>25</v>
      </c>
      <c r="E1442" t="s">
        <v>26</v>
      </c>
      <c r="F1442" t="s">
        <v>27</v>
      </c>
      <c r="G1442" t="s">
        <v>176</v>
      </c>
      <c r="H1442">
        <v>181</v>
      </c>
      <c r="I1442">
        <v>20</v>
      </c>
      <c r="J1442">
        <v>100</v>
      </c>
      <c r="K1442" t="s">
        <v>20</v>
      </c>
      <c r="L1442">
        <v>26</v>
      </c>
      <c r="M1442" t="s">
        <v>21</v>
      </c>
    </row>
    <row r="1443" spans="1:13" x14ac:dyDescent="0.35">
      <c r="A1443" t="s">
        <v>2182</v>
      </c>
      <c r="B1443" t="s">
        <v>23</v>
      </c>
      <c r="C1443" t="s">
        <v>789</v>
      </c>
      <c r="D1443" t="s">
        <v>46</v>
      </c>
      <c r="E1443" t="s">
        <v>70</v>
      </c>
      <c r="F1443" t="s">
        <v>18</v>
      </c>
      <c r="G1443" t="s">
        <v>19</v>
      </c>
      <c r="H1443">
        <v>358</v>
      </c>
      <c r="I1443">
        <v>40</v>
      </c>
      <c r="J1443">
        <v>20</v>
      </c>
      <c r="K1443" t="s">
        <v>20</v>
      </c>
      <c r="L1443">
        <v>51</v>
      </c>
      <c r="M1443" t="s">
        <v>21</v>
      </c>
    </row>
    <row r="1444" spans="1:13" x14ac:dyDescent="0.35">
      <c r="A1444" t="s">
        <v>2183</v>
      </c>
      <c r="B1444" t="s">
        <v>102</v>
      </c>
      <c r="C1444" t="s">
        <v>137</v>
      </c>
      <c r="D1444" t="s">
        <v>40</v>
      </c>
      <c r="E1444" t="s">
        <v>41</v>
      </c>
      <c r="F1444" t="s">
        <v>27</v>
      </c>
      <c r="G1444" t="s">
        <v>49</v>
      </c>
      <c r="H1444">
        <v>251</v>
      </c>
      <c r="I1444">
        <v>50</v>
      </c>
      <c r="J1444">
        <v>50</v>
      </c>
      <c r="K1444" t="s">
        <v>36</v>
      </c>
      <c r="L1444">
        <v>20</v>
      </c>
      <c r="M1444" t="s">
        <v>21</v>
      </c>
    </row>
    <row r="1445" spans="1:13" x14ac:dyDescent="0.35">
      <c r="A1445" t="s">
        <v>2184</v>
      </c>
      <c r="B1445" t="s">
        <v>580</v>
      </c>
      <c r="C1445" t="s">
        <v>349</v>
      </c>
      <c r="D1445" t="s">
        <v>40</v>
      </c>
      <c r="E1445" t="s">
        <v>111</v>
      </c>
      <c r="F1445" t="s">
        <v>18</v>
      </c>
      <c r="G1445" t="s">
        <v>19</v>
      </c>
      <c r="H1445">
        <v>733</v>
      </c>
      <c r="I1445">
        <v>30</v>
      </c>
      <c r="J1445">
        <v>100</v>
      </c>
      <c r="K1445" t="s">
        <v>36</v>
      </c>
      <c r="L1445">
        <v>39</v>
      </c>
      <c r="M1445" t="s">
        <v>21</v>
      </c>
    </row>
    <row r="1446" spans="1:13" x14ac:dyDescent="0.35">
      <c r="A1446" t="s">
        <v>2185</v>
      </c>
      <c r="B1446" t="s">
        <v>562</v>
      </c>
      <c r="C1446" t="s">
        <v>423</v>
      </c>
      <c r="D1446" t="s">
        <v>40</v>
      </c>
      <c r="E1446" t="s">
        <v>41</v>
      </c>
      <c r="F1446" t="s">
        <v>27</v>
      </c>
      <c r="G1446" t="s">
        <v>107</v>
      </c>
      <c r="H1446">
        <v>672</v>
      </c>
      <c r="I1446">
        <v>40</v>
      </c>
      <c r="J1446">
        <v>30</v>
      </c>
      <c r="K1446" t="s">
        <v>36</v>
      </c>
      <c r="L1446">
        <v>51</v>
      </c>
      <c r="M1446" t="s">
        <v>21</v>
      </c>
    </row>
    <row r="1447" spans="1:13" x14ac:dyDescent="0.35">
      <c r="A1447" t="s">
        <v>2186</v>
      </c>
      <c r="B1447" t="s">
        <v>105</v>
      </c>
      <c r="C1447" t="s">
        <v>1879</v>
      </c>
      <c r="D1447" t="s">
        <v>25</v>
      </c>
      <c r="E1447" t="s">
        <v>26</v>
      </c>
      <c r="F1447" t="s">
        <v>27</v>
      </c>
      <c r="G1447" t="s">
        <v>35</v>
      </c>
      <c r="H1447">
        <v>709</v>
      </c>
      <c r="I1447">
        <v>50</v>
      </c>
      <c r="J1447">
        <v>0</v>
      </c>
      <c r="K1447" t="s">
        <v>29</v>
      </c>
      <c r="L1447">
        <v>42</v>
      </c>
      <c r="M1447" t="s">
        <v>21</v>
      </c>
    </row>
    <row r="1448" spans="1:13" x14ac:dyDescent="0.35">
      <c r="A1448" t="s">
        <v>2187</v>
      </c>
      <c r="B1448" t="s">
        <v>398</v>
      </c>
      <c r="C1448" t="s">
        <v>533</v>
      </c>
      <c r="D1448" t="s">
        <v>16</v>
      </c>
      <c r="E1448" t="s">
        <v>89</v>
      </c>
      <c r="F1448" t="s">
        <v>18</v>
      </c>
      <c r="G1448" t="s">
        <v>42</v>
      </c>
      <c r="H1448">
        <v>536</v>
      </c>
      <c r="I1448">
        <v>40</v>
      </c>
      <c r="J1448">
        <v>30</v>
      </c>
      <c r="K1448" t="s">
        <v>20</v>
      </c>
      <c r="L1448">
        <v>57</v>
      </c>
      <c r="M1448" t="s">
        <v>21</v>
      </c>
    </row>
    <row r="1449" spans="1:13" x14ac:dyDescent="0.35">
      <c r="A1449" t="s">
        <v>2188</v>
      </c>
      <c r="B1449" t="s">
        <v>365</v>
      </c>
      <c r="C1449" t="s">
        <v>1224</v>
      </c>
      <c r="D1449" t="s">
        <v>25</v>
      </c>
      <c r="E1449" t="s">
        <v>78</v>
      </c>
      <c r="F1449" t="s">
        <v>48</v>
      </c>
      <c r="G1449" t="s">
        <v>107</v>
      </c>
      <c r="H1449">
        <v>750</v>
      </c>
      <c r="I1449">
        <v>20</v>
      </c>
      <c r="J1449">
        <v>20</v>
      </c>
      <c r="K1449" t="s">
        <v>36</v>
      </c>
      <c r="L1449">
        <v>25</v>
      </c>
      <c r="M1449" t="s">
        <v>21</v>
      </c>
    </row>
    <row r="1450" spans="1:13" x14ac:dyDescent="0.35">
      <c r="A1450" t="s">
        <v>2189</v>
      </c>
      <c r="B1450" t="s">
        <v>379</v>
      </c>
      <c r="C1450" t="s">
        <v>801</v>
      </c>
      <c r="D1450" t="s">
        <v>46</v>
      </c>
      <c r="E1450" t="s">
        <v>70</v>
      </c>
      <c r="F1450" t="s">
        <v>18</v>
      </c>
      <c r="G1450" t="s">
        <v>19</v>
      </c>
      <c r="H1450">
        <v>152</v>
      </c>
      <c r="I1450">
        <v>30</v>
      </c>
      <c r="J1450">
        <v>100</v>
      </c>
      <c r="K1450" t="s">
        <v>36</v>
      </c>
      <c r="L1450">
        <v>48</v>
      </c>
      <c r="M1450" t="s">
        <v>21</v>
      </c>
    </row>
    <row r="1451" spans="1:13" x14ac:dyDescent="0.35">
      <c r="A1451" t="s">
        <v>2190</v>
      </c>
      <c r="B1451" t="s">
        <v>57</v>
      </c>
      <c r="C1451" t="s">
        <v>2191</v>
      </c>
      <c r="D1451" t="s">
        <v>25</v>
      </c>
      <c r="E1451" t="s">
        <v>78</v>
      </c>
      <c r="F1451" t="s">
        <v>48</v>
      </c>
      <c r="G1451" t="s">
        <v>59</v>
      </c>
      <c r="H1451">
        <v>718</v>
      </c>
      <c r="I1451">
        <v>30</v>
      </c>
      <c r="J1451">
        <v>20</v>
      </c>
      <c r="K1451" t="s">
        <v>20</v>
      </c>
      <c r="L1451">
        <v>43</v>
      </c>
      <c r="M1451" t="s">
        <v>21</v>
      </c>
    </row>
    <row r="1452" spans="1:13" x14ac:dyDescent="0.35">
      <c r="A1452" t="s">
        <v>2192</v>
      </c>
      <c r="B1452" t="s">
        <v>432</v>
      </c>
      <c r="C1452" t="s">
        <v>1649</v>
      </c>
      <c r="D1452" t="s">
        <v>25</v>
      </c>
      <c r="E1452" t="s">
        <v>78</v>
      </c>
      <c r="F1452" t="s">
        <v>48</v>
      </c>
      <c r="G1452" t="s">
        <v>49</v>
      </c>
      <c r="H1452">
        <v>686</v>
      </c>
      <c r="I1452">
        <v>50</v>
      </c>
      <c r="J1452">
        <v>30</v>
      </c>
      <c r="K1452" t="s">
        <v>20</v>
      </c>
      <c r="L1452">
        <v>21</v>
      </c>
      <c r="M1452" t="s">
        <v>21</v>
      </c>
    </row>
    <row r="1453" spans="1:13" x14ac:dyDescent="0.35">
      <c r="A1453" t="s">
        <v>2193</v>
      </c>
      <c r="B1453" t="s">
        <v>146</v>
      </c>
      <c r="C1453" t="s">
        <v>1194</v>
      </c>
      <c r="D1453" t="s">
        <v>40</v>
      </c>
      <c r="E1453" t="s">
        <v>111</v>
      </c>
      <c r="F1453" t="s">
        <v>18</v>
      </c>
      <c r="G1453" t="s">
        <v>35</v>
      </c>
      <c r="H1453">
        <v>733</v>
      </c>
      <c r="I1453">
        <v>40</v>
      </c>
      <c r="J1453">
        <v>50</v>
      </c>
      <c r="K1453" t="s">
        <v>29</v>
      </c>
      <c r="L1453">
        <v>35</v>
      </c>
      <c r="M1453" t="s">
        <v>21</v>
      </c>
    </row>
    <row r="1454" spans="1:13" x14ac:dyDescent="0.35">
      <c r="A1454" t="s">
        <v>2194</v>
      </c>
      <c r="B1454" t="s">
        <v>413</v>
      </c>
      <c r="C1454" t="s">
        <v>710</v>
      </c>
      <c r="D1454" t="s">
        <v>46</v>
      </c>
      <c r="E1454" t="s">
        <v>148</v>
      </c>
      <c r="F1454" t="s">
        <v>27</v>
      </c>
      <c r="G1454" t="s">
        <v>49</v>
      </c>
      <c r="H1454">
        <v>521</v>
      </c>
      <c r="I1454">
        <v>30</v>
      </c>
      <c r="J1454">
        <v>50</v>
      </c>
      <c r="K1454" t="s">
        <v>36</v>
      </c>
      <c r="L1454">
        <v>30</v>
      </c>
      <c r="M1454" t="s">
        <v>21</v>
      </c>
    </row>
    <row r="1455" spans="1:13" x14ac:dyDescent="0.35">
      <c r="A1455" t="s">
        <v>2195</v>
      </c>
      <c r="B1455" t="s">
        <v>322</v>
      </c>
      <c r="C1455" t="s">
        <v>1871</v>
      </c>
      <c r="D1455" t="s">
        <v>25</v>
      </c>
      <c r="E1455" t="s">
        <v>78</v>
      </c>
      <c r="F1455" t="s">
        <v>48</v>
      </c>
      <c r="G1455" t="s">
        <v>63</v>
      </c>
      <c r="H1455">
        <v>663</v>
      </c>
      <c r="I1455">
        <v>30</v>
      </c>
      <c r="J1455">
        <v>30</v>
      </c>
      <c r="K1455" t="s">
        <v>36</v>
      </c>
      <c r="L1455">
        <v>31</v>
      </c>
      <c r="M1455" t="s">
        <v>21</v>
      </c>
    </row>
    <row r="1456" spans="1:13" x14ac:dyDescent="0.35">
      <c r="A1456" t="s">
        <v>2196</v>
      </c>
      <c r="B1456" t="s">
        <v>51</v>
      </c>
      <c r="C1456" t="s">
        <v>717</v>
      </c>
      <c r="D1456" t="s">
        <v>16</v>
      </c>
      <c r="E1456" t="s">
        <v>17</v>
      </c>
      <c r="F1456" t="s">
        <v>18</v>
      </c>
      <c r="G1456" t="s">
        <v>107</v>
      </c>
      <c r="H1456">
        <v>495</v>
      </c>
      <c r="I1456">
        <v>30</v>
      </c>
      <c r="J1456">
        <v>30</v>
      </c>
      <c r="K1456" t="s">
        <v>20</v>
      </c>
      <c r="L1456">
        <v>20</v>
      </c>
      <c r="M1456" t="s">
        <v>21</v>
      </c>
    </row>
    <row r="1457" spans="1:13" x14ac:dyDescent="0.35">
      <c r="A1457" t="s">
        <v>2197</v>
      </c>
      <c r="B1457" t="s">
        <v>181</v>
      </c>
      <c r="C1457" t="s">
        <v>103</v>
      </c>
      <c r="D1457" t="s">
        <v>53</v>
      </c>
      <c r="E1457" t="s">
        <v>54</v>
      </c>
      <c r="F1457" t="s">
        <v>55</v>
      </c>
      <c r="G1457" t="s">
        <v>35</v>
      </c>
      <c r="H1457">
        <v>598</v>
      </c>
      <c r="I1457">
        <v>30</v>
      </c>
      <c r="J1457">
        <v>30</v>
      </c>
      <c r="K1457" t="s">
        <v>36</v>
      </c>
      <c r="L1457">
        <v>20</v>
      </c>
      <c r="M1457" t="s">
        <v>21</v>
      </c>
    </row>
    <row r="1458" spans="1:13" x14ac:dyDescent="0.35">
      <c r="A1458" t="s">
        <v>2198</v>
      </c>
      <c r="B1458" t="s">
        <v>454</v>
      </c>
      <c r="C1458" t="s">
        <v>195</v>
      </c>
      <c r="D1458" t="s">
        <v>25</v>
      </c>
      <c r="E1458" t="s">
        <v>26</v>
      </c>
      <c r="F1458" t="s">
        <v>27</v>
      </c>
      <c r="G1458" t="s">
        <v>35</v>
      </c>
      <c r="H1458">
        <v>566</v>
      </c>
      <c r="I1458">
        <v>50</v>
      </c>
      <c r="J1458">
        <v>20</v>
      </c>
      <c r="K1458" t="s">
        <v>20</v>
      </c>
      <c r="L1458">
        <v>24</v>
      </c>
      <c r="M1458" t="s">
        <v>21</v>
      </c>
    </row>
    <row r="1459" spans="1:13" x14ac:dyDescent="0.35">
      <c r="A1459" t="s">
        <v>2199</v>
      </c>
      <c r="B1459" t="s">
        <v>80</v>
      </c>
      <c r="C1459" t="s">
        <v>399</v>
      </c>
      <c r="D1459" t="s">
        <v>53</v>
      </c>
      <c r="E1459" t="s">
        <v>152</v>
      </c>
      <c r="F1459" t="s">
        <v>18</v>
      </c>
      <c r="G1459" t="s">
        <v>35</v>
      </c>
      <c r="H1459">
        <v>387</v>
      </c>
      <c r="I1459">
        <v>20</v>
      </c>
      <c r="J1459">
        <v>50</v>
      </c>
      <c r="K1459" t="s">
        <v>20</v>
      </c>
      <c r="L1459">
        <v>42</v>
      </c>
      <c r="M1459" t="s">
        <v>21</v>
      </c>
    </row>
    <row r="1460" spans="1:13" x14ac:dyDescent="0.35">
      <c r="A1460" t="s">
        <v>2200</v>
      </c>
      <c r="B1460" t="s">
        <v>365</v>
      </c>
      <c r="C1460" t="s">
        <v>307</v>
      </c>
      <c r="D1460" t="s">
        <v>16</v>
      </c>
      <c r="E1460" t="s">
        <v>17</v>
      </c>
      <c r="F1460" t="s">
        <v>18</v>
      </c>
      <c r="G1460" t="s">
        <v>59</v>
      </c>
      <c r="H1460">
        <v>339</v>
      </c>
      <c r="I1460">
        <v>20</v>
      </c>
      <c r="J1460">
        <v>50</v>
      </c>
      <c r="K1460" t="s">
        <v>36</v>
      </c>
      <c r="L1460">
        <v>45</v>
      </c>
      <c r="M1460" t="s">
        <v>21</v>
      </c>
    </row>
    <row r="1461" spans="1:13" x14ac:dyDescent="0.35">
      <c r="A1461" t="s">
        <v>2201</v>
      </c>
      <c r="B1461" t="s">
        <v>61</v>
      </c>
      <c r="C1461" t="s">
        <v>2202</v>
      </c>
      <c r="D1461" t="s">
        <v>16</v>
      </c>
      <c r="E1461" t="s">
        <v>89</v>
      </c>
      <c r="F1461" t="s">
        <v>18</v>
      </c>
      <c r="G1461" t="s">
        <v>63</v>
      </c>
      <c r="H1461">
        <v>209</v>
      </c>
      <c r="I1461">
        <v>40</v>
      </c>
      <c r="J1461">
        <v>30</v>
      </c>
      <c r="K1461" t="s">
        <v>29</v>
      </c>
      <c r="L1461">
        <v>58</v>
      </c>
      <c r="M1461" t="s">
        <v>21</v>
      </c>
    </row>
    <row r="1462" spans="1:13" x14ac:dyDescent="0.35">
      <c r="A1462" t="s">
        <v>2203</v>
      </c>
      <c r="B1462" t="s">
        <v>365</v>
      </c>
      <c r="C1462" t="s">
        <v>871</v>
      </c>
      <c r="D1462" t="s">
        <v>53</v>
      </c>
      <c r="E1462" t="s">
        <v>84</v>
      </c>
      <c r="F1462" t="s">
        <v>85</v>
      </c>
      <c r="G1462" t="s">
        <v>107</v>
      </c>
      <c r="H1462">
        <v>301</v>
      </c>
      <c r="I1462">
        <v>40</v>
      </c>
      <c r="J1462">
        <v>100</v>
      </c>
      <c r="K1462" t="s">
        <v>29</v>
      </c>
      <c r="L1462">
        <v>34</v>
      </c>
      <c r="M1462" t="s">
        <v>21</v>
      </c>
    </row>
    <row r="1463" spans="1:13" x14ac:dyDescent="0.35">
      <c r="A1463" t="s">
        <v>2204</v>
      </c>
      <c r="B1463" t="s">
        <v>513</v>
      </c>
      <c r="C1463" t="s">
        <v>2050</v>
      </c>
      <c r="D1463" t="s">
        <v>16</v>
      </c>
      <c r="E1463" t="s">
        <v>131</v>
      </c>
      <c r="F1463" t="s">
        <v>55</v>
      </c>
      <c r="G1463" t="s">
        <v>59</v>
      </c>
      <c r="H1463">
        <v>337</v>
      </c>
      <c r="I1463">
        <v>40</v>
      </c>
      <c r="J1463">
        <v>100</v>
      </c>
      <c r="K1463" t="s">
        <v>29</v>
      </c>
      <c r="L1463">
        <v>57</v>
      </c>
      <c r="M1463" t="s">
        <v>21</v>
      </c>
    </row>
    <row r="1464" spans="1:13" x14ac:dyDescent="0.35">
      <c r="A1464" t="s">
        <v>2205</v>
      </c>
      <c r="B1464" t="s">
        <v>326</v>
      </c>
      <c r="C1464" t="s">
        <v>315</v>
      </c>
      <c r="D1464" t="s">
        <v>25</v>
      </c>
      <c r="E1464" t="s">
        <v>78</v>
      </c>
      <c r="F1464" t="s">
        <v>48</v>
      </c>
      <c r="G1464" t="s">
        <v>49</v>
      </c>
      <c r="H1464">
        <v>714</v>
      </c>
      <c r="I1464">
        <v>50</v>
      </c>
      <c r="J1464">
        <v>20</v>
      </c>
      <c r="K1464" t="s">
        <v>29</v>
      </c>
      <c r="L1464">
        <v>58</v>
      </c>
      <c r="M1464" t="s">
        <v>21</v>
      </c>
    </row>
    <row r="1465" spans="1:13" x14ac:dyDescent="0.35">
      <c r="A1465" t="s">
        <v>2206</v>
      </c>
      <c r="B1465" t="s">
        <v>449</v>
      </c>
      <c r="C1465" t="s">
        <v>391</v>
      </c>
      <c r="D1465" t="s">
        <v>46</v>
      </c>
      <c r="E1465" t="s">
        <v>70</v>
      </c>
      <c r="F1465" t="s">
        <v>18</v>
      </c>
      <c r="G1465" t="s">
        <v>74</v>
      </c>
      <c r="H1465">
        <v>740</v>
      </c>
      <c r="I1465">
        <v>50</v>
      </c>
      <c r="J1465">
        <v>20</v>
      </c>
      <c r="K1465" t="s">
        <v>29</v>
      </c>
      <c r="L1465">
        <v>41</v>
      </c>
      <c r="M1465" t="s">
        <v>21</v>
      </c>
    </row>
    <row r="1466" spans="1:13" x14ac:dyDescent="0.35">
      <c r="A1466" t="s">
        <v>2207</v>
      </c>
      <c r="B1466" t="s">
        <v>80</v>
      </c>
      <c r="C1466" t="s">
        <v>563</v>
      </c>
      <c r="D1466" t="s">
        <v>53</v>
      </c>
      <c r="E1466" t="s">
        <v>152</v>
      </c>
      <c r="F1466" t="s">
        <v>18</v>
      </c>
      <c r="G1466" t="s">
        <v>176</v>
      </c>
      <c r="H1466">
        <v>441</v>
      </c>
      <c r="I1466">
        <v>20</v>
      </c>
      <c r="J1466">
        <v>100</v>
      </c>
      <c r="K1466" t="s">
        <v>20</v>
      </c>
      <c r="L1466">
        <v>37</v>
      </c>
      <c r="M1466" t="s">
        <v>21</v>
      </c>
    </row>
    <row r="1467" spans="1:13" x14ac:dyDescent="0.35">
      <c r="A1467" t="s">
        <v>2208</v>
      </c>
      <c r="B1467" t="s">
        <v>121</v>
      </c>
      <c r="C1467" t="s">
        <v>327</v>
      </c>
      <c r="D1467" t="s">
        <v>46</v>
      </c>
      <c r="E1467" t="s">
        <v>148</v>
      </c>
      <c r="F1467" t="s">
        <v>27</v>
      </c>
      <c r="G1467" t="s">
        <v>19</v>
      </c>
      <c r="H1467">
        <v>612</v>
      </c>
      <c r="I1467">
        <v>30</v>
      </c>
      <c r="J1467">
        <v>50</v>
      </c>
      <c r="K1467" t="s">
        <v>36</v>
      </c>
      <c r="L1467">
        <v>52</v>
      </c>
      <c r="M1467" t="s">
        <v>21</v>
      </c>
    </row>
    <row r="1468" spans="1:13" x14ac:dyDescent="0.35">
      <c r="A1468" t="s">
        <v>2209</v>
      </c>
      <c r="B1468" t="s">
        <v>449</v>
      </c>
      <c r="C1468" t="s">
        <v>1138</v>
      </c>
      <c r="D1468" t="s">
        <v>53</v>
      </c>
      <c r="E1468" t="s">
        <v>84</v>
      </c>
      <c r="F1468" t="s">
        <v>85</v>
      </c>
      <c r="G1468" t="s">
        <v>28</v>
      </c>
      <c r="H1468">
        <v>461</v>
      </c>
      <c r="I1468">
        <v>30</v>
      </c>
      <c r="J1468">
        <v>20</v>
      </c>
      <c r="K1468" t="s">
        <v>29</v>
      </c>
      <c r="L1468">
        <v>44</v>
      </c>
      <c r="M1468" t="s">
        <v>21</v>
      </c>
    </row>
    <row r="1469" spans="1:13" x14ac:dyDescent="0.35">
      <c r="A1469" t="s">
        <v>2210</v>
      </c>
      <c r="B1469" t="s">
        <v>342</v>
      </c>
      <c r="C1469" t="s">
        <v>1421</v>
      </c>
      <c r="D1469" t="s">
        <v>25</v>
      </c>
      <c r="E1469" t="s">
        <v>78</v>
      </c>
      <c r="F1469" t="s">
        <v>48</v>
      </c>
      <c r="G1469" t="s">
        <v>19</v>
      </c>
      <c r="H1469">
        <v>294</v>
      </c>
      <c r="I1469">
        <v>50</v>
      </c>
      <c r="J1469">
        <v>100</v>
      </c>
      <c r="K1469" t="s">
        <v>29</v>
      </c>
      <c r="L1469">
        <v>47</v>
      </c>
      <c r="M1469" t="s">
        <v>21</v>
      </c>
    </row>
    <row r="1470" spans="1:13" x14ac:dyDescent="0.35">
      <c r="A1470" t="s">
        <v>2211</v>
      </c>
      <c r="B1470" t="s">
        <v>91</v>
      </c>
      <c r="C1470" t="s">
        <v>1243</v>
      </c>
      <c r="D1470" t="s">
        <v>53</v>
      </c>
      <c r="E1470" t="s">
        <v>152</v>
      </c>
      <c r="F1470" t="s">
        <v>18</v>
      </c>
      <c r="G1470" t="s">
        <v>49</v>
      </c>
      <c r="H1470">
        <v>599</v>
      </c>
      <c r="I1470">
        <v>20</v>
      </c>
      <c r="J1470">
        <v>0</v>
      </c>
      <c r="K1470" t="s">
        <v>20</v>
      </c>
      <c r="L1470">
        <v>59</v>
      </c>
      <c r="M1470" t="s">
        <v>30</v>
      </c>
    </row>
    <row r="1471" spans="1:13" x14ac:dyDescent="0.35">
      <c r="A1471" t="s">
        <v>2212</v>
      </c>
      <c r="B1471" t="s">
        <v>96</v>
      </c>
      <c r="C1471" t="s">
        <v>2181</v>
      </c>
      <c r="D1471" t="s">
        <v>46</v>
      </c>
      <c r="E1471" t="s">
        <v>148</v>
      </c>
      <c r="F1471" t="s">
        <v>27</v>
      </c>
      <c r="G1471" t="s">
        <v>28</v>
      </c>
      <c r="H1471">
        <v>659</v>
      </c>
      <c r="I1471">
        <v>30</v>
      </c>
      <c r="J1471">
        <v>50</v>
      </c>
      <c r="K1471" t="s">
        <v>20</v>
      </c>
      <c r="L1471">
        <v>38</v>
      </c>
      <c r="M1471" t="s">
        <v>21</v>
      </c>
    </row>
    <row r="1472" spans="1:13" x14ac:dyDescent="0.35">
      <c r="A1472" t="s">
        <v>2213</v>
      </c>
      <c r="B1472" t="s">
        <v>199</v>
      </c>
      <c r="C1472" t="s">
        <v>956</v>
      </c>
      <c r="D1472" t="s">
        <v>40</v>
      </c>
      <c r="E1472" t="s">
        <v>111</v>
      </c>
      <c r="F1472" t="s">
        <v>18</v>
      </c>
      <c r="G1472" t="s">
        <v>42</v>
      </c>
      <c r="H1472">
        <v>486</v>
      </c>
      <c r="I1472">
        <v>50</v>
      </c>
      <c r="J1472">
        <v>0</v>
      </c>
      <c r="K1472" t="s">
        <v>36</v>
      </c>
      <c r="L1472">
        <v>31</v>
      </c>
      <c r="M1472" t="s">
        <v>21</v>
      </c>
    </row>
    <row r="1473" spans="1:13" x14ac:dyDescent="0.35">
      <c r="A1473" t="s">
        <v>2214</v>
      </c>
      <c r="B1473" t="s">
        <v>413</v>
      </c>
      <c r="C1473" t="s">
        <v>389</v>
      </c>
      <c r="D1473" t="s">
        <v>16</v>
      </c>
      <c r="E1473" t="s">
        <v>17</v>
      </c>
      <c r="F1473" t="s">
        <v>18</v>
      </c>
      <c r="G1473" t="s">
        <v>63</v>
      </c>
      <c r="H1473">
        <v>579</v>
      </c>
      <c r="I1473">
        <v>50</v>
      </c>
      <c r="J1473">
        <v>50</v>
      </c>
      <c r="K1473" t="s">
        <v>20</v>
      </c>
      <c r="L1473">
        <v>34</v>
      </c>
      <c r="M1473" t="s">
        <v>21</v>
      </c>
    </row>
    <row r="1474" spans="1:13" x14ac:dyDescent="0.35">
      <c r="A1474" t="s">
        <v>2215</v>
      </c>
      <c r="B1474" t="s">
        <v>186</v>
      </c>
      <c r="C1474" t="s">
        <v>979</v>
      </c>
      <c r="D1474" t="s">
        <v>53</v>
      </c>
      <c r="E1474" t="s">
        <v>84</v>
      </c>
      <c r="F1474" t="s">
        <v>85</v>
      </c>
      <c r="G1474" t="s">
        <v>28</v>
      </c>
      <c r="H1474">
        <v>720</v>
      </c>
      <c r="I1474">
        <v>50</v>
      </c>
      <c r="J1474">
        <v>0</v>
      </c>
      <c r="K1474" t="s">
        <v>36</v>
      </c>
      <c r="L1474">
        <v>23</v>
      </c>
      <c r="M1474" t="s">
        <v>21</v>
      </c>
    </row>
    <row r="1475" spans="1:13" x14ac:dyDescent="0.35">
      <c r="A1475" t="s">
        <v>2216</v>
      </c>
      <c r="B1475" t="s">
        <v>449</v>
      </c>
      <c r="C1475" t="s">
        <v>77</v>
      </c>
      <c r="D1475" t="s">
        <v>40</v>
      </c>
      <c r="E1475" t="s">
        <v>111</v>
      </c>
      <c r="F1475" t="s">
        <v>18</v>
      </c>
      <c r="G1475" t="s">
        <v>35</v>
      </c>
      <c r="H1475">
        <v>622</v>
      </c>
      <c r="I1475">
        <v>30</v>
      </c>
      <c r="J1475">
        <v>20</v>
      </c>
      <c r="K1475" t="s">
        <v>29</v>
      </c>
      <c r="L1475">
        <v>46</v>
      </c>
      <c r="M1475" t="s">
        <v>21</v>
      </c>
    </row>
    <row r="1476" spans="1:13" x14ac:dyDescent="0.35">
      <c r="A1476" t="s">
        <v>2217</v>
      </c>
      <c r="B1476" t="s">
        <v>223</v>
      </c>
      <c r="C1476" t="s">
        <v>1647</v>
      </c>
      <c r="D1476" t="s">
        <v>25</v>
      </c>
      <c r="E1476" t="s">
        <v>34</v>
      </c>
      <c r="F1476" t="s">
        <v>27</v>
      </c>
      <c r="G1476" t="s">
        <v>176</v>
      </c>
      <c r="H1476">
        <v>494</v>
      </c>
      <c r="I1476">
        <v>50</v>
      </c>
      <c r="J1476">
        <v>100</v>
      </c>
      <c r="K1476" t="s">
        <v>36</v>
      </c>
      <c r="L1476">
        <v>44</v>
      </c>
      <c r="M1476" t="s">
        <v>21</v>
      </c>
    </row>
    <row r="1477" spans="1:13" x14ac:dyDescent="0.35">
      <c r="A1477" t="s">
        <v>2218</v>
      </c>
      <c r="B1477" t="s">
        <v>113</v>
      </c>
      <c r="C1477" t="s">
        <v>2219</v>
      </c>
      <c r="D1477" t="s">
        <v>16</v>
      </c>
      <c r="E1477" t="s">
        <v>89</v>
      </c>
      <c r="F1477" t="s">
        <v>18</v>
      </c>
      <c r="G1477" t="s">
        <v>35</v>
      </c>
      <c r="H1477">
        <v>705</v>
      </c>
      <c r="I1477">
        <v>30</v>
      </c>
      <c r="J1477">
        <v>20</v>
      </c>
      <c r="K1477" t="s">
        <v>29</v>
      </c>
      <c r="L1477">
        <v>53</v>
      </c>
      <c r="M1477" t="s">
        <v>21</v>
      </c>
    </row>
    <row r="1478" spans="1:13" x14ac:dyDescent="0.35">
      <c r="A1478" t="s">
        <v>2220</v>
      </c>
      <c r="B1478" t="s">
        <v>454</v>
      </c>
      <c r="C1478" t="s">
        <v>2221</v>
      </c>
      <c r="D1478" t="s">
        <v>16</v>
      </c>
      <c r="E1478" t="s">
        <v>131</v>
      </c>
      <c r="F1478" t="s">
        <v>55</v>
      </c>
      <c r="G1478" t="s">
        <v>59</v>
      </c>
      <c r="H1478">
        <v>606</v>
      </c>
      <c r="I1478">
        <v>40</v>
      </c>
      <c r="J1478">
        <v>100</v>
      </c>
      <c r="K1478" t="s">
        <v>36</v>
      </c>
      <c r="L1478">
        <v>33</v>
      </c>
      <c r="M1478" t="s">
        <v>21</v>
      </c>
    </row>
    <row r="1479" spans="1:13" x14ac:dyDescent="0.35">
      <c r="A1479" t="s">
        <v>2222</v>
      </c>
      <c r="B1479" t="s">
        <v>91</v>
      </c>
      <c r="C1479" t="s">
        <v>2030</v>
      </c>
      <c r="D1479" t="s">
        <v>25</v>
      </c>
      <c r="E1479" t="s">
        <v>34</v>
      </c>
      <c r="F1479" t="s">
        <v>27</v>
      </c>
      <c r="G1479" t="s">
        <v>42</v>
      </c>
      <c r="H1479">
        <v>331</v>
      </c>
      <c r="I1479">
        <v>20</v>
      </c>
      <c r="J1479">
        <v>30</v>
      </c>
      <c r="K1479" t="s">
        <v>20</v>
      </c>
      <c r="L1479">
        <v>25</v>
      </c>
      <c r="M1479" t="s">
        <v>21</v>
      </c>
    </row>
    <row r="1480" spans="1:13" x14ac:dyDescent="0.35">
      <c r="A1480" t="s">
        <v>2223</v>
      </c>
      <c r="B1480" t="s">
        <v>109</v>
      </c>
      <c r="C1480" t="s">
        <v>2224</v>
      </c>
      <c r="D1480" t="s">
        <v>16</v>
      </c>
      <c r="E1480" t="s">
        <v>17</v>
      </c>
      <c r="F1480" t="s">
        <v>18</v>
      </c>
      <c r="G1480" t="s">
        <v>176</v>
      </c>
      <c r="H1480">
        <v>544</v>
      </c>
      <c r="I1480">
        <v>40</v>
      </c>
      <c r="J1480">
        <v>20</v>
      </c>
      <c r="K1480" t="s">
        <v>29</v>
      </c>
      <c r="L1480">
        <v>25</v>
      </c>
      <c r="M1480" t="s">
        <v>21</v>
      </c>
    </row>
    <row r="1481" spans="1:13" x14ac:dyDescent="0.35">
      <c r="A1481" t="s">
        <v>2225</v>
      </c>
      <c r="B1481" t="s">
        <v>23</v>
      </c>
      <c r="C1481" t="s">
        <v>489</v>
      </c>
      <c r="D1481" t="s">
        <v>25</v>
      </c>
      <c r="E1481" t="s">
        <v>26</v>
      </c>
      <c r="F1481" t="s">
        <v>27</v>
      </c>
      <c r="G1481" t="s">
        <v>74</v>
      </c>
      <c r="H1481">
        <v>598</v>
      </c>
      <c r="I1481">
        <v>30</v>
      </c>
      <c r="J1481">
        <v>30</v>
      </c>
      <c r="K1481" t="s">
        <v>29</v>
      </c>
      <c r="L1481">
        <v>22</v>
      </c>
      <c r="M1481" t="s">
        <v>21</v>
      </c>
    </row>
    <row r="1482" spans="1:13" x14ac:dyDescent="0.35">
      <c r="A1482" t="s">
        <v>2226</v>
      </c>
      <c r="B1482" t="s">
        <v>126</v>
      </c>
      <c r="C1482" t="s">
        <v>808</v>
      </c>
      <c r="D1482" t="s">
        <v>53</v>
      </c>
      <c r="E1482" t="s">
        <v>54</v>
      </c>
      <c r="F1482" t="s">
        <v>55</v>
      </c>
      <c r="G1482" t="s">
        <v>74</v>
      </c>
      <c r="H1482">
        <v>161</v>
      </c>
      <c r="I1482">
        <v>50</v>
      </c>
      <c r="J1482">
        <v>0</v>
      </c>
      <c r="K1482" t="s">
        <v>36</v>
      </c>
      <c r="L1482">
        <v>55</v>
      </c>
      <c r="M1482" t="s">
        <v>21</v>
      </c>
    </row>
    <row r="1483" spans="1:13" x14ac:dyDescent="0.35">
      <c r="A1483" t="s">
        <v>2227</v>
      </c>
      <c r="B1483" t="s">
        <v>398</v>
      </c>
      <c r="C1483" t="s">
        <v>1295</v>
      </c>
      <c r="D1483" t="s">
        <v>16</v>
      </c>
      <c r="E1483" t="s">
        <v>89</v>
      </c>
      <c r="F1483" t="s">
        <v>18</v>
      </c>
      <c r="G1483" t="s">
        <v>19</v>
      </c>
      <c r="H1483">
        <v>484</v>
      </c>
      <c r="I1483">
        <v>40</v>
      </c>
      <c r="J1483">
        <v>100</v>
      </c>
      <c r="K1483" t="s">
        <v>36</v>
      </c>
      <c r="L1483">
        <v>40</v>
      </c>
      <c r="M1483" t="s">
        <v>21</v>
      </c>
    </row>
    <row r="1484" spans="1:13" x14ac:dyDescent="0.35">
      <c r="A1484" t="s">
        <v>2228</v>
      </c>
      <c r="B1484" t="s">
        <v>61</v>
      </c>
      <c r="C1484" t="s">
        <v>278</v>
      </c>
      <c r="D1484" t="s">
        <v>53</v>
      </c>
      <c r="E1484" t="s">
        <v>54</v>
      </c>
      <c r="F1484" t="s">
        <v>55</v>
      </c>
      <c r="G1484" t="s">
        <v>19</v>
      </c>
      <c r="H1484">
        <v>769</v>
      </c>
      <c r="I1484">
        <v>30</v>
      </c>
      <c r="J1484">
        <v>100</v>
      </c>
      <c r="K1484" t="s">
        <v>36</v>
      </c>
      <c r="L1484">
        <v>27</v>
      </c>
      <c r="M1484" t="s">
        <v>21</v>
      </c>
    </row>
    <row r="1485" spans="1:13" x14ac:dyDescent="0.35">
      <c r="A1485" t="s">
        <v>2229</v>
      </c>
      <c r="B1485" t="s">
        <v>326</v>
      </c>
      <c r="C1485" t="s">
        <v>494</v>
      </c>
      <c r="D1485" t="s">
        <v>25</v>
      </c>
      <c r="E1485" t="s">
        <v>34</v>
      </c>
      <c r="F1485" t="s">
        <v>27</v>
      </c>
      <c r="G1485" t="s">
        <v>107</v>
      </c>
      <c r="H1485">
        <v>716</v>
      </c>
      <c r="I1485">
        <v>30</v>
      </c>
      <c r="J1485">
        <v>0</v>
      </c>
      <c r="K1485" t="s">
        <v>36</v>
      </c>
      <c r="L1485">
        <v>33</v>
      </c>
      <c r="M1485" t="s">
        <v>21</v>
      </c>
    </row>
    <row r="1486" spans="1:13" x14ac:dyDescent="0.35">
      <c r="A1486" t="s">
        <v>2230</v>
      </c>
      <c r="B1486" t="s">
        <v>326</v>
      </c>
      <c r="C1486" t="s">
        <v>830</v>
      </c>
      <c r="D1486" t="s">
        <v>40</v>
      </c>
      <c r="E1486" t="s">
        <v>67</v>
      </c>
      <c r="F1486" t="s">
        <v>48</v>
      </c>
      <c r="G1486" t="s">
        <v>28</v>
      </c>
      <c r="H1486">
        <v>231</v>
      </c>
      <c r="I1486">
        <v>50</v>
      </c>
      <c r="J1486">
        <v>30</v>
      </c>
      <c r="K1486" t="s">
        <v>29</v>
      </c>
      <c r="L1486">
        <v>42</v>
      </c>
      <c r="M1486" t="s">
        <v>21</v>
      </c>
    </row>
    <row r="1487" spans="1:13" x14ac:dyDescent="0.35">
      <c r="A1487" t="s">
        <v>2231</v>
      </c>
      <c r="B1487" t="s">
        <v>241</v>
      </c>
      <c r="C1487" t="s">
        <v>2232</v>
      </c>
      <c r="D1487" t="s">
        <v>46</v>
      </c>
      <c r="E1487" t="s">
        <v>47</v>
      </c>
      <c r="F1487" t="s">
        <v>48</v>
      </c>
      <c r="G1487" t="s">
        <v>63</v>
      </c>
      <c r="H1487">
        <v>625</v>
      </c>
      <c r="I1487">
        <v>50</v>
      </c>
      <c r="J1487">
        <v>50</v>
      </c>
      <c r="K1487" t="s">
        <v>20</v>
      </c>
      <c r="L1487">
        <v>37</v>
      </c>
      <c r="M1487" t="s">
        <v>21</v>
      </c>
    </row>
    <row r="1488" spans="1:13" x14ac:dyDescent="0.35">
      <c r="A1488" t="s">
        <v>2233</v>
      </c>
      <c r="B1488" t="s">
        <v>526</v>
      </c>
      <c r="C1488" t="s">
        <v>1147</v>
      </c>
      <c r="D1488" t="s">
        <v>16</v>
      </c>
      <c r="E1488" t="s">
        <v>131</v>
      </c>
      <c r="F1488" t="s">
        <v>55</v>
      </c>
      <c r="G1488" t="s">
        <v>176</v>
      </c>
      <c r="H1488">
        <v>756</v>
      </c>
      <c r="I1488">
        <v>30</v>
      </c>
      <c r="J1488">
        <v>20</v>
      </c>
      <c r="K1488" t="s">
        <v>20</v>
      </c>
      <c r="L1488">
        <v>46</v>
      </c>
      <c r="M1488" t="s">
        <v>21</v>
      </c>
    </row>
    <row r="1489" spans="1:13" x14ac:dyDescent="0.35">
      <c r="A1489" t="s">
        <v>2234</v>
      </c>
      <c r="B1489" t="s">
        <v>580</v>
      </c>
      <c r="C1489" t="s">
        <v>1275</v>
      </c>
      <c r="D1489" t="s">
        <v>46</v>
      </c>
      <c r="E1489" t="s">
        <v>148</v>
      </c>
      <c r="F1489" t="s">
        <v>27</v>
      </c>
      <c r="G1489" t="s">
        <v>42</v>
      </c>
      <c r="H1489">
        <v>183</v>
      </c>
      <c r="I1489">
        <v>20</v>
      </c>
      <c r="J1489">
        <v>50</v>
      </c>
      <c r="K1489" t="s">
        <v>20</v>
      </c>
      <c r="L1489">
        <v>27</v>
      </c>
      <c r="M1489" t="s">
        <v>21</v>
      </c>
    </row>
    <row r="1490" spans="1:13" x14ac:dyDescent="0.35">
      <c r="A1490" t="s">
        <v>2235</v>
      </c>
      <c r="B1490" t="s">
        <v>273</v>
      </c>
      <c r="C1490" t="s">
        <v>349</v>
      </c>
      <c r="D1490" t="s">
        <v>53</v>
      </c>
      <c r="E1490" t="s">
        <v>84</v>
      </c>
      <c r="F1490" t="s">
        <v>85</v>
      </c>
      <c r="G1490" t="s">
        <v>35</v>
      </c>
      <c r="H1490">
        <v>249</v>
      </c>
      <c r="I1490">
        <v>40</v>
      </c>
      <c r="J1490">
        <v>50</v>
      </c>
      <c r="K1490" t="s">
        <v>36</v>
      </c>
      <c r="L1490">
        <v>52</v>
      </c>
      <c r="M1490" t="s">
        <v>21</v>
      </c>
    </row>
    <row r="1491" spans="1:13" x14ac:dyDescent="0.35">
      <c r="A1491" t="s">
        <v>2236</v>
      </c>
      <c r="B1491" t="s">
        <v>244</v>
      </c>
      <c r="C1491" t="s">
        <v>182</v>
      </c>
      <c r="D1491" t="s">
        <v>40</v>
      </c>
      <c r="E1491" t="s">
        <v>41</v>
      </c>
      <c r="F1491" t="s">
        <v>27</v>
      </c>
      <c r="G1491" t="s">
        <v>63</v>
      </c>
      <c r="H1491">
        <v>441</v>
      </c>
      <c r="I1491">
        <v>20</v>
      </c>
      <c r="J1491">
        <v>0</v>
      </c>
      <c r="K1491" t="s">
        <v>36</v>
      </c>
      <c r="L1491">
        <v>31</v>
      </c>
      <c r="M1491" t="s">
        <v>21</v>
      </c>
    </row>
    <row r="1492" spans="1:13" x14ac:dyDescent="0.35">
      <c r="A1492" t="s">
        <v>2237</v>
      </c>
      <c r="B1492" t="s">
        <v>150</v>
      </c>
      <c r="C1492" t="s">
        <v>1290</v>
      </c>
      <c r="D1492" t="s">
        <v>46</v>
      </c>
      <c r="E1492" t="s">
        <v>47</v>
      </c>
      <c r="F1492" t="s">
        <v>48</v>
      </c>
      <c r="G1492" t="s">
        <v>63</v>
      </c>
      <c r="H1492">
        <v>361</v>
      </c>
      <c r="I1492">
        <v>20</v>
      </c>
      <c r="J1492">
        <v>50</v>
      </c>
      <c r="K1492" t="s">
        <v>20</v>
      </c>
      <c r="L1492">
        <v>41</v>
      </c>
      <c r="M1492" t="s">
        <v>30</v>
      </c>
    </row>
    <row r="1493" spans="1:13" x14ac:dyDescent="0.35">
      <c r="A1493" t="s">
        <v>2238</v>
      </c>
      <c r="B1493" t="s">
        <v>186</v>
      </c>
      <c r="C1493" t="s">
        <v>221</v>
      </c>
      <c r="D1493" t="s">
        <v>46</v>
      </c>
      <c r="E1493" t="s">
        <v>148</v>
      </c>
      <c r="F1493" t="s">
        <v>27</v>
      </c>
      <c r="G1493" t="s">
        <v>35</v>
      </c>
      <c r="H1493">
        <v>701</v>
      </c>
      <c r="I1493">
        <v>40</v>
      </c>
      <c r="J1493">
        <v>100</v>
      </c>
      <c r="K1493" t="s">
        <v>36</v>
      </c>
      <c r="L1493">
        <v>28</v>
      </c>
      <c r="M1493" t="s">
        <v>21</v>
      </c>
    </row>
    <row r="1494" spans="1:13" x14ac:dyDescent="0.35">
      <c r="A1494" t="s">
        <v>2239</v>
      </c>
      <c r="B1494" t="s">
        <v>342</v>
      </c>
      <c r="C1494" t="s">
        <v>642</v>
      </c>
      <c r="D1494" t="s">
        <v>25</v>
      </c>
      <c r="E1494" t="s">
        <v>78</v>
      </c>
      <c r="F1494" t="s">
        <v>48</v>
      </c>
      <c r="G1494" t="s">
        <v>19</v>
      </c>
      <c r="H1494">
        <v>722</v>
      </c>
      <c r="I1494">
        <v>30</v>
      </c>
      <c r="J1494">
        <v>20</v>
      </c>
      <c r="K1494" t="s">
        <v>29</v>
      </c>
      <c r="L1494">
        <v>53</v>
      </c>
      <c r="M1494" t="s">
        <v>21</v>
      </c>
    </row>
    <row r="1495" spans="1:13" x14ac:dyDescent="0.35">
      <c r="A1495" t="s">
        <v>2240</v>
      </c>
      <c r="B1495" t="s">
        <v>435</v>
      </c>
      <c r="C1495" t="s">
        <v>77</v>
      </c>
      <c r="D1495" t="s">
        <v>16</v>
      </c>
      <c r="E1495" t="s">
        <v>17</v>
      </c>
      <c r="F1495" t="s">
        <v>18</v>
      </c>
      <c r="G1495" t="s">
        <v>107</v>
      </c>
      <c r="H1495">
        <v>216</v>
      </c>
      <c r="I1495">
        <v>30</v>
      </c>
      <c r="J1495">
        <v>20</v>
      </c>
      <c r="K1495" t="s">
        <v>20</v>
      </c>
      <c r="L1495">
        <v>28</v>
      </c>
      <c r="M1495" t="s">
        <v>21</v>
      </c>
    </row>
    <row r="1496" spans="1:13" x14ac:dyDescent="0.35">
      <c r="A1496" t="s">
        <v>2241</v>
      </c>
      <c r="B1496" t="s">
        <v>57</v>
      </c>
      <c r="C1496" t="s">
        <v>110</v>
      </c>
      <c r="D1496" t="s">
        <v>16</v>
      </c>
      <c r="E1496" t="s">
        <v>89</v>
      </c>
      <c r="F1496" t="s">
        <v>18</v>
      </c>
      <c r="G1496" t="s">
        <v>42</v>
      </c>
      <c r="H1496">
        <v>377</v>
      </c>
      <c r="I1496">
        <v>50</v>
      </c>
      <c r="J1496">
        <v>20</v>
      </c>
      <c r="K1496" t="s">
        <v>20</v>
      </c>
      <c r="L1496">
        <v>56</v>
      </c>
      <c r="M1496" t="s">
        <v>21</v>
      </c>
    </row>
    <row r="1497" spans="1:13" x14ac:dyDescent="0.35">
      <c r="A1497" t="s">
        <v>2242</v>
      </c>
      <c r="B1497" t="s">
        <v>295</v>
      </c>
      <c r="C1497" t="s">
        <v>471</v>
      </c>
      <c r="D1497" t="s">
        <v>40</v>
      </c>
      <c r="E1497" t="s">
        <v>111</v>
      </c>
      <c r="F1497" t="s">
        <v>18</v>
      </c>
      <c r="G1497" t="s">
        <v>49</v>
      </c>
      <c r="H1497">
        <v>796</v>
      </c>
      <c r="I1497">
        <v>30</v>
      </c>
      <c r="J1497">
        <v>30</v>
      </c>
      <c r="K1497" t="s">
        <v>36</v>
      </c>
      <c r="L1497">
        <v>33</v>
      </c>
      <c r="M1497" t="s">
        <v>21</v>
      </c>
    </row>
    <row r="1498" spans="1:13" x14ac:dyDescent="0.35">
      <c r="A1498" t="s">
        <v>2243</v>
      </c>
      <c r="B1498" t="s">
        <v>65</v>
      </c>
      <c r="C1498" t="s">
        <v>2009</v>
      </c>
      <c r="D1498" t="s">
        <v>46</v>
      </c>
      <c r="E1498" t="s">
        <v>148</v>
      </c>
      <c r="F1498" t="s">
        <v>27</v>
      </c>
      <c r="G1498" t="s">
        <v>42</v>
      </c>
      <c r="H1498">
        <v>428</v>
      </c>
      <c r="I1498">
        <v>30</v>
      </c>
      <c r="J1498">
        <v>0</v>
      </c>
      <c r="K1498" t="s">
        <v>36</v>
      </c>
      <c r="L1498">
        <v>36</v>
      </c>
      <c r="M1498" t="s">
        <v>21</v>
      </c>
    </row>
    <row r="1499" spans="1:13" x14ac:dyDescent="0.35">
      <c r="A1499" t="s">
        <v>2244</v>
      </c>
      <c r="B1499" t="s">
        <v>541</v>
      </c>
      <c r="C1499" t="s">
        <v>708</v>
      </c>
      <c r="D1499" t="s">
        <v>25</v>
      </c>
      <c r="E1499" t="s">
        <v>34</v>
      </c>
      <c r="F1499" t="s">
        <v>27</v>
      </c>
      <c r="G1499" t="s">
        <v>74</v>
      </c>
      <c r="H1499">
        <v>626</v>
      </c>
      <c r="I1499">
        <v>50</v>
      </c>
      <c r="J1499">
        <v>100</v>
      </c>
      <c r="K1499" t="s">
        <v>20</v>
      </c>
      <c r="L1499">
        <v>53</v>
      </c>
      <c r="M1499" t="s">
        <v>21</v>
      </c>
    </row>
    <row r="1500" spans="1:13" x14ac:dyDescent="0.35">
      <c r="A1500" t="s">
        <v>2245</v>
      </c>
      <c r="B1500" t="s">
        <v>14</v>
      </c>
      <c r="C1500" t="s">
        <v>2148</v>
      </c>
      <c r="D1500" t="s">
        <v>53</v>
      </c>
      <c r="E1500" t="s">
        <v>152</v>
      </c>
      <c r="F1500" t="s">
        <v>18</v>
      </c>
      <c r="G1500" t="s">
        <v>19</v>
      </c>
      <c r="H1500">
        <v>330</v>
      </c>
      <c r="I1500">
        <v>40</v>
      </c>
      <c r="J1500">
        <v>30</v>
      </c>
      <c r="K1500" t="s">
        <v>29</v>
      </c>
      <c r="L1500">
        <v>60</v>
      </c>
      <c r="M1500" t="s">
        <v>21</v>
      </c>
    </row>
    <row r="1501" spans="1:13" x14ac:dyDescent="0.35">
      <c r="A1501" t="s">
        <v>2246</v>
      </c>
      <c r="B1501" t="s">
        <v>326</v>
      </c>
      <c r="C1501" t="s">
        <v>545</v>
      </c>
      <c r="D1501" t="s">
        <v>16</v>
      </c>
      <c r="E1501" t="s">
        <v>89</v>
      </c>
      <c r="F1501" t="s">
        <v>18</v>
      </c>
      <c r="G1501" t="s">
        <v>107</v>
      </c>
      <c r="H1501">
        <v>474</v>
      </c>
      <c r="I1501">
        <v>30</v>
      </c>
      <c r="J1501">
        <v>100</v>
      </c>
      <c r="K1501" t="s">
        <v>36</v>
      </c>
      <c r="L1501">
        <v>51</v>
      </c>
      <c r="M1501" t="s">
        <v>21</v>
      </c>
    </row>
    <row r="1502" spans="1:13" x14ac:dyDescent="0.35">
      <c r="A1502" t="s">
        <v>2247</v>
      </c>
      <c r="B1502" t="s">
        <v>113</v>
      </c>
      <c r="C1502" t="s">
        <v>2248</v>
      </c>
      <c r="D1502" t="s">
        <v>16</v>
      </c>
      <c r="E1502" t="s">
        <v>17</v>
      </c>
      <c r="F1502" t="s">
        <v>18</v>
      </c>
      <c r="G1502" t="s">
        <v>74</v>
      </c>
      <c r="H1502">
        <v>467</v>
      </c>
      <c r="I1502">
        <v>20</v>
      </c>
      <c r="J1502">
        <v>100</v>
      </c>
      <c r="K1502" t="s">
        <v>36</v>
      </c>
      <c r="L1502">
        <v>25</v>
      </c>
      <c r="M1502" t="s">
        <v>21</v>
      </c>
    </row>
    <row r="1503" spans="1:13" x14ac:dyDescent="0.35">
      <c r="A1503" t="s">
        <v>2249</v>
      </c>
      <c r="B1503" t="s">
        <v>393</v>
      </c>
      <c r="C1503" t="s">
        <v>1804</v>
      </c>
      <c r="D1503" t="s">
        <v>53</v>
      </c>
      <c r="E1503" t="s">
        <v>84</v>
      </c>
      <c r="F1503" t="s">
        <v>85</v>
      </c>
      <c r="G1503" t="s">
        <v>28</v>
      </c>
      <c r="H1503">
        <v>583</v>
      </c>
      <c r="I1503">
        <v>40</v>
      </c>
      <c r="J1503">
        <v>30</v>
      </c>
      <c r="K1503" t="s">
        <v>29</v>
      </c>
      <c r="L1503">
        <v>36</v>
      </c>
      <c r="M1503" t="s">
        <v>21</v>
      </c>
    </row>
    <row r="1504" spans="1:13" x14ac:dyDescent="0.35">
      <c r="A1504" t="s">
        <v>2250</v>
      </c>
      <c r="B1504" t="s">
        <v>192</v>
      </c>
      <c r="C1504" t="s">
        <v>602</v>
      </c>
      <c r="D1504" t="s">
        <v>16</v>
      </c>
      <c r="E1504" t="s">
        <v>17</v>
      </c>
      <c r="F1504" t="s">
        <v>18</v>
      </c>
      <c r="G1504" t="s">
        <v>42</v>
      </c>
      <c r="H1504">
        <v>472</v>
      </c>
      <c r="I1504">
        <v>20</v>
      </c>
      <c r="J1504">
        <v>30</v>
      </c>
      <c r="K1504" t="s">
        <v>20</v>
      </c>
      <c r="L1504">
        <v>20</v>
      </c>
      <c r="M1504" t="s">
        <v>21</v>
      </c>
    </row>
    <row r="1505" spans="1:13" x14ac:dyDescent="0.35">
      <c r="A1505" t="s">
        <v>2251</v>
      </c>
      <c r="B1505" t="s">
        <v>226</v>
      </c>
      <c r="C1505" t="s">
        <v>1037</v>
      </c>
      <c r="D1505" t="s">
        <v>16</v>
      </c>
      <c r="E1505" t="s">
        <v>17</v>
      </c>
      <c r="F1505" t="s">
        <v>18</v>
      </c>
      <c r="G1505" t="s">
        <v>19</v>
      </c>
      <c r="H1505">
        <v>733</v>
      </c>
      <c r="I1505">
        <v>40</v>
      </c>
      <c r="J1505">
        <v>30</v>
      </c>
      <c r="K1505" t="s">
        <v>36</v>
      </c>
      <c r="L1505">
        <v>56</v>
      </c>
      <c r="M1505" t="s">
        <v>21</v>
      </c>
    </row>
    <row r="1506" spans="1:13" x14ac:dyDescent="0.35">
      <c r="A1506" t="s">
        <v>2252</v>
      </c>
      <c r="B1506" t="s">
        <v>96</v>
      </c>
      <c r="C1506" t="s">
        <v>830</v>
      </c>
      <c r="D1506" t="s">
        <v>40</v>
      </c>
      <c r="E1506" t="s">
        <v>111</v>
      </c>
      <c r="F1506" t="s">
        <v>18</v>
      </c>
      <c r="G1506" t="s">
        <v>28</v>
      </c>
      <c r="H1506">
        <v>759</v>
      </c>
      <c r="I1506">
        <v>30</v>
      </c>
      <c r="J1506">
        <v>50</v>
      </c>
      <c r="K1506" t="s">
        <v>36</v>
      </c>
      <c r="L1506">
        <v>26</v>
      </c>
      <c r="M1506" t="s">
        <v>30</v>
      </c>
    </row>
    <row r="1507" spans="1:13" x14ac:dyDescent="0.35">
      <c r="A1507" t="s">
        <v>2253</v>
      </c>
      <c r="B1507" t="s">
        <v>244</v>
      </c>
      <c r="C1507" t="s">
        <v>1182</v>
      </c>
      <c r="D1507" t="s">
        <v>46</v>
      </c>
      <c r="E1507" t="s">
        <v>148</v>
      </c>
      <c r="F1507" t="s">
        <v>27</v>
      </c>
      <c r="G1507" t="s">
        <v>176</v>
      </c>
      <c r="H1507">
        <v>439</v>
      </c>
      <c r="I1507">
        <v>30</v>
      </c>
      <c r="J1507">
        <v>0</v>
      </c>
      <c r="K1507" t="s">
        <v>20</v>
      </c>
      <c r="L1507">
        <v>27</v>
      </c>
      <c r="M1507" t="s">
        <v>21</v>
      </c>
    </row>
    <row r="1508" spans="1:13" x14ac:dyDescent="0.35">
      <c r="A1508" t="s">
        <v>2254</v>
      </c>
      <c r="B1508" t="s">
        <v>432</v>
      </c>
      <c r="C1508" t="s">
        <v>443</v>
      </c>
      <c r="D1508" t="s">
        <v>16</v>
      </c>
      <c r="E1508" t="s">
        <v>89</v>
      </c>
      <c r="F1508" t="s">
        <v>18</v>
      </c>
      <c r="G1508" t="s">
        <v>28</v>
      </c>
      <c r="H1508">
        <v>659</v>
      </c>
      <c r="I1508">
        <v>40</v>
      </c>
      <c r="J1508">
        <v>30</v>
      </c>
      <c r="K1508" t="s">
        <v>29</v>
      </c>
      <c r="L1508">
        <v>33</v>
      </c>
      <c r="M1508" t="s">
        <v>21</v>
      </c>
    </row>
    <row r="1509" spans="1:13" x14ac:dyDescent="0.35">
      <c r="A1509" t="s">
        <v>2255</v>
      </c>
      <c r="B1509" t="s">
        <v>252</v>
      </c>
      <c r="C1509" t="s">
        <v>2256</v>
      </c>
      <c r="D1509" t="s">
        <v>16</v>
      </c>
      <c r="E1509" t="s">
        <v>17</v>
      </c>
      <c r="F1509" t="s">
        <v>18</v>
      </c>
      <c r="G1509" t="s">
        <v>28</v>
      </c>
      <c r="H1509">
        <v>528</v>
      </c>
      <c r="I1509">
        <v>40</v>
      </c>
      <c r="J1509">
        <v>0</v>
      </c>
      <c r="K1509" t="s">
        <v>20</v>
      </c>
      <c r="L1509">
        <v>43</v>
      </c>
      <c r="M1509" t="s">
        <v>21</v>
      </c>
    </row>
    <row r="1510" spans="1:13" x14ac:dyDescent="0.35">
      <c r="A1510" t="s">
        <v>2257</v>
      </c>
      <c r="B1510" t="s">
        <v>286</v>
      </c>
      <c r="C1510" t="s">
        <v>1085</v>
      </c>
      <c r="D1510" t="s">
        <v>46</v>
      </c>
      <c r="E1510" t="s">
        <v>47</v>
      </c>
      <c r="F1510" t="s">
        <v>48</v>
      </c>
      <c r="G1510" t="s">
        <v>59</v>
      </c>
      <c r="H1510">
        <v>466</v>
      </c>
      <c r="I1510">
        <v>30</v>
      </c>
      <c r="J1510">
        <v>50</v>
      </c>
      <c r="K1510" t="s">
        <v>20</v>
      </c>
      <c r="L1510">
        <v>51</v>
      </c>
      <c r="M1510" t="s">
        <v>21</v>
      </c>
    </row>
    <row r="1511" spans="1:13" x14ac:dyDescent="0.35">
      <c r="A1511" t="s">
        <v>2258</v>
      </c>
      <c r="B1511" t="s">
        <v>14</v>
      </c>
      <c r="C1511" t="s">
        <v>2259</v>
      </c>
      <c r="D1511" t="s">
        <v>46</v>
      </c>
      <c r="E1511" t="s">
        <v>47</v>
      </c>
      <c r="F1511" t="s">
        <v>48</v>
      </c>
      <c r="G1511" t="s">
        <v>63</v>
      </c>
      <c r="H1511">
        <v>371</v>
      </c>
      <c r="I1511">
        <v>40</v>
      </c>
      <c r="J1511">
        <v>20</v>
      </c>
      <c r="K1511" t="s">
        <v>36</v>
      </c>
      <c r="L1511">
        <v>48</v>
      </c>
      <c r="M1511" t="s">
        <v>21</v>
      </c>
    </row>
    <row r="1512" spans="1:13" x14ac:dyDescent="0.35">
      <c r="A1512" t="s">
        <v>2260</v>
      </c>
      <c r="B1512" t="s">
        <v>247</v>
      </c>
      <c r="C1512" t="s">
        <v>2261</v>
      </c>
      <c r="D1512" t="s">
        <v>25</v>
      </c>
      <c r="E1512" t="s">
        <v>34</v>
      </c>
      <c r="F1512" t="s">
        <v>27</v>
      </c>
      <c r="G1512" t="s">
        <v>63</v>
      </c>
      <c r="H1512">
        <v>798</v>
      </c>
      <c r="I1512">
        <v>30</v>
      </c>
      <c r="J1512">
        <v>100</v>
      </c>
      <c r="K1512" t="s">
        <v>20</v>
      </c>
      <c r="L1512">
        <v>42</v>
      </c>
      <c r="M1512" t="s">
        <v>21</v>
      </c>
    </row>
    <row r="1513" spans="1:13" x14ac:dyDescent="0.35">
      <c r="A1513" t="s">
        <v>2262</v>
      </c>
      <c r="B1513" t="s">
        <v>223</v>
      </c>
      <c r="C1513" t="s">
        <v>480</v>
      </c>
      <c r="D1513" t="s">
        <v>46</v>
      </c>
      <c r="E1513" t="s">
        <v>70</v>
      </c>
      <c r="F1513" t="s">
        <v>18</v>
      </c>
      <c r="G1513" t="s">
        <v>49</v>
      </c>
      <c r="H1513">
        <v>232</v>
      </c>
      <c r="I1513">
        <v>50</v>
      </c>
      <c r="J1513">
        <v>20</v>
      </c>
      <c r="K1513" t="s">
        <v>20</v>
      </c>
      <c r="L1513">
        <v>49</v>
      </c>
      <c r="M1513" t="s">
        <v>21</v>
      </c>
    </row>
    <row r="1514" spans="1:13" x14ac:dyDescent="0.35">
      <c r="A1514" t="s">
        <v>2263</v>
      </c>
      <c r="B1514" t="s">
        <v>143</v>
      </c>
      <c r="C1514" t="s">
        <v>349</v>
      </c>
      <c r="D1514" t="s">
        <v>40</v>
      </c>
      <c r="E1514" t="s">
        <v>41</v>
      </c>
      <c r="F1514" t="s">
        <v>27</v>
      </c>
      <c r="G1514" t="s">
        <v>59</v>
      </c>
      <c r="H1514">
        <v>700</v>
      </c>
      <c r="I1514">
        <v>50</v>
      </c>
      <c r="J1514">
        <v>30</v>
      </c>
      <c r="K1514" t="s">
        <v>20</v>
      </c>
      <c r="L1514">
        <v>47</v>
      </c>
      <c r="M1514" t="s">
        <v>21</v>
      </c>
    </row>
    <row r="1515" spans="1:13" x14ac:dyDescent="0.35">
      <c r="A1515" t="s">
        <v>2264</v>
      </c>
      <c r="B1515" t="s">
        <v>291</v>
      </c>
      <c r="C1515" t="s">
        <v>184</v>
      </c>
      <c r="D1515" t="s">
        <v>16</v>
      </c>
      <c r="E1515" t="s">
        <v>89</v>
      </c>
      <c r="F1515" t="s">
        <v>18</v>
      </c>
      <c r="G1515" t="s">
        <v>42</v>
      </c>
      <c r="H1515">
        <v>556</v>
      </c>
      <c r="I1515">
        <v>40</v>
      </c>
      <c r="J1515">
        <v>100</v>
      </c>
      <c r="K1515" t="s">
        <v>20</v>
      </c>
      <c r="L1515">
        <v>53</v>
      </c>
      <c r="M1515" t="s">
        <v>21</v>
      </c>
    </row>
    <row r="1516" spans="1:13" x14ac:dyDescent="0.35">
      <c r="A1516" t="s">
        <v>2265</v>
      </c>
      <c r="B1516" t="s">
        <v>102</v>
      </c>
      <c r="C1516" t="s">
        <v>648</v>
      </c>
      <c r="D1516" t="s">
        <v>25</v>
      </c>
      <c r="E1516" t="s">
        <v>78</v>
      </c>
      <c r="F1516" t="s">
        <v>48</v>
      </c>
      <c r="G1516" t="s">
        <v>59</v>
      </c>
      <c r="H1516">
        <v>563</v>
      </c>
      <c r="I1516">
        <v>40</v>
      </c>
      <c r="J1516">
        <v>30</v>
      </c>
      <c r="K1516" t="s">
        <v>20</v>
      </c>
      <c r="L1516">
        <v>28</v>
      </c>
      <c r="M1516" t="s">
        <v>21</v>
      </c>
    </row>
    <row r="1517" spans="1:13" x14ac:dyDescent="0.35">
      <c r="A1517" t="s">
        <v>2266</v>
      </c>
      <c r="B1517" t="s">
        <v>32</v>
      </c>
      <c r="C1517" t="s">
        <v>1197</v>
      </c>
      <c r="D1517" t="s">
        <v>46</v>
      </c>
      <c r="E1517" t="s">
        <v>47</v>
      </c>
      <c r="F1517" t="s">
        <v>48</v>
      </c>
      <c r="G1517" t="s">
        <v>176</v>
      </c>
      <c r="H1517">
        <v>701</v>
      </c>
      <c r="I1517">
        <v>50</v>
      </c>
      <c r="J1517">
        <v>0</v>
      </c>
      <c r="K1517" t="s">
        <v>29</v>
      </c>
      <c r="L1517">
        <v>55</v>
      </c>
      <c r="M1517" t="s">
        <v>21</v>
      </c>
    </row>
    <row r="1518" spans="1:13" x14ac:dyDescent="0.35">
      <c r="A1518" t="s">
        <v>2267</v>
      </c>
      <c r="B1518" t="s">
        <v>291</v>
      </c>
      <c r="C1518" t="s">
        <v>315</v>
      </c>
      <c r="D1518" t="s">
        <v>46</v>
      </c>
      <c r="E1518" t="s">
        <v>47</v>
      </c>
      <c r="F1518" t="s">
        <v>48</v>
      </c>
      <c r="G1518" t="s">
        <v>19</v>
      </c>
      <c r="H1518">
        <v>656</v>
      </c>
      <c r="I1518">
        <v>50</v>
      </c>
      <c r="J1518">
        <v>50</v>
      </c>
      <c r="K1518" t="s">
        <v>20</v>
      </c>
      <c r="L1518">
        <v>33</v>
      </c>
      <c r="M1518" t="s">
        <v>21</v>
      </c>
    </row>
    <row r="1519" spans="1:13" x14ac:dyDescent="0.35">
      <c r="A1519" t="s">
        <v>2268</v>
      </c>
      <c r="B1519" t="s">
        <v>322</v>
      </c>
      <c r="C1519" t="s">
        <v>569</v>
      </c>
      <c r="D1519" t="s">
        <v>46</v>
      </c>
      <c r="E1519" t="s">
        <v>70</v>
      </c>
      <c r="F1519" t="s">
        <v>18</v>
      </c>
      <c r="G1519" t="s">
        <v>107</v>
      </c>
      <c r="H1519">
        <v>417</v>
      </c>
      <c r="I1519">
        <v>30</v>
      </c>
      <c r="J1519">
        <v>0</v>
      </c>
      <c r="K1519" t="s">
        <v>20</v>
      </c>
      <c r="L1519">
        <v>35</v>
      </c>
      <c r="M1519" t="s">
        <v>21</v>
      </c>
    </row>
    <row r="1520" spans="1:13" x14ac:dyDescent="0.35">
      <c r="A1520" t="s">
        <v>2269</v>
      </c>
      <c r="B1520" t="s">
        <v>398</v>
      </c>
      <c r="C1520" t="s">
        <v>1505</v>
      </c>
      <c r="D1520" t="s">
        <v>40</v>
      </c>
      <c r="E1520" t="s">
        <v>41</v>
      </c>
      <c r="F1520" t="s">
        <v>27</v>
      </c>
      <c r="G1520" t="s">
        <v>49</v>
      </c>
      <c r="H1520">
        <v>696</v>
      </c>
      <c r="I1520">
        <v>50</v>
      </c>
      <c r="J1520">
        <v>20</v>
      </c>
      <c r="K1520" t="s">
        <v>36</v>
      </c>
      <c r="L1520">
        <v>38</v>
      </c>
      <c r="M1520" t="s">
        <v>21</v>
      </c>
    </row>
    <row r="1521" spans="1:13" x14ac:dyDescent="0.35">
      <c r="A1521" t="s">
        <v>2270</v>
      </c>
      <c r="B1521" t="s">
        <v>199</v>
      </c>
      <c r="C1521" t="s">
        <v>2271</v>
      </c>
      <c r="D1521" t="s">
        <v>40</v>
      </c>
      <c r="E1521" t="s">
        <v>41</v>
      </c>
      <c r="F1521" t="s">
        <v>27</v>
      </c>
      <c r="G1521" t="s">
        <v>59</v>
      </c>
      <c r="H1521">
        <v>487</v>
      </c>
      <c r="I1521">
        <v>50</v>
      </c>
      <c r="J1521">
        <v>30</v>
      </c>
      <c r="K1521" t="s">
        <v>29</v>
      </c>
      <c r="L1521">
        <v>37</v>
      </c>
      <c r="M1521" t="s">
        <v>21</v>
      </c>
    </row>
    <row r="1522" spans="1:13" x14ac:dyDescent="0.35">
      <c r="A1522" t="s">
        <v>2272</v>
      </c>
      <c r="B1522" t="s">
        <v>473</v>
      </c>
      <c r="C1522" t="s">
        <v>1311</v>
      </c>
      <c r="D1522" t="s">
        <v>16</v>
      </c>
      <c r="E1522" t="s">
        <v>131</v>
      </c>
      <c r="F1522" t="s">
        <v>55</v>
      </c>
      <c r="G1522" t="s">
        <v>28</v>
      </c>
      <c r="H1522">
        <v>273</v>
      </c>
      <c r="I1522">
        <v>40</v>
      </c>
      <c r="J1522">
        <v>100</v>
      </c>
      <c r="K1522" t="s">
        <v>29</v>
      </c>
      <c r="L1522">
        <v>37</v>
      </c>
      <c r="M1522" t="s">
        <v>21</v>
      </c>
    </row>
    <row r="1523" spans="1:13" x14ac:dyDescent="0.35">
      <c r="A1523" t="s">
        <v>2273</v>
      </c>
      <c r="B1523" t="s">
        <v>568</v>
      </c>
      <c r="C1523" t="s">
        <v>2274</v>
      </c>
      <c r="D1523" t="s">
        <v>16</v>
      </c>
      <c r="E1523" t="s">
        <v>17</v>
      </c>
      <c r="F1523" t="s">
        <v>18</v>
      </c>
      <c r="G1523" t="s">
        <v>59</v>
      </c>
      <c r="H1523">
        <v>288</v>
      </c>
      <c r="I1523">
        <v>40</v>
      </c>
      <c r="J1523">
        <v>100</v>
      </c>
      <c r="K1523" t="s">
        <v>36</v>
      </c>
      <c r="L1523">
        <v>45</v>
      </c>
      <c r="M1523" t="s">
        <v>21</v>
      </c>
    </row>
    <row r="1524" spans="1:13" x14ac:dyDescent="0.35">
      <c r="A1524" t="s">
        <v>2275</v>
      </c>
      <c r="B1524" t="s">
        <v>126</v>
      </c>
      <c r="C1524" t="s">
        <v>219</v>
      </c>
      <c r="D1524" t="s">
        <v>53</v>
      </c>
      <c r="E1524" t="s">
        <v>54</v>
      </c>
      <c r="F1524" t="s">
        <v>55</v>
      </c>
      <c r="G1524" t="s">
        <v>59</v>
      </c>
      <c r="H1524">
        <v>686</v>
      </c>
      <c r="I1524">
        <v>30</v>
      </c>
      <c r="J1524">
        <v>0</v>
      </c>
      <c r="K1524" t="s">
        <v>29</v>
      </c>
      <c r="L1524">
        <v>32</v>
      </c>
      <c r="M1524" t="s">
        <v>21</v>
      </c>
    </row>
    <row r="1525" spans="1:13" x14ac:dyDescent="0.35">
      <c r="A1525" t="s">
        <v>2276</v>
      </c>
      <c r="B1525" t="s">
        <v>129</v>
      </c>
      <c r="C1525" t="s">
        <v>1571</v>
      </c>
      <c r="D1525" t="s">
        <v>46</v>
      </c>
      <c r="E1525" t="s">
        <v>47</v>
      </c>
      <c r="F1525" t="s">
        <v>48</v>
      </c>
      <c r="G1525" t="s">
        <v>28</v>
      </c>
      <c r="H1525">
        <v>167</v>
      </c>
      <c r="I1525">
        <v>50</v>
      </c>
      <c r="J1525">
        <v>100</v>
      </c>
      <c r="K1525" t="s">
        <v>29</v>
      </c>
      <c r="L1525">
        <v>53</v>
      </c>
      <c r="M1525" t="s">
        <v>21</v>
      </c>
    </row>
    <row r="1526" spans="1:13" x14ac:dyDescent="0.35">
      <c r="A1526" t="s">
        <v>2277</v>
      </c>
      <c r="B1526" t="s">
        <v>388</v>
      </c>
      <c r="C1526" t="s">
        <v>771</v>
      </c>
      <c r="D1526" t="s">
        <v>53</v>
      </c>
      <c r="E1526" t="s">
        <v>152</v>
      </c>
      <c r="F1526" t="s">
        <v>18</v>
      </c>
      <c r="G1526" t="s">
        <v>19</v>
      </c>
      <c r="H1526">
        <v>392</v>
      </c>
      <c r="I1526">
        <v>50</v>
      </c>
      <c r="J1526">
        <v>30</v>
      </c>
      <c r="K1526" t="s">
        <v>20</v>
      </c>
      <c r="L1526">
        <v>48</v>
      </c>
      <c r="M1526" t="s">
        <v>21</v>
      </c>
    </row>
    <row r="1527" spans="1:13" x14ac:dyDescent="0.35">
      <c r="A1527" t="s">
        <v>2278</v>
      </c>
      <c r="B1527" t="s">
        <v>329</v>
      </c>
      <c r="C1527" t="s">
        <v>592</v>
      </c>
      <c r="D1527" t="s">
        <v>40</v>
      </c>
      <c r="E1527" t="s">
        <v>41</v>
      </c>
      <c r="F1527" t="s">
        <v>27</v>
      </c>
      <c r="G1527" t="s">
        <v>74</v>
      </c>
      <c r="H1527">
        <v>261</v>
      </c>
      <c r="I1527">
        <v>40</v>
      </c>
      <c r="J1527">
        <v>0</v>
      </c>
      <c r="K1527" t="s">
        <v>29</v>
      </c>
      <c r="L1527">
        <v>45</v>
      </c>
      <c r="M1527" t="s">
        <v>21</v>
      </c>
    </row>
    <row r="1528" spans="1:13" x14ac:dyDescent="0.35">
      <c r="A1528" t="s">
        <v>2279</v>
      </c>
      <c r="B1528" t="s">
        <v>133</v>
      </c>
      <c r="C1528" t="s">
        <v>521</v>
      </c>
      <c r="D1528" t="s">
        <v>16</v>
      </c>
      <c r="E1528" t="s">
        <v>131</v>
      </c>
      <c r="F1528" t="s">
        <v>55</v>
      </c>
      <c r="G1528" t="s">
        <v>19</v>
      </c>
      <c r="H1528">
        <v>677</v>
      </c>
      <c r="I1528">
        <v>20</v>
      </c>
      <c r="J1528">
        <v>30</v>
      </c>
      <c r="K1528" t="s">
        <v>29</v>
      </c>
      <c r="L1528">
        <v>31</v>
      </c>
      <c r="M1528" t="s">
        <v>21</v>
      </c>
    </row>
    <row r="1529" spans="1:13" x14ac:dyDescent="0.35">
      <c r="A1529" t="s">
        <v>2280</v>
      </c>
      <c r="B1529" t="s">
        <v>326</v>
      </c>
      <c r="C1529" t="s">
        <v>734</v>
      </c>
      <c r="D1529" t="s">
        <v>16</v>
      </c>
      <c r="E1529" t="s">
        <v>89</v>
      </c>
      <c r="F1529" t="s">
        <v>18</v>
      </c>
      <c r="G1529" t="s">
        <v>176</v>
      </c>
      <c r="H1529">
        <v>421</v>
      </c>
      <c r="I1529">
        <v>20</v>
      </c>
      <c r="J1529">
        <v>100</v>
      </c>
      <c r="K1529" t="s">
        <v>36</v>
      </c>
      <c r="L1529">
        <v>34</v>
      </c>
      <c r="M1529" t="s">
        <v>21</v>
      </c>
    </row>
    <row r="1530" spans="1:13" x14ac:dyDescent="0.35">
      <c r="A1530" t="s">
        <v>2281</v>
      </c>
      <c r="B1530" t="s">
        <v>379</v>
      </c>
      <c r="C1530" t="s">
        <v>1857</v>
      </c>
      <c r="D1530" t="s">
        <v>40</v>
      </c>
      <c r="E1530" t="s">
        <v>111</v>
      </c>
      <c r="F1530" t="s">
        <v>18</v>
      </c>
      <c r="G1530" t="s">
        <v>19</v>
      </c>
      <c r="H1530">
        <v>642</v>
      </c>
      <c r="I1530">
        <v>20</v>
      </c>
      <c r="J1530">
        <v>20</v>
      </c>
      <c r="K1530" t="s">
        <v>36</v>
      </c>
      <c r="L1530">
        <v>57</v>
      </c>
      <c r="M1530" t="s">
        <v>21</v>
      </c>
    </row>
    <row r="1531" spans="1:13" x14ac:dyDescent="0.35">
      <c r="A1531" t="s">
        <v>2282</v>
      </c>
      <c r="B1531" t="s">
        <v>121</v>
      </c>
      <c r="C1531" t="s">
        <v>265</v>
      </c>
      <c r="D1531" t="s">
        <v>53</v>
      </c>
      <c r="E1531" t="s">
        <v>54</v>
      </c>
      <c r="F1531" t="s">
        <v>55</v>
      </c>
      <c r="G1531" t="s">
        <v>19</v>
      </c>
      <c r="H1531">
        <v>418</v>
      </c>
      <c r="I1531">
        <v>50</v>
      </c>
      <c r="J1531">
        <v>100</v>
      </c>
      <c r="K1531" t="s">
        <v>29</v>
      </c>
      <c r="L1531">
        <v>42</v>
      </c>
      <c r="M1531" t="s">
        <v>21</v>
      </c>
    </row>
    <row r="1532" spans="1:13" x14ac:dyDescent="0.35">
      <c r="A1532" t="s">
        <v>2283</v>
      </c>
      <c r="B1532" t="s">
        <v>416</v>
      </c>
      <c r="C1532" t="s">
        <v>332</v>
      </c>
      <c r="D1532" t="s">
        <v>53</v>
      </c>
      <c r="E1532" t="s">
        <v>54</v>
      </c>
      <c r="F1532" t="s">
        <v>55</v>
      </c>
      <c r="G1532" t="s">
        <v>74</v>
      </c>
      <c r="H1532">
        <v>495</v>
      </c>
      <c r="I1532">
        <v>50</v>
      </c>
      <c r="J1532">
        <v>20</v>
      </c>
      <c r="K1532" t="s">
        <v>29</v>
      </c>
      <c r="L1532">
        <v>42</v>
      </c>
      <c r="M1532" t="s">
        <v>21</v>
      </c>
    </row>
    <row r="1533" spans="1:13" x14ac:dyDescent="0.35">
      <c r="A1533" t="s">
        <v>2284</v>
      </c>
      <c r="B1533" t="s">
        <v>342</v>
      </c>
      <c r="C1533" t="s">
        <v>334</v>
      </c>
      <c r="D1533" t="s">
        <v>53</v>
      </c>
      <c r="E1533" t="s">
        <v>84</v>
      </c>
      <c r="F1533" t="s">
        <v>85</v>
      </c>
      <c r="G1533" t="s">
        <v>19</v>
      </c>
      <c r="H1533">
        <v>536</v>
      </c>
      <c r="I1533">
        <v>40</v>
      </c>
      <c r="J1533">
        <v>20</v>
      </c>
      <c r="K1533" t="s">
        <v>20</v>
      </c>
      <c r="L1533">
        <v>24</v>
      </c>
      <c r="M1533" t="s">
        <v>21</v>
      </c>
    </row>
    <row r="1534" spans="1:13" x14ac:dyDescent="0.35">
      <c r="A1534" t="s">
        <v>2285</v>
      </c>
      <c r="B1534" t="s">
        <v>87</v>
      </c>
      <c r="C1534" t="s">
        <v>446</v>
      </c>
      <c r="D1534" t="s">
        <v>16</v>
      </c>
      <c r="E1534" t="s">
        <v>89</v>
      </c>
      <c r="F1534" t="s">
        <v>18</v>
      </c>
      <c r="G1534" t="s">
        <v>63</v>
      </c>
      <c r="H1534">
        <v>642</v>
      </c>
      <c r="I1534">
        <v>50</v>
      </c>
      <c r="J1534">
        <v>50</v>
      </c>
      <c r="K1534" t="s">
        <v>36</v>
      </c>
      <c r="L1534">
        <v>38</v>
      </c>
      <c r="M1534" t="s">
        <v>21</v>
      </c>
    </row>
    <row r="1535" spans="1:13" x14ac:dyDescent="0.35">
      <c r="A1535" t="s">
        <v>2286</v>
      </c>
      <c r="B1535" t="s">
        <v>247</v>
      </c>
      <c r="C1535" t="s">
        <v>873</v>
      </c>
      <c r="D1535" t="s">
        <v>40</v>
      </c>
      <c r="E1535" t="s">
        <v>67</v>
      </c>
      <c r="F1535" t="s">
        <v>48</v>
      </c>
      <c r="G1535" t="s">
        <v>107</v>
      </c>
      <c r="H1535">
        <v>269</v>
      </c>
      <c r="I1535">
        <v>30</v>
      </c>
      <c r="J1535">
        <v>30</v>
      </c>
      <c r="K1535" t="s">
        <v>29</v>
      </c>
      <c r="L1535">
        <v>31</v>
      </c>
      <c r="M1535" t="s">
        <v>21</v>
      </c>
    </row>
    <row r="1536" spans="1:13" x14ac:dyDescent="0.35">
      <c r="A1536" t="s">
        <v>2287</v>
      </c>
      <c r="B1536" t="s">
        <v>416</v>
      </c>
      <c r="C1536" t="s">
        <v>914</v>
      </c>
      <c r="D1536" t="s">
        <v>16</v>
      </c>
      <c r="E1536" t="s">
        <v>131</v>
      </c>
      <c r="F1536" t="s">
        <v>55</v>
      </c>
      <c r="G1536" t="s">
        <v>49</v>
      </c>
      <c r="H1536">
        <v>364</v>
      </c>
      <c r="I1536">
        <v>20</v>
      </c>
      <c r="J1536">
        <v>50</v>
      </c>
      <c r="K1536" t="s">
        <v>29</v>
      </c>
      <c r="L1536">
        <v>27</v>
      </c>
      <c r="M1536" t="s">
        <v>21</v>
      </c>
    </row>
    <row r="1537" spans="1:13" x14ac:dyDescent="0.35">
      <c r="A1537" t="s">
        <v>2288</v>
      </c>
      <c r="B1537" t="s">
        <v>365</v>
      </c>
      <c r="C1537" t="s">
        <v>988</v>
      </c>
      <c r="D1537" t="s">
        <v>40</v>
      </c>
      <c r="E1537" t="s">
        <v>41</v>
      </c>
      <c r="F1537" t="s">
        <v>27</v>
      </c>
      <c r="G1537" t="s">
        <v>42</v>
      </c>
      <c r="H1537">
        <v>714</v>
      </c>
      <c r="I1537">
        <v>20</v>
      </c>
      <c r="J1537">
        <v>20</v>
      </c>
      <c r="K1537" t="s">
        <v>29</v>
      </c>
      <c r="L1537">
        <v>52</v>
      </c>
      <c r="M1537" t="s">
        <v>21</v>
      </c>
    </row>
    <row r="1538" spans="1:13" x14ac:dyDescent="0.35">
      <c r="A1538" t="s">
        <v>2289</v>
      </c>
      <c r="B1538" t="s">
        <v>336</v>
      </c>
      <c r="C1538" t="s">
        <v>1152</v>
      </c>
      <c r="D1538" t="s">
        <v>53</v>
      </c>
      <c r="E1538" t="s">
        <v>152</v>
      </c>
      <c r="F1538" t="s">
        <v>18</v>
      </c>
      <c r="G1538" t="s">
        <v>49</v>
      </c>
      <c r="H1538">
        <v>180</v>
      </c>
      <c r="I1538">
        <v>30</v>
      </c>
      <c r="J1538">
        <v>20</v>
      </c>
      <c r="K1538" t="s">
        <v>29</v>
      </c>
      <c r="L1538">
        <v>31</v>
      </c>
      <c r="M1538" t="s">
        <v>21</v>
      </c>
    </row>
    <row r="1539" spans="1:13" x14ac:dyDescent="0.35">
      <c r="A1539" t="s">
        <v>2290</v>
      </c>
      <c r="B1539" t="s">
        <v>568</v>
      </c>
      <c r="C1539" t="s">
        <v>529</v>
      </c>
      <c r="D1539" t="s">
        <v>46</v>
      </c>
      <c r="E1539" t="s">
        <v>70</v>
      </c>
      <c r="F1539" t="s">
        <v>18</v>
      </c>
      <c r="G1539" t="s">
        <v>176</v>
      </c>
      <c r="H1539">
        <v>293</v>
      </c>
      <c r="I1539">
        <v>20</v>
      </c>
      <c r="J1539">
        <v>50</v>
      </c>
      <c r="K1539" t="s">
        <v>29</v>
      </c>
      <c r="L1539">
        <v>53</v>
      </c>
      <c r="M1539" t="s">
        <v>21</v>
      </c>
    </row>
    <row r="1540" spans="1:13" x14ac:dyDescent="0.35">
      <c r="A1540" t="s">
        <v>2291</v>
      </c>
      <c r="B1540" t="s">
        <v>388</v>
      </c>
      <c r="C1540" t="s">
        <v>274</v>
      </c>
      <c r="D1540" t="s">
        <v>25</v>
      </c>
      <c r="E1540" t="s">
        <v>26</v>
      </c>
      <c r="F1540" t="s">
        <v>27</v>
      </c>
      <c r="G1540" t="s">
        <v>107</v>
      </c>
      <c r="H1540">
        <v>694</v>
      </c>
      <c r="I1540">
        <v>30</v>
      </c>
      <c r="J1540">
        <v>30</v>
      </c>
      <c r="K1540" t="s">
        <v>29</v>
      </c>
      <c r="L1540">
        <v>44</v>
      </c>
      <c r="M1540" t="s">
        <v>21</v>
      </c>
    </row>
    <row r="1541" spans="1:13" x14ac:dyDescent="0.35">
      <c r="A1541" t="s">
        <v>2292</v>
      </c>
      <c r="B1541" t="s">
        <v>273</v>
      </c>
      <c r="C1541" t="s">
        <v>2293</v>
      </c>
      <c r="D1541" t="s">
        <v>16</v>
      </c>
      <c r="E1541" t="s">
        <v>17</v>
      </c>
      <c r="F1541" t="s">
        <v>18</v>
      </c>
      <c r="G1541" t="s">
        <v>19</v>
      </c>
      <c r="H1541">
        <v>577</v>
      </c>
      <c r="I1541">
        <v>20</v>
      </c>
      <c r="J1541">
        <v>20</v>
      </c>
      <c r="K1541" t="s">
        <v>36</v>
      </c>
      <c r="L1541">
        <v>58</v>
      </c>
      <c r="M1541" t="s">
        <v>21</v>
      </c>
    </row>
    <row r="1542" spans="1:13" x14ac:dyDescent="0.35">
      <c r="A1542" t="s">
        <v>2294</v>
      </c>
      <c r="B1542" t="s">
        <v>244</v>
      </c>
      <c r="C1542" t="s">
        <v>2295</v>
      </c>
      <c r="D1542" t="s">
        <v>53</v>
      </c>
      <c r="E1542" t="s">
        <v>152</v>
      </c>
      <c r="F1542" t="s">
        <v>18</v>
      </c>
      <c r="G1542" t="s">
        <v>107</v>
      </c>
      <c r="H1542">
        <v>259</v>
      </c>
      <c r="I1542">
        <v>30</v>
      </c>
      <c r="J1542">
        <v>30</v>
      </c>
      <c r="K1542" t="s">
        <v>36</v>
      </c>
      <c r="L1542">
        <v>22</v>
      </c>
      <c r="M1542" t="s">
        <v>30</v>
      </c>
    </row>
    <row r="1543" spans="1:13" x14ac:dyDescent="0.35">
      <c r="A1543" t="s">
        <v>2296</v>
      </c>
      <c r="B1543" t="s">
        <v>126</v>
      </c>
      <c r="C1543" t="s">
        <v>311</v>
      </c>
      <c r="D1543" t="s">
        <v>46</v>
      </c>
      <c r="E1543" t="s">
        <v>47</v>
      </c>
      <c r="F1543" t="s">
        <v>48</v>
      </c>
      <c r="G1543" t="s">
        <v>63</v>
      </c>
      <c r="H1543">
        <v>519</v>
      </c>
      <c r="I1543">
        <v>30</v>
      </c>
      <c r="J1543">
        <v>30</v>
      </c>
      <c r="K1543" t="s">
        <v>29</v>
      </c>
      <c r="L1543">
        <v>46</v>
      </c>
      <c r="M1543" t="s">
        <v>21</v>
      </c>
    </row>
    <row r="1544" spans="1:13" x14ac:dyDescent="0.35">
      <c r="A1544" t="s">
        <v>2297</v>
      </c>
      <c r="B1544" t="s">
        <v>136</v>
      </c>
      <c r="C1544" t="s">
        <v>549</v>
      </c>
      <c r="D1544" t="s">
        <v>25</v>
      </c>
      <c r="E1544" t="s">
        <v>34</v>
      </c>
      <c r="F1544" t="s">
        <v>27</v>
      </c>
      <c r="G1544" t="s">
        <v>28</v>
      </c>
      <c r="H1544">
        <v>428</v>
      </c>
      <c r="I1544">
        <v>30</v>
      </c>
      <c r="J1544">
        <v>50</v>
      </c>
      <c r="K1544" t="s">
        <v>36</v>
      </c>
      <c r="L1544">
        <v>50</v>
      </c>
      <c r="M1544" t="s">
        <v>21</v>
      </c>
    </row>
    <row r="1545" spans="1:13" x14ac:dyDescent="0.35">
      <c r="A1545" t="s">
        <v>2298</v>
      </c>
      <c r="B1545" t="s">
        <v>562</v>
      </c>
      <c r="C1545" t="s">
        <v>1423</v>
      </c>
      <c r="D1545" t="s">
        <v>25</v>
      </c>
      <c r="E1545" t="s">
        <v>26</v>
      </c>
      <c r="F1545" t="s">
        <v>27</v>
      </c>
      <c r="G1545" t="s">
        <v>49</v>
      </c>
      <c r="H1545">
        <v>764</v>
      </c>
      <c r="I1545">
        <v>20</v>
      </c>
      <c r="J1545">
        <v>100</v>
      </c>
      <c r="K1545" t="s">
        <v>20</v>
      </c>
      <c r="L1545">
        <v>24</v>
      </c>
      <c r="M1545" t="s">
        <v>21</v>
      </c>
    </row>
    <row r="1546" spans="1:13" x14ac:dyDescent="0.35">
      <c r="A1546" t="s">
        <v>2299</v>
      </c>
      <c r="B1546" t="s">
        <v>286</v>
      </c>
      <c r="C1546" t="s">
        <v>648</v>
      </c>
      <c r="D1546" t="s">
        <v>40</v>
      </c>
      <c r="E1546" t="s">
        <v>41</v>
      </c>
      <c r="F1546" t="s">
        <v>27</v>
      </c>
      <c r="G1546" t="s">
        <v>59</v>
      </c>
      <c r="H1546">
        <v>646</v>
      </c>
      <c r="I1546">
        <v>50</v>
      </c>
      <c r="J1546">
        <v>20</v>
      </c>
      <c r="K1546" t="s">
        <v>29</v>
      </c>
      <c r="L1546">
        <v>49</v>
      </c>
      <c r="M1546" t="s">
        <v>30</v>
      </c>
    </row>
    <row r="1547" spans="1:13" x14ac:dyDescent="0.35">
      <c r="A1547" t="s">
        <v>2300</v>
      </c>
      <c r="B1547" t="s">
        <v>297</v>
      </c>
      <c r="C1547" t="s">
        <v>250</v>
      </c>
      <c r="D1547" t="s">
        <v>16</v>
      </c>
      <c r="E1547" t="s">
        <v>131</v>
      </c>
      <c r="F1547" t="s">
        <v>55</v>
      </c>
      <c r="G1547" t="s">
        <v>176</v>
      </c>
      <c r="H1547">
        <v>220</v>
      </c>
      <c r="I1547">
        <v>20</v>
      </c>
      <c r="J1547">
        <v>20</v>
      </c>
      <c r="K1547" t="s">
        <v>36</v>
      </c>
      <c r="L1547">
        <v>45</v>
      </c>
      <c r="M1547" t="s">
        <v>21</v>
      </c>
    </row>
    <row r="1548" spans="1:13" x14ac:dyDescent="0.35">
      <c r="A1548" t="s">
        <v>2301</v>
      </c>
      <c r="B1548" t="s">
        <v>413</v>
      </c>
      <c r="C1548" t="s">
        <v>765</v>
      </c>
      <c r="D1548" t="s">
        <v>46</v>
      </c>
      <c r="E1548" t="s">
        <v>70</v>
      </c>
      <c r="F1548" t="s">
        <v>18</v>
      </c>
      <c r="G1548" t="s">
        <v>176</v>
      </c>
      <c r="H1548">
        <v>189</v>
      </c>
      <c r="I1548">
        <v>40</v>
      </c>
      <c r="J1548">
        <v>0</v>
      </c>
      <c r="K1548" t="s">
        <v>29</v>
      </c>
      <c r="L1548">
        <v>38</v>
      </c>
      <c r="M1548" t="s">
        <v>30</v>
      </c>
    </row>
    <row r="1549" spans="1:13" x14ac:dyDescent="0.35">
      <c r="A1549" t="s">
        <v>2302</v>
      </c>
      <c r="B1549" t="s">
        <v>326</v>
      </c>
      <c r="C1549" t="s">
        <v>1162</v>
      </c>
      <c r="D1549" t="s">
        <v>40</v>
      </c>
      <c r="E1549" t="s">
        <v>111</v>
      </c>
      <c r="F1549" t="s">
        <v>18</v>
      </c>
      <c r="G1549" t="s">
        <v>49</v>
      </c>
      <c r="H1549">
        <v>236</v>
      </c>
      <c r="I1549">
        <v>50</v>
      </c>
      <c r="J1549">
        <v>100</v>
      </c>
      <c r="K1549" t="s">
        <v>20</v>
      </c>
      <c r="L1549">
        <v>27</v>
      </c>
      <c r="M1549" t="s">
        <v>21</v>
      </c>
    </row>
    <row r="1550" spans="1:13" x14ac:dyDescent="0.35">
      <c r="A1550" t="s">
        <v>2303</v>
      </c>
      <c r="B1550" t="s">
        <v>192</v>
      </c>
      <c r="C1550" t="s">
        <v>2148</v>
      </c>
      <c r="D1550" t="s">
        <v>53</v>
      </c>
      <c r="E1550" t="s">
        <v>152</v>
      </c>
      <c r="F1550" t="s">
        <v>18</v>
      </c>
      <c r="G1550" t="s">
        <v>74</v>
      </c>
      <c r="H1550">
        <v>567</v>
      </c>
      <c r="I1550">
        <v>50</v>
      </c>
      <c r="J1550">
        <v>50</v>
      </c>
      <c r="K1550" t="s">
        <v>20</v>
      </c>
      <c r="L1550">
        <v>27</v>
      </c>
      <c r="M1550" t="s">
        <v>21</v>
      </c>
    </row>
    <row r="1551" spans="1:13" x14ac:dyDescent="0.35">
      <c r="A1551" t="s">
        <v>2304</v>
      </c>
      <c r="B1551" t="s">
        <v>154</v>
      </c>
      <c r="C1551" t="s">
        <v>1687</v>
      </c>
      <c r="D1551" t="s">
        <v>53</v>
      </c>
      <c r="E1551" t="s">
        <v>84</v>
      </c>
      <c r="F1551" t="s">
        <v>85</v>
      </c>
      <c r="G1551" t="s">
        <v>176</v>
      </c>
      <c r="H1551">
        <v>210</v>
      </c>
      <c r="I1551">
        <v>40</v>
      </c>
      <c r="J1551">
        <v>0</v>
      </c>
      <c r="K1551" t="s">
        <v>36</v>
      </c>
      <c r="L1551">
        <v>50</v>
      </c>
      <c r="M1551" t="s">
        <v>21</v>
      </c>
    </row>
    <row r="1552" spans="1:13" x14ac:dyDescent="0.35">
      <c r="A1552" t="s">
        <v>2305</v>
      </c>
      <c r="B1552" t="s">
        <v>199</v>
      </c>
      <c r="C1552" t="s">
        <v>560</v>
      </c>
      <c r="D1552" t="s">
        <v>46</v>
      </c>
      <c r="E1552" t="s">
        <v>70</v>
      </c>
      <c r="F1552" t="s">
        <v>18</v>
      </c>
      <c r="G1552" t="s">
        <v>107</v>
      </c>
      <c r="H1552">
        <v>648</v>
      </c>
      <c r="I1552">
        <v>40</v>
      </c>
      <c r="J1552">
        <v>100</v>
      </c>
      <c r="K1552" t="s">
        <v>29</v>
      </c>
      <c r="L1552">
        <v>45</v>
      </c>
      <c r="M1552" t="s">
        <v>21</v>
      </c>
    </row>
    <row r="1553" spans="1:13" x14ac:dyDescent="0.35">
      <c r="A1553" t="s">
        <v>2306</v>
      </c>
      <c r="B1553" t="s">
        <v>181</v>
      </c>
      <c r="C1553" t="s">
        <v>480</v>
      </c>
      <c r="D1553" t="s">
        <v>40</v>
      </c>
      <c r="E1553" t="s">
        <v>67</v>
      </c>
      <c r="F1553" t="s">
        <v>48</v>
      </c>
      <c r="G1553" t="s">
        <v>107</v>
      </c>
      <c r="H1553">
        <v>682</v>
      </c>
      <c r="I1553">
        <v>30</v>
      </c>
      <c r="J1553">
        <v>50</v>
      </c>
      <c r="K1553" t="s">
        <v>20</v>
      </c>
      <c r="L1553">
        <v>49</v>
      </c>
      <c r="M1553" t="s">
        <v>30</v>
      </c>
    </row>
    <row r="1554" spans="1:13" x14ac:dyDescent="0.35">
      <c r="A1554" t="s">
        <v>2307</v>
      </c>
      <c r="B1554" t="s">
        <v>189</v>
      </c>
      <c r="C1554" t="s">
        <v>1256</v>
      </c>
      <c r="D1554" t="s">
        <v>40</v>
      </c>
      <c r="E1554" t="s">
        <v>111</v>
      </c>
      <c r="F1554" t="s">
        <v>18</v>
      </c>
      <c r="G1554" t="s">
        <v>19</v>
      </c>
      <c r="H1554">
        <v>564</v>
      </c>
      <c r="I1554">
        <v>40</v>
      </c>
      <c r="J1554">
        <v>0</v>
      </c>
      <c r="K1554" t="s">
        <v>20</v>
      </c>
      <c r="L1554">
        <v>39</v>
      </c>
      <c r="M1554" t="s">
        <v>21</v>
      </c>
    </row>
    <row r="1555" spans="1:13" x14ac:dyDescent="0.35">
      <c r="A1555" t="s">
        <v>2308</v>
      </c>
      <c r="B1555" t="s">
        <v>113</v>
      </c>
      <c r="C1555" t="s">
        <v>471</v>
      </c>
      <c r="D1555" t="s">
        <v>16</v>
      </c>
      <c r="E1555" t="s">
        <v>89</v>
      </c>
      <c r="F1555" t="s">
        <v>18</v>
      </c>
      <c r="G1555" t="s">
        <v>42</v>
      </c>
      <c r="H1555">
        <v>543</v>
      </c>
      <c r="I1555">
        <v>20</v>
      </c>
      <c r="J1555">
        <v>0</v>
      </c>
      <c r="K1555" t="s">
        <v>36</v>
      </c>
      <c r="L1555">
        <v>39</v>
      </c>
      <c r="M1555" t="s">
        <v>21</v>
      </c>
    </row>
    <row r="1556" spans="1:13" x14ac:dyDescent="0.35">
      <c r="A1556" t="s">
        <v>2309</v>
      </c>
      <c r="B1556" t="s">
        <v>322</v>
      </c>
      <c r="C1556" t="s">
        <v>1081</v>
      </c>
      <c r="D1556" t="s">
        <v>40</v>
      </c>
      <c r="E1556" t="s">
        <v>111</v>
      </c>
      <c r="F1556" t="s">
        <v>18</v>
      </c>
      <c r="G1556" t="s">
        <v>63</v>
      </c>
      <c r="H1556">
        <v>398</v>
      </c>
      <c r="I1556">
        <v>50</v>
      </c>
      <c r="J1556">
        <v>20</v>
      </c>
      <c r="K1556" t="s">
        <v>20</v>
      </c>
      <c r="L1556">
        <v>51</v>
      </c>
      <c r="M1556" t="s">
        <v>21</v>
      </c>
    </row>
    <row r="1557" spans="1:13" x14ac:dyDescent="0.35">
      <c r="A1557" t="s">
        <v>2310</v>
      </c>
      <c r="B1557" t="s">
        <v>150</v>
      </c>
      <c r="C1557" t="s">
        <v>141</v>
      </c>
      <c r="D1557" t="s">
        <v>25</v>
      </c>
      <c r="E1557" t="s">
        <v>34</v>
      </c>
      <c r="F1557" t="s">
        <v>27</v>
      </c>
      <c r="G1557" t="s">
        <v>176</v>
      </c>
      <c r="H1557">
        <v>213</v>
      </c>
      <c r="I1557">
        <v>30</v>
      </c>
      <c r="J1557">
        <v>30</v>
      </c>
      <c r="K1557" t="s">
        <v>36</v>
      </c>
      <c r="L1557">
        <v>33</v>
      </c>
      <c r="M1557" t="s">
        <v>21</v>
      </c>
    </row>
    <row r="1558" spans="1:13" x14ac:dyDescent="0.35">
      <c r="A1558" t="s">
        <v>2311</v>
      </c>
      <c r="B1558" t="s">
        <v>121</v>
      </c>
      <c r="C1558" t="s">
        <v>1521</v>
      </c>
      <c r="D1558" t="s">
        <v>25</v>
      </c>
      <c r="E1558" t="s">
        <v>34</v>
      </c>
      <c r="F1558" t="s">
        <v>27</v>
      </c>
      <c r="G1558" t="s">
        <v>19</v>
      </c>
      <c r="H1558">
        <v>211</v>
      </c>
      <c r="I1558">
        <v>50</v>
      </c>
      <c r="J1558">
        <v>20</v>
      </c>
      <c r="K1558" t="s">
        <v>36</v>
      </c>
      <c r="L1558">
        <v>56</v>
      </c>
      <c r="M1558" t="s">
        <v>21</v>
      </c>
    </row>
    <row r="1559" spans="1:13" x14ac:dyDescent="0.35">
      <c r="A1559" t="s">
        <v>2312</v>
      </c>
      <c r="B1559" t="s">
        <v>368</v>
      </c>
      <c r="C1559" t="s">
        <v>1170</v>
      </c>
      <c r="D1559" t="s">
        <v>40</v>
      </c>
      <c r="E1559" t="s">
        <v>41</v>
      </c>
      <c r="F1559" t="s">
        <v>27</v>
      </c>
      <c r="G1559" t="s">
        <v>74</v>
      </c>
      <c r="H1559">
        <v>495</v>
      </c>
      <c r="I1559">
        <v>50</v>
      </c>
      <c r="J1559">
        <v>50</v>
      </c>
      <c r="K1559" t="s">
        <v>36</v>
      </c>
      <c r="L1559">
        <v>35</v>
      </c>
      <c r="M1559" t="s">
        <v>21</v>
      </c>
    </row>
    <row r="1560" spans="1:13" x14ac:dyDescent="0.35">
      <c r="A1560" t="s">
        <v>2313</v>
      </c>
      <c r="B1560" t="s">
        <v>365</v>
      </c>
      <c r="C1560" t="s">
        <v>895</v>
      </c>
      <c r="D1560" t="s">
        <v>25</v>
      </c>
      <c r="E1560" t="s">
        <v>78</v>
      </c>
      <c r="F1560" t="s">
        <v>48</v>
      </c>
      <c r="G1560" t="s">
        <v>107</v>
      </c>
      <c r="H1560">
        <v>560</v>
      </c>
      <c r="I1560">
        <v>30</v>
      </c>
      <c r="J1560">
        <v>20</v>
      </c>
      <c r="K1560" t="s">
        <v>36</v>
      </c>
      <c r="L1560">
        <v>23</v>
      </c>
      <c r="M1560" t="s">
        <v>21</v>
      </c>
    </row>
    <row r="1561" spans="1:13" x14ac:dyDescent="0.35">
      <c r="A1561" t="s">
        <v>2314</v>
      </c>
      <c r="B1561" t="s">
        <v>252</v>
      </c>
      <c r="C1561" t="s">
        <v>606</v>
      </c>
      <c r="D1561" t="s">
        <v>40</v>
      </c>
      <c r="E1561" t="s">
        <v>67</v>
      </c>
      <c r="F1561" t="s">
        <v>48</v>
      </c>
      <c r="G1561" t="s">
        <v>59</v>
      </c>
      <c r="H1561">
        <v>693</v>
      </c>
      <c r="I1561">
        <v>20</v>
      </c>
      <c r="J1561">
        <v>20</v>
      </c>
      <c r="K1561" t="s">
        <v>29</v>
      </c>
      <c r="L1561">
        <v>24</v>
      </c>
      <c r="M1561" t="s">
        <v>21</v>
      </c>
    </row>
    <row r="1562" spans="1:13" x14ac:dyDescent="0.35">
      <c r="A1562" t="s">
        <v>2315</v>
      </c>
      <c r="B1562" t="s">
        <v>241</v>
      </c>
      <c r="C1562" t="s">
        <v>902</v>
      </c>
      <c r="D1562" t="s">
        <v>16</v>
      </c>
      <c r="E1562" t="s">
        <v>17</v>
      </c>
      <c r="F1562" t="s">
        <v>18</v>
      </c>
      <c r="G1562" t="s">
        <v>19</v>
      </c>
      <c r="H1562">
        <v>527</v>
      </c>
      <c r="I1562">
        <v>50</v>
      </c>
      <c r="J1562">
        <v>30</v>
      </c>
      <c r="K1562" t="s">
        <v>29</v>
      </c>
      <c r="L1562">
        <v>22</v>
      </c>
      <c r="M1562" t="s">
        <v>21</v>
      </c>
    </row>
    <row r="1563" spans="1:13" x14ac:dyDescent="0.35">
      <c r="A1563" t="s">
        <v>2316</v>
      </c>
      <c r="B1563" t="s">
        <v>118</v>
      </c>
      <c r="C1563" t="s">
        <v>916</v>
      </c>
      <c r="D1563" t="s">
        <v>40</v>
      </c>
      <c r="E1563" t="s">
        <v>41</v>
      </c>
      <c r="F1563" t="s">
        <v>27</v>
      </c>
      <c r="G1563" t="s">
        <v>59</v>
      </c>
      <c r="H1563">
        <v>552</v>
      </c>
      <c r="I1563">
        <v>50</v>
      </c>
      <c r="J1563">
        <v>20</v>
      </c>
      <c r="K1563" t="s">
        <v>29</v>
      </c>
      <c r="L1563">
        <v>27</v>
      </c>
      <c r="M1563" t="s">
        <v>21</v>
      </c>
    </row>
    <row r="1564" spans="1:13" x14ac:dyDescent="0.35">
      <c r="A1564" t="s">
        <v>2317</v>
      </c>
      <c r="B1564" t="s">
        <v>393</v>
      </c>
      <c r="C1564" t="s">
        <v>1396</v>
      </c>
      <c r="D1564" t="s">
        <v>16</v>
      </c>
      <c r="E1564" t="s">
        <v>131</v>
      </c>
      <c r="F1564" t="s">
        <v>55</v>
      </c>
      <c r="G1564" t="s">
        <v>63</v>
      </c>
      <c r="H1564">
        <v>241</v>
      </c>
      <c r="I1564">
        <v>50</v>
      </c>
      <c r="J1564">
        <v>50</v>
      </c>
      <c r="K1564" t="s">
        <v>20</v>
      </c>
      <c r="L1564">
        <v>43</v>
      </c>
      <c r="M1564" t="s">
        <v>21</v>
      </c>
    </row>
    <row r="1565" spans="1:13" x14ac:dyDescent="0.35">
      <c r="A1565" t="s">
        <v>2318</v>
      </c>
      <c r="B1565" t="s">
        <v>51</v>
      </c>
      <c r="C1565" t="s">
        <v>587</v>
      </c>
      <c r="D1565" t="s">
        <v>25</v>
      </c>
      <c r="E1565" t="s">
        <v>78</v>
      </c>
      <c r="F1565" t="s">
        <v>48</v>
      </c>
      <c r="G1565" t="s">
        <v>74</v>
      </c>
      <c r="H1565">
        <v>621</v>
      </c>
      <c r="I1565">
        <v>20</v>
      </c>
      <c r="J1565">
        <v>30</v>
      </c>
      <c r="K1565" t="s">
        <v>29</v>
      </c>
      <c r="L1565">
        <v>26</v>
      </c>
      <c r="M1565" t="s">
        <v>30</v>
      </c>
    </row>
    <row r="1566" spans="1:13" x14ac:dyDescent="0.35">
      <c r="A1566" t="s">
        <v>2319</v>
      </c>
      <c r="B1566" t="s">
        <v>14</v>
      </c>
      <c r="C1566" t="s">
        <v>77</v>
      </c>
      <c r="D1566" t="s">
        <v>46</v>
      </c>
      <c r="E1566" t="s">
        <v>47</v>
      </c>
      <c r="F1566" t="s">
        <v>48</v>
      </c>
      <c r="G1566" t="s">
        <v>59</v>
      </c>
      <c r="H1566">
        <v>570</v>
      </c>
      <c r="I1566">
        <v>40</v>
      </c>
      <c r="J1566">
        <v>20</v>
      </c>
      <c r="K1566" t="s">
        <v>36</v>
      </c>
      <c r="L1566">
        <v>55</v>
      </c>
      <c r="M1566" t="s">
        <v>21</v>
      </c>
    </row>
    <row r="1567" spans="1:13" x14ac:dyDescent="0.35">
      <c r="A1567" t="s">
        <v>2320</v>
      </c>
      <c r="B1567" t="s">
        <v>118</v>
      </c>
      <c r="C1567" t="s">
        <v>1495</v>
      </c>
      <c r="D1567" t="s">
        <v>53</v>
      </c>
      <c r="E1567" t="s">
        <v>152</v>
      </c>
      <c r="F1567" t="s">
        <v>18</v>
      </c>
      <c r="G1567" t="s">
        <v>107</v>
      </c>
      <c r="H1567">
        <v>150</v>
      </c>
      <c r="I1567">
        <v>40</v>
      </c>
      <c r="J1567">
        <v>50</v>
      </c>
      <c r="K1567" t="s">
        <v>20</v>
      </c>
      <c r="L1567">
        <v>30</v>
      </c>
      <c r="M1567" t="s">
        <v>21</v>
      </c>
    </row>
    <row r="1568" spans="1:13" x14ac:dyDescent="0.35">
      <c r="A1568" t="s">
        <v>2321</v>
      </c>
      <c r="B1568" t="s">
        <v>186</v>
      </c>
      <c r="C1568" t="s">
        <v>496</v>
      </c>
      <c r="D1568" t="s">
        <v>25</v>
      </c>
      <c r="E1568" t="s">
        <v>78</v>
      </c>
      <c r="F1568" t="s">
        <v>48</v>
      </c>
      <c r="G1568" t="s">
        <v>74</v>
      </c>
      <c r="H1568">
        <v>542</v>
      </c>
      <c r="I1568">
        <v>30</v>
      </c>
      <c r="J1568">
        <v>30</v>
      </c>
      <c r="K1568" t="s">
        <v>36</v>
      </c>
      <c r="L1568">
        <v>47</v>
      </c>
      <c r="M1568" t="s">
        <v>30</v>
      </c>
    </row>
    <row r="1569" spans="1:13" x14ac:dyDescent="0.35">
      <c r="A1569" t="s">
        <v>2322</v>
      </c>
      <c r="B1569" t="s">
        <v>476</v>
      </c>
      <c r="C1569" t="s">
        <v>589</v>
      </c>
      <c r="D1569" t="s">
        <v>25</v>
      </c>
      <c r="E1569" t="s">
        <v>78</v>
      </c>
      <c r="F1569" t="s">
        <v>48</v>
      </c>
      <c r="G1569" t="s">
        <v>35</v>
      </c>
      <c r="H1569">
        <v>391</v>
      </c>
      <c r="I1569">
        <v>40</v>
      </c>
      <c r="J1569">
        <v>30</v>
      </c>
      <c r="K1569" t="s">
        <v>29</v>
      </c>
      <c r="L1569">
        <v>47</v>
      </c>
      <c r="M1569" t="s">
        <v>21</v>
      </c>
    </row>
    <row r="1570" spans="1:13" x14ac:dyDescent="0.35">
      <c r="A1570" t="s">
        <v>2323</v>
      </c>
      <c r="B1570" t="s">
        <v>244</v>
      </c>
      <c r="C1570" t="s">
        <v>1334</v>
      </c>
      <c r="D1570" t="s">
        <v>16</v>
      </c>
      <c r="E1570" t="s">
        <v>89</v>
      </c>
      <c r="F1570" t="s">
        <v>18</v>
      </c>
      <c r="G1570" t="s">
        <v>74</v>
      </c>
      <c r="H1570">
        <v>318</v>
      </c>
      <c r="I1570">
        <v>20</v>
      </c>
      <c r="J1570">
        <v>50</v>
      </c>
      <c r="K1570" t="s">
        <v>29</v>
      </c>
      <c r="L1570">
        <v>56</v>
      </c>
      <c r="M1570" t="s">
        <v>21</v>
      </c>
    </row>
    <row r="1571" spans="1:13" x14ac:dyDescent="0.35">
      <c r="A1571" t="s">
        <v>2324</v>
      </c>
      <c r="B1571" t="s">
        <v>476</v>
      </c>
      <c r="C1571" t="s">
        <v>589</v>
      </c>
      <c r="D1571" t="s">
        <v>40</v>
      </c>
      <c r="E1571" t="s">
        <v>67</v>
      </c>
      <c r="F1571" t="s">
        <v>48</v>
      </c>
      <c r="G1571" t="s">
        <v>28</v>
      </c>
      <c r="H1571">
        <v>188</v>
      </c>
      <c r="I1571">
        <v>20</v>
      </c>
      <c r="J1571">
        <v>30</v>
      </c>
      <c r="K1571" t="s">
        <v>36</v>
      </c>
      <c r="L1571">
        <v>24</v>
      </c>
      <c r="M1571" t="s">
        <v>21</v>
      </c>
    </row>
    <row r="1572" spans="1:13" x14ac:dyDescent="0.35">
      <c r="A1572" t="s">
        <v>2325</v>
      </c>
      <c r="B1572" t="s">
        <v>189</v>
      </c>
      <c r="C1572" t="s">
        <v>2072</v>
      </c>
      <c r="D1572" t="s">
        <v>46</v>
      </c>
      <c r="E1572" t="s">
        <v>148</v>
      </c>
      <c r="F1572" t="s">
        <v>27</v>
      </c>
      <c r="G1572" t="s">
        <v>35</v>
      </c>
      <c r="H1572">
        <v>480</v>
      </c>
      <c r="I1572">
        <v>40</v>
      </c>
      <c r="J1572">
        <v>0</v>
      </c>
      <c r="K1572" t="s">
        <v>20</v>
      </c>
      <c r="L1572">
        <v>46</v>
      </c>
      <c r="M1572" t="s">
        <v>21</v>
      </c>
    </row>
    <row r="1573" spans="1:13" x14ac:dyDescent="0.35">
      <c r="A1573" t="s">
        <v>2326</v>
      </c>
      <c r="B1573" t="s">
        <v>118</v>
      </c>
      <c r="C1573" t="s">
        <v>2327</v>
      </c>
      <c r="D1573" t="s">
        <v>25</v>
      </c>
      <c r="E1573" t="s">
        <v>78</v>
      </c>
      <c r="F1573" t="s">
        <v>48</v>
      </c>
      <c r="G1573" t="s">
        <v>35</v>
      </c>
      <c r="H1573">
        <v>452</v>
      </c>
      <c r="I1573">
        <v>40</v>
      </c>
      <c r="J1573">
        <v>0</v>
      </c>
      <c r="K1573" t="s">
        <v>20</v>
      </c>
      <c r="L1573">
        <v>34</v>
      </c>
      <c r="M1573" t="s">
        <v>30</v>
      </c>
    </row>
    <row r="1574" spans="1:13" x14ac:dyDescent="0.35">
      <c r="A1574" t="s">
        <v>2328</v>
      </c>
      <c r="B1574" t="s">
        <v>133</v>
      </c>
      <c r="C1574" t="s">
        <v>259</v>
      </c>
      <c r="D1574" t="s">
        <v>46</v>
      </c>
      <c r="E1574" t="s">
        <v>47</v>
      </c>
      <c r="F1574" t="s">
        <v>48</v>
      </c>
      <c r="G1574" t="s">
        <v>42</v>
      </c>
      <c r="H1574">
        <v>195</v>
      </c>
      <c r="I1574">
        <v>30</v>
      </c>
      <c r="J1574">
        <v>20</v>
      </c>
      <c r="K1574" t="s">
        <v>20</v>
      </c>
      <c r="L1574">
        <v>59</v>
      </c>
      <c r="M1574" t="s">
        <v>30</v>
      </c>
    </row>
    <row r="1575" spans="1:13" x14ac:dyDescent="0.35">
      <c r="A1575" t="s">
        <v>2329</v>
      </c>
      <c r="B1575" t="s">
        <v>181</v>
      </c>
      <c r="C1575" t="s">
        <v>644</v>
      </c>
      <c r="D1575" t="s">
        <v>16</v>
      </c>
      <c r="E1575" t="s">
        <v>131</v>
      </c>
      <c r="F1575" t="s">
        <v>55</v>
      </c>
      <c r="G1575" t="s">
        <v>74</v>
      </c>
      <c r="H1575">
        <v>332</v>
      </c>
      <c r="I1575">
        <v>30</v>
      </c>
      <c r="J1575">
        <v>20</v>
      </c>
      <c r="K1575" t="s">
        <v>29</v>
      </c>
      <c r="L1575">
        <v>57</v>
      </c>
      <c r="M1575" t="s">
        <v>21</v>
      </c>
    </row>
    <row r="1576" spans="1:13" x14ac:dyDescent="0.35">
      <c r="A1576" t="s">
        <v>2330</v>
      </c>
      <c r="B1576" t="s">
        <v>252</v>
      </c>
      <c r="C1576" t="s">
        <v>163</v>
      </c>
      <c r="D1576" t="s">
        <v>25</v>
      </c>
      <c r="E1576" t="s">
        <v>34</v>
      </c>
      <c r="F1576" t="s">
        <v>27</v>
      </c>
      <c r="G1576" t="s">
        <v>49</v>
      </c>
      <c r="H1576">
        <v>284</v>
      </c>
      <c r="I1576">
        <v>40</v>
      </c>
      <c r="J1576">
        <v>20</v>
      </c>
      <c r="K1576" t="s">
        <v>36</v>
      </c>
      <c r="L1576">
        <v>53</v>
      </c>
      <c r="M1576" t="s">
        <v>21</v>
      </c>
    </row>
    <row r="1577" spans="1:13" x14ac:dyDescent="0.35">
      <c r="A1577" t="s">
        <v>2331</v>
      </c>
      <c r="B1577" t="s">
        <v>329</v>
      </c>
      <c r="C1577" t="s">
        <v>2127</v>
      </c>
      <c r="D1577" t="s">
        <v>46</v>
      </c>
      <c r="E1577" t="s">
        <v>47</v>
      </c>
      <c r="F1577" t="s">
        <v>48</v>
      </c>
      <c r="G1577" t="s">
        <v>28</v>
      </c>
      <c r="H1577">
        <v>790</v>
      </c>
      <c r="I1577">
        <v>50</v>
      </c>
      <c r="J1577">
        <v>20</v>
      </c>
      <c r="K1577" t="s">
        <v>36</v>
      </c>
      <c r="L1577">
        <v>34</v>
      </c>
      <c r="M1577" t="s">
        <v>30</v>
      </c>
    </row>
    <row r="1578" spans="1:13" x14ac:dyDescent="0.35">
      <c r="A1578" t="s">
        <v>2332</v>
      </c>
      <c r="B1578" t="s">
        <v>310</v>
      </c>
      <c r="C1578" t="s">
        <v>810</v>
      </c>
      <c r="D1578" t="s">
        <v>16</v>
      </c>
      <c r="E1578" t="s">
        <v>131</v>
      </c>
      <c r="F1578" t="s">
        <v>55</v>
      </c>
      <c r="G1578" t="s">
        <v>42</v>
      </c>
      <c r="H1578">
        <v>409</v>
      </c>
      <c r="I1578">
        <v>50</v>
      </c>
      <c r="J1578">
        <v>0</v>
      </c>
      <c r="K1578" t="s">
        <v>36</v>
      </c>
      <c r="L1578">
        <v>29</v>
      </c>
      <c r="M1578" t="s">
        <v>21</v>
      </c>
    </row>
    <row r="1579" spans="1:13" x14ac:dyDescent="0.35">
      <c r="A1579" t="s">
        <v>2333</v>
      </c>
      <c r="B1579" t="s">
        <v>393</v>
      </c>
      <c r="C1579" t="s">
        <v>100</v>
      </c>
      <c r="D1579" t="s">
        <v>46</v>
      </c>
      <c r="E1579" t="s">
        <v>47</v>
      </c>
      <c r="F1579" t="s">
        <v>48</v>
      </c>
      <c r="G1579" t="s">
        <v>28</v>
      </c>
      <c r="H1579">
        <v>335</v>
      </c>
      <c r="I1579">
        <v>30</v>
      </c>
      <c r="J1579">
        <v>100</v>
      </c>
      <c r="K1579" t="s">
        <v>29</v>
      </c>
      <c r="L1579">
        <v>59</v>
      </c>
      <c r="M1579" t="s">
        <v>30</v>
      </c>
    </row>
    <row r="1580" spans="1:13" x14ac:dyDescent="0.35">
      <c r="A1580" t="s">
        <v>2334</v>
      </c>
      <c r="B1580" t="s">
        <v>513</v>
      </c>
      <c r="C1580" t="s">
        <v>596</v>
      </c>
      <c r="D1580" t="s">
        <v>25</v>
      </c>
      <c r="E1580" t="s">
        <v>78</v>
      </c>
      <c r="F1580" t="s">
        <v>48</v>
      </c>
      <c r="G1580" t="s">
        <v>63</v>
      </c>
      <c r="H1580">
        <v>316</v>
      </c>
      <c r="I1580">
        <v>20</v>
      </c>
      <c r="J1580">
        <v>20</v>
      </c>
      <c r="K1580" t="s">
        <v>20</v>
      </c>
      <c r="L1580">
        <v>51</v>
      </c>
      <c r="M1580" t="s">
        <v>21</v>
      </c>
    </row>
    <row r="1581" spans="1:13" x14ac:dyDescent="0.35">
      <c r="A1581" t="s">
        <v>2335</v>
      </c>
      <c r="B1581" t="s">
        <v>305</v>
      </c>
      <c r="C1581" t="s">
        <v>315</v>
      </c>
      <c r="D1581" t="s">
        <v>25</v>
      </c>
      <c r="E1581" t="s">
        <v>34</v>
      </c>
      <c r="F1581" t="s">
        <v>27</v>
      </c>
      <c r="G1581" t="s">
        <v>74</v>
      </c>
      <c r="H1581">
        <v>667</v>
      </c>
      <c r="I1581">
        <v>20</v>
      </c>
      <c r="J1581">
        <v>0</v>
      </c>
      <c r="K1581" t="s">
        <v>36</v>
      </c>
      <c r="L1581">
        <v>48</v>
      </c>
      <c r="M1581" t="s">
        <v>21</v>
      </c>
    </row>
    <row r="1582" spans="1:13" x14ac:dyDescent="0.35">
      <c r="A1582" t="s">
        <v>2336</v>
      </c>
      <c r="B1582" t="s">
        <v>69</v>
      </c>
      <c r="C1582" t="s">
        <v>694</v>
      </c>
      <c r="D1582" t="s">
        <v>25</v>
      </c>
      <c r="E1582" t="s">
        <v>34</v>
      </c>
      <c r="F1582" t="s">
        <v>27</v>
      </c>
      <c r="G1582" t="s">
        <v>74</v>
      </c>
      <c r="H1582">
        <v>524</v>
      </c>
      <c r="I1582">
        <v>40</v>
      </c>
      <c r="J1582">
        <v>0</v>
      </c>
      <c r="K1582" t="s">
        <v>36</v>
      </c>
      <c r="L1582">
        <v>36</v>
      </c>
      <c r="M1582" t="s">
        <v>21</v>
      </c>
    </row>
    <row r="1583" spans="1:13" x14ac:dyDescent="0.35">
      <c r="A1583" t="s">
        <v>2337</v>
      </c>
      <c r="B1583" t="s">
        <v>271</v>
      </c>
      <c r="C1583" t="s">
        <v>1647</v>
      </c>
      <c r="D1583" t="s">
        <v>53</v>
      </c>
      <c r="E1583" t="s">
        <v>84</v>
      </c>
      <c r="F1583" t="s">
        <v>85</v>
      </c>
      <c r="G1583" t="s">
        <v>28</v>
      </c>
      <c r="H1583">
        <v>629</v>
      </c>
      <c r="I1583">
        <v>50</v>
      </c>
      <c r="J1583">
        <v>0</v>
      </c>
      <c r="K1583" t="s">
        <v>36</v>
      </c>
      <c r="L1583">
        <v>59</v>
      </c>
      <c r="M1583" t="s">
        <v>21</v>
      </c>
    </row>
    <row r="1584" spans="1:13" x14ac:dyDescent="0.35">
      <c r="A1584" t="s">
        <v>2338</v>
      </c>
      <c r="B1584" t="s">
        <v>526</v>
      </c>
      <c r="C1584" t="s">
        <v>1168</v>
      </c>
      <c r="D1584" t="s">
        <v>40</v>
      </c>
      <c r="E1584" t="s">
        <v>67</v>
      </c>
      <c r="F1584" t="s">
        <v>48</v>
      </c>
      <c r="G1584" t="s">
        <v>19</v>
      </c>
      <c r="H1584">
        <v>447</v>
      </c>
      <c r="I1584">
        <v>40</v>
      </c>
      <c r="J1584">
        <v>100</v>
      </c>
      <c r="K1584" t="s">
        <v>29</v>
      </c>
      <c r="L1584">
        <v>41</v>
      </c>
      <c r="M1584" t="s">
        <v>21</v>
      </c>
    </row>
    <row r="1585" spans="1:13" x14ac:dyDescent="0.35">
      <c r="A1585" t="s">
        <v>2339</v>
      </c>
      <c r="B1585" t="s">
        <v>192</v>
      </c>
      <c r="C1585" t="s">
        <v>1518</v>
      </c>
      <c r="D1585" t="s">
        <v>53</v>
      </c>
      <c r="E1585" t="s">
        <v>152</v>
      </c>
      <c r="F1585" t="s">
        <v>18</v>
      </c>
      <c r="G1585" t="s">
        <v>59</v>
      </c>
      <c r="H1585">
        <v>740</v>
      </c>
      <c r="I1585">
        <v>20</v>
      </c>
      <c r="J1585">
        <v>50</v>
      </c>
      <c r="K1585" t="s">
        <v>36</v>
      </c>
      <c r="L1585">
        <v>46</v>
      </c>
      <c r="M1585" t="s">
        <v>21</v>
      </c>
    </row>
    <row r="1586" spans="1:13" x14ac:dyDescent="0.35">
      <c r="A1586" t="s">
        <v>2340</v>
      </c>
      <c r="B1586" t="s">
        <v>118</v>
      </c>
      <c r="C1586" t="s">
        <v>323</v>
      </c>
      <c r="D1586" t="s">
        <v>40</v>
      </c>
      <c r="E1586" t="s">
        <v>67</v>
      </c>
      <c r="F1586" t="s">
        <v>48</v>
      </c>
      <c r="G1586" t="s">
        <v>19</v>
      </c>
      <c r="H1586">
        <v>797</v>
      </c>
      <c r="I1586">
        <v>30</v>
      </c>
      <c r="J1586">
        <v>100</v>
      </c>
      <c r="K1586" t="s">
        <v>36</v>
      </c>
      <c r="L1586">
        <v>39</v>
      </c>
      <c r="M1586" t="s">
        <v>21</v>
      </c>
    </row>
    <row r="1587" spans="1:13" x14ac:dyDescent="0.35">
      <c r="A1587" t="s">
        <v>2341</v>
      </c>
      <c r="B1587" t="s">
        <v>167</v>
      </c>
      <c r="C1587" t="s">
        <v>195</v>
      </c>
      <c r="D1587" t="s">
        <v>25</v>
      </c>
      <c r="E1587" t="s">
        <v>78</v>
      </c>
      <c r="F1587" t="s">
        <v>48</v>
      </c>
      <c r="G1587" t="s">
        <v>107</v>
      </c>
      <c r="H1587">
        <v>187</v>
      </c>
      <c r="I1587">
        <v>20</v>
      </c>
      <c r="J1587">
        <v>50</v>
      </c>
      <c r="K1587" t="s">
        <v>29</v>
      </c>
      <c r="L1587">
        <v>24</v>
      </c>
      <c r="M1587" t="s">
        <v>21</v>
      </c>
    </row>
    <row r="1588" spans="1:13" x14ac:dyDescent="0.35">
      <c r="A1588" t="s">
        <v>2342</v>
      </c>
      <c r="B1588" t="s">
        <v>562</v>
      </c>
      <c r="C1588" t="s">
        <v>170</v>
      </c>
      <c r="D1588" t="s">
        <v>53</v>
      </c>
      <c r="E1588" t="s">
        <v>152</v>
      </c>
      <c r="F1588" t="s">
        <v>18</v>
      </c>
      <c r="G1588" t="s">
        <v>28</v>
      </c>
      <c r="H1588">
        <v>207</v>
      </c>
      <c r="I1588">
        <v>20</v>
      </c>
      <c r="J1588">
        <v>20</v>
      </c>
      <c r="K1588" t="s">
        <v>36</v>
      </c>
      <c r="L1588">
        <v>36</v>
      </c>
      <c r="M1588" t="s">
        <v>21</v>
      </c>
    </row>
    <row r="1589" spans="1:13" x14ac:dyDescent="0.35">
      <c r="A1589" t="s">
        <v>2343</v>
      </c>
      <c r="B1589" t="s">
        <v>76</v>
      </c>
      <c r="C1589" t="s">
        <v>2344</v>
      </c>
      <c r="D1589" t="s">
        <v>46</v>
      </c>
      <c r="E1589" t="s">
        <v>47</v>
      </c>
      <c r="F1589" t="s">
        <v>48</v>
      </c>
      <c r="G1589" t="s">
        <v>42</v>
      </c>
      <c r="H1589">
        <v>536</v>
      </c>
      <c r="I1589">
        <v>40</v>
      </c>
      <c r="J1589">
        <v>20</v>
      </c>
      <c r="K1589" t="s">
        <v>20</v>
      </c>
      <c r="L1589">
        <v>25</v>
      </c>
      <c r="M1589" t="s">
        <v>21</v>
      </c>
    </row>
    <row r="1590" spans="1:13" x14ac:dyDescent="0.35">
      <c r="A1590" t="s">
        <v>2345</v>
      </c>
      <c r="B1590" t="s">
        <v>273</v>
      </c>
      <c r="C1590" t="s">
        <v>976</v>
      </c>
      <c r="D1590" t="s">
        <v>53</v>
      </c>
      <c r="E1590" t="s">
        <v>152</v>
      </c>
      <c r="F1590" t="s">
        <v>18</v>
      </c>
      <c r="G1590" t="s">
        <v>28</v>
      </c>
      <c r="H1590">
        <v>161</v>
      </c>
      <c r="I1590">
        <v>20</v>
      </c>
      <c r="J1590">
        <v>20</v>
      </c>
      <c r="K1590" t="s">
        <v>36</v>
      </c>
      <c r="L1590">
        <v>59</v>
      </c>
      <c r="M1590" t="s">
        <v>21</v>
      </c>
    </row>
    <row r="1591" spans="1:13" x14ac:dyDescent="0.35">
      <c r="A1591" t="s">
        <v>2346</v>
      </c>
      <c r="B1591" t="s">
        <v>181</v>
      </c>
      <c r="C1591" t="s">
        <v>1683</v>
      </c>
      <c r="D1591" t="s">
        <v>46</v>
      </c>
      <c r="E1591" t="s">
        <v>70</v>
      </c>
      <c r="F1591" t="s">
        <v>18</v>
      </c>
      <c r="G1591" t="s">
        <v>28</v>
      </c>
      <c r="H1591">
        <v>250</v>
      </c>
      <c r="I1591">
        <v>20</v>
      </c>
      <c r="J1591">
        <v>20</v>
      </c>
      <c r="K1591" t="s">
        <v>20</v>
      </c>
      <c r="L1591">
        <v>45</v>
      </c>
      <c r="M1591" t="s">
        <v>21</v>
      </c>
    </row>
    <row r="1592" spans="1:13" x14ac:dyDescent="0.35">
      <c r="A1592" t="s">
        <v>2347</v>
      </c>
      <c r="B1592" t="s">
        <v>205</v>
      </c>
      <c r="C1592" t="s">
        <v>905</v>
      </c>
      <c r="D1592" t="s">
        <v>16</v>
      </c>
      <c r="E1592" t="s">
        <v>89</v>
      </c>
      <c r="F1592" t="s">
        <v>18</v>
      </c>
      <c r="G1592" t="s">
        <v>107</v>
      </c>
      <c r="H1592">
        <v>756</v>
      </c>
      <c r="I1592">
        <v>40</v>
      </c>
      <c r="J1592">
        <v>30</v>
      </c>
      <c r="K1592" t="s">
        <v>36</v>
      </c>
      <c r="L1592">
        <v>37</v>
      </c>
      <c r="M1592" t="s">
        <v>21</v>
      </c>
    </row>
    <row r="1593" spans="1:13" x14ac:dyDescent="0.35">
      <c r="A1593" t="s">
        <v>2348</v>
      </c>
      <c r="B1593" t="s">
        <v>143</v>
      </c>
      <c r="C1593" t="s">
        <v>2219</v>
      </c>
      <c r="D1593" t="s">
        <v>46</v>
      </c>
      <c r="E1593" t="s">
        <v>47</v>
      </c>
      <c r="F1593" t="s">
        <v>48</v>
      </c>
      <c r="G1593" t="s">
        <v>63</v>
      </c>
      <c r="H1593">
        <v>285</v>
      </c>
      <c r="I1593">
        <v>20</v>
      </c>
      <c r="J1593">
        <v>30</v>
      </c>
      <c r="K1593" t="s">
        <v>36</v>
      </c>
      <c r="L1593">
        <v>60</v>
      </c>
      <c r="M1593" t="s">
        <v>21</v>
      </c>
    </row>
    <row r="1594" spans="1:13" x14ac:dyDescent="0.35">
      <c r="A1594" t="s">
        <v>2349</v>
      </c>
      <c r="B1594" t="s">
        <v>23</v>
      </c>
      <c r="C1594" t="s">
        <v>2350</v>
      </c>
      <c r="D1594" t="s">
        <v>16</v>
      </c>
      <c r="E1594" t="s">
        <v>17</v>
      </c>
      <c r="F1594" t="s">
        <v>18</v>
      </c>
      <c r="G1594" t="s">
        <v>59</v>
      </c>
      <c r="H1594">
        <v>161</v>
      </c>
      <c r="I1594">
        <v>50</v>
      </c>
      <c r="J1594">
        <v>30</v>
      </c>
      <c r="K1594" t="s">
        <v>36</v>
      </c>
      <c r="L1594">
        <v>37</v>
      </c>
      <c r="M1594" t="s">
        <v>30</v>
      </c>
    </row>
    <row r="1595" spans="1:13" x14ac:dyDescent="0.35">
      <c r="A1595" t="s">
        <v>2351</v>
      </c>
      <c r="B1595" t="s">
        <v>562</v>
      </c>
      <c r="C1595" t="s">
        <v>168</v>
      </c>
      <c r="D1595" t="s">
        <v>16</v>
      </c>
      <c r="E1595" t="s">
        <v>17</v>
      </c>
      <c r="F1595" t="s">
        <v>18</v>
      </c>
      <c r="G1595" t="s">
        <v>35</v>
      </c>
      <c r="H1595">
        <v>273</v>
      </c>
      <c r="I1595">
        <v>30</v>
      </c>
      <c r="J1595">
        <v>100</v>
      </c>
      <c r="K1595" t="s">
        <v>29</v>
      </c>
      <c r="L1595">
        <v>38</v>
      </c>
      <c r="M1595" t="s">
        <v>21</v>
      </c>
    </row>
    <row r="1596" spans="1:13" x14ac:dyDescent="0.35">
      <c r="A1596" t="s">
        <v>2352</v>
      </c>
      <c r="B1596" t="s">
        <v>207</v>
      </c>
      <c r="C1596" t="s">
        <v>1598</v>
      </c>
      <c r="D1596" t="s">
        <v>16</v>
      </c>
      <c r="E1596" t="s">
        <v>131</v>
      </c>
      <c r="F1596" t="s">
        <v>55</v>
      </c>
      <c r="G1596" t="s">
        <v>74</v>
      </c>
      <c r="H1596">
        <v>346</v>
      </c>
      <c r="I1596">
        <v>30</v>
      </c>
      <c r="J1596">
        <v>50</v>
      </c>
      <c r="K1596" t="s">
        <v>36</v>
      </c>
      <c r="L1596">
        <v>26</v>
      </c>
      <c r="M1596" t="s">
        <v>21</v>
      </c>
    </row>
    <row r="1597" spans="1:13" x14ac:dyDescent="0.35">
      <c r="A1597" t="s">
        <v>2353</v>
      </c>
      <c r="B1597" t="s">
        <v>57</v>
      </c>
      <c r="C1597" t="s">
        <v>575</v>
      </c>
      <c r="D1597" t="s">
        <v>25</v>
      </c>
      <c r="E1597" t="s">
        <v>26</v>
      </c>
      <c r="F1597" t="s">
        <v>27</v>
      </c>
      <c r="G1597" t="s">
        <v>107</v>
      </c>
      <c r="H1597">
        <v>201</v>
      </c>
      <c r="I1597">
        <v>30</v>
      </c>
      <c r="J1597">
        <v>50</v>
      </c>
      <c r="K1597" t="s">
        <v>20</v>
      </c>
      <c r="L1597">
        <v>34</v>
      </c>
      <c r="M1597" t="s">
        <v>21</v>
      </c>
    </row>
    <row r="1598" spans="1:13" x14ac:dyDescent="0.35">
      <c r="A1598" t="s">
        <v>2354</v>
      </c>
      <c r="B1598" t="s">
        <v>226</v>
      </c>
      <c r="C1598" t="s">
        <v>1000</v>
      </c>
      <c r="D1598" t="s">
        <v>46</v>
      </c>
      <c r="E1598" t="s">
        <v>47</v>
      </c>
      <c r="F1598" t="s">
        <v>48</v>
      </c>
      <c r="G1598" t="s">
        <v>59</v>
      </c>
      <c r="H1598">
        <v>692</v>
      </c>
      <c r="I1598">
        <v>40</v>
      </c>
      <c r="J1598">
        <v>30</v>
      </c>
      <c r="K1598" t="s">
        <v>29</v>
      </c>
      <c r="L1598">
        <v>55</v>
      </c>
      <c r="M1598" t="s">
        <v>21</v>
      </c>
    </row>
    <row r="1599" spans="1:13" x14ac:dyDescent="0.35">
      <c r="A1599" t="s">
        <v>2355</v>
      </c>
      <c r="B1599" t="s">
        <v>267</v>
      </c>
      <c r="C1599" t="s">
        <v>1978</v>
      </c>
      <c r="D1599" t="s">
        <v>40</v>
      </c>
      <c r="E1599" t="s">
        <v>111</v>
      </c>
      <c r="F1599" t="s">
        <v>18</v>
      </c>
      <c r="G1599" t="s">
        <v>63</v>
      </c>
      <c r="H1599">
        <v>153</v>
      </c>
      <c r="I1599">
        <v>50</v>
      </c>
      <c r="J1599">
        <v>50</v>
      </c>
      <c r="K1599" t="s">
        <v>36</v>
      </c>
      <c r="L1599">
        <v>34</v>
      </c>
      <c r="M1599" t="s">
        <v>21</v>
      </c>
    </row>
    <row r="1600" spans="1:13" x14ac:dyDescent="0.35">
      <c r="A1600" t="s">
        <v>2356</v>
      </c>
      <c r="B1600" t="s">
        <v>186</v>
      </c>
      <c r="C1600" t="s">
        <v>2357</v>
      </c>
      <c r="D1600" t="s">
        <v>46</v>
      </c>
      <c r="E1600" t="s">
        <v>47</v>
      </c>
      <c r="F1600" t="s">
        <v>48</v>
      </c>
      <c r="G1600" t="s">
        <v>59</v>
      </c>
      <c r="H1600">
        <v>491</v>
      </c>
      <c r="I1600">
        <v>40</v>
      </c>
      <c r="J1600">
        <v>100</v>
      </c>
      <c r="K1600" t="s">
        <v>29</v>
      </c>
      <c r="L1600">
        <v>55</v>
      </c>
      <c r="M1600" t="s">
        <v>21</v>
      </c>
    </row>
    <row r="1601" spans="1:13" x14ac:dyDescent="0.35">
      <c r="A1601" t="s">
        <v>2358</v>
      </c>
      <c r="B1601" t="s">
        <v>305</v>
      </c>
      <c r="C1601" t="s">
        <v>1179</v>
      </c>
      <c r="D1601" t="s">
        <v>53</v>
      </c>
      <c r="E1601" t="s">
        <v>84</v>
      </c>
      <c r="F1601" t="s">
        <v>85</v>
      </c>
      <c r="G1601" t="s">
        <v>59</v>
      </c>
      <c r="H1601">
        <v>664</v>
      </c>
      <c r="I1601">
        <v>50</v>
      </c>
      <c r="J1601">
        <v>50</v>
      </c>
      <c r="K1601" t="s">
        <v>29</v>
      </c>
      <c r="L1601">
        <v>48</v>
      </c>
      <c r="M1601" t="s">
        <v>21</v>
      </c>
    </row>
    <row r="1602" spans="1:13" x14ac:dyDescent="0.35">
      <c r="A1602" t="s">
        <v>2359</v>
      </c>
      <c r="B1602" t="s">
        <v>192</v>
      </c>
      <c r="C1602" t="s">
        <v>1295</v>
      </c>
      <c r="D1602" t="s">
        <v>46</v>
      </c>
      <c r="E1602" t="s">
        <v>148</v>
      </c>
      <c r="F1602" t="s">
        <v>27</v>
      </c>
      <c r="G1602" t="s">
        <v>107</v>
      </c>
      <c r="H1602">
        <v>158</v>
      </c>
      <c r="I1602">
        <v>20</v>
      </c>
      <c r="J1602">
        <v>50</v>
      </c>
      <c r="K1602" t="s">
        <v>20</v>
      </c>
      <c r="L1602">
        <v>57</v>
      </c>
      <c r="M1602" t="s">
        <v>21</v>
      </c>
    </row>
    <row r="1603" spans="1:13" x14ac:dyDescent="0.35">
      <c r="A1603" t="s">
        <v>2360</v>
      </c>
      <c r="B1603" t="s">
        <v>121</v>
      </c>
      <c r="C1603" t="s">
        <v>659</v>
      </c>
      <c r="D1603" t="s">
        <v>40</v>
      </c>
      <c r="E1603" t="s">
        <v>111</v>
      </c>
      <c r="F1603" t="s">
        <v>18</v>
      </c>
      <c r="G1603" t="s">
        <v>49</v>
      </c>
      <c r="H1603">
        <v>654</v>
      </c>
      <c r="I1603">
        <v>50</v>
      </c>
      <c r="J1603">
        <v>50</v>
      </c>
      <c r="K1603" t="s">
        <v>36</v>
      </c>
      <c r="L1603">
        <v>59</v>
      </c>
      <c r="M1603" t="s">
        <v>21</v>
      </c>
    </row>
    <row r="1604" spans="1:13" x14ac:dyDescent="0.35">
      <c r="A1604" t="s">
        <v>2361</v>
      </c>
      <c r="B1604" t="s">
        <v>99</v>
      </c>
      <c r="C1604" t="s">
        <v>610</v>
      </c>
      <c r="D1604" t="s">
        <v>46</v>
      </c>
      <c r="E1604" t="s">
        <v>70</v>
      </c>
      <c r="F1604" t="s">
        <v>18</v>
      </c>
      <c r="G1604" t="s">
        <v>176</v>
      </c>
      <c r="H1604">
        <v>216</v>
      </c>
      <c r="I1604">
        <v>30</v>
      </c>
      <c r="J1604">
        <v>100</v>
      </c>
      <c r="K1604" t="s">
        <v>20</v>
      </c>
      <c r="L1604">
        <v>26</v>
      </c>
      <c r="M1604" t="s">
        <v>21</v>
      </c>
    </row>
    <row r="1605" spans="1:13" x14ac:dyDescent="0.35">
      <c r="A1605" t="s">
        <v>2362</v>
      </c>
      <c r="B1605" t="s">
        <v>150</v>
      </c>
      <c r="C1605" t="s">
        <v>137</v>
      </c>
      <c r="D1605" t="s">
        <v>46</v>
      </c>
      <c r="E1605" t="s">
        <v>148</v>
      </c>
      <c r="F1605" t="s">
        <v>27</v>
      </c>
      <c r="G1605" t="s">
        <v>176</v>
      </c>
      <c r="H1605">
        <v>177</v>
      </c>
      <c r="I1605">
        <v>50</v>
      </c>
      <c r="J1605">
        <v>50</v>
      </c>
      <c r="K1605" t="s">
        <v>20</v>
      </c>
      <c r="L1605">
        <v>58</v>
      </c>
      <c r="M1605" t="s">
        <v>21</v>
      </c>
    </row>
    <row r="1606" spans="1:13" x14ac:dyDescent="0.35">
      <c r="A1606" t="s">
        <v>2363</v>
      </c>
      <c r="B1606" t="s">
        <v>486</v>
      </c>
      <c r="C1606" t="s">
        <v>1951</v>
      </c>
      <c r="D1606" t="s">
        <v>25</v>
      </c>
      <c r="E1606" t="s">
        <v>26</v>
      </c>
      <c r="F1606" t="s">
        <v>27</v>
      </c>
      <c r="G1606" t="s">
        <v>107</v>
      </c>
      <c r="H1606">
        <v>608</v>
      </c>
      <c r="I1606">
        <v>50</v>
      </c>
      <c r="J1606">
        <v>50</v>
      </c>
      <c r="K1606" t="s">
        <v>20</v>
      </c>
      <c r="L1606">
        <v>20</v>
      </c>
      <c r="M1606" t="s">
        <v>21</v>
      </c>
    </row>
    <row r="1607" spans="1:13" x14ac:dyDescent="0.35">
      <c r="A1607" t="s">
        <v>2364</v>
      </c>
      <c r="B1607" t="s">
        <v>167</v>
      </c>
      <c r="C1607" t="s">
        <v>596</v>
      </c>
      <c r="D1607" t="s">
        <v>40</v>
      </c>
      <c r="E1607" t="s">
        <v>41</v>
      </c>
      <c r="F1607" t="s">
        <v>27</v>
      </c>
      <c r="G1607" t="s">
        <v>59</v>
      </c>
      <c r="H1607">
        <v>721</v>
      </c>
      <c r="I1607">
        <v>30</v>
      </c>
      <c r="J1607">
        <v>50</v>
      </c>
      <c r="K1607" t="s">
        <v>36</v>
      </c>
      <c r="L1607">
        <v>55</v>
      </c>
      <c r="M1607" t="s">
        <v>21</v>
      </c>
    </row>
    <row r="1608" spans="1:13" x14ac:dyDescent="0.35">
      <c r="A1608" t="s">
        <v>2365</v>
      </c>
      <c r="B1608" t="s">
        <v>326</v>
      </c>
      <c r="C1608" t="s">
        <v>1697</v>
      </c>
      <c r="D1608" t="s">
        <v>40</v>
      </c>
      <c r="E1608" t="s">
        <v>67</v>
      </c>
      <c r="F1608" t="s">
        <v>48</v>
      </c>
      <c r="G1608" t="s">
        <v>63</v>
      </c>
      <c r="H1608">
        <v>271</v>
      </c>
      <c r="I1608">
        <v>40</v>
      </c>
      <c r="J1608">
        <v>50</v>
      </c>
      <c r="K1608" t="s">
        <v>20</v>
      </c>
      <c r="L1608">
        <v>22</v>
      </c>
      <c r="M1608" t="s">
        <v>21</v>
      </c>
    </row>
    <row r="1609" spans="1:13" x14ac:dyDescent="0.35">
      <c r="A1609" t="s">
        <v>2366</v>
      </c>
      <c r="B1609" t="s">
        <v>329</v>
      </c>
      <c r="C1609" t="s">
        <v>860</v>
      </c>
      <c r="D1609" t="s">
        <v>40</v>
      </c>
      <c r="E1609" t="s">
        <v>111</v>
      </c>
      <c r="F1609" t="s">
        <v>18</v>
      </c>
      <c r="G1609" t="s">
        <v>74</v>
      </c>
      <c r="H1609">
        <v>473</v>
      </c>
      <c r="I1609">
        <v>50</v>
      </c>
      <c r="J1609">
        <v>30</v>
      </c>
      <c r="K1609" t="s">
        <v>20</v>
      </c>
      <c r="L1609">
        <v>51</v>
      </c>
      <c r="M1609" t="s">
        <v>21</v>
      </c>
    </row>
    <row r="1610" spans="1:13" x14ac:dyDescent="0.35">
      <c r="A1610" t="s">
        <v>2367</v>
      </c>
      <c r="B1610" t="s">
        <v>252</v>
      </c>
      <c r="C1610" t="s">
        <v>952</v>
      </c>
      <c r="D1610" t="s">
        <v>46</v>
      </c>
      <c r="E1610" t="s">
        <v>70</v>
      </c>
      <c r="F1610" t="s">
        <v>18</v>
      </c>
      <c r="G1610" t="s">
        <v>74</v>
      </c>
      <c r="H1610">
        <v>168</v>
      </c>
      <c r="I1610">
        <v>40</v>
      </c>
      <c r="J1610">
        <v>100</v>
      </c>
      <c r="K1610" t="s">
        <v>20</v>
      </c>
      <c r="L1610">
        <v>29</v>
      </c>
      <c r="M1610" t="s">
        <v>21</v>
      </c>
    </row>
    <row r="1611" spans="1:13" x14ac:dyDescent="0.35">
      <c r="A1611" t="s">
        <v>2368</v>
      </c>
      <c r="B1611" t="s">
        <v>61</v>
      </c>
      <c r="C1611" t="s">
        <v>2369</v>
      </c>
      <c r="D1611" t="s">
        <v>25</v>
      </c>
      <c r="E1611" t="s">
        <v>78</v>
      </c>
      <c r="F1611" t="s">
        <v>48</v>
      </c>
      <c r="G1611" t="s">
        <v>107</v>
      </c>
      <c r="H1611">
        <v>634</v>
      </c>
      <c r="I1611">
        <v>50</v>
      </c>
      <c r="J1611">
        <v>100</v>
      </c>
      <c r="K1611" t="s">
        <v>20</v>
      </c>
      <c r="L1611">
        <v>29</v>
      </c>
      <c r="M1611" t="s">
        <v>21</v>
      </c>
    </row>
    <row r="1612" spans="1:13" x14ac:dyDescent="0.35">
      <c r="A1612" t="s">
        <v>2370</v>
      </c>
      <c r="B1612" t="s">
        <v>526</v>
      </c>
      <c r="C1612" t="s">
        <v>1788</v>
      </c>
      <c r="D1612" t="s">
        <v>40</v>
      </c>
      <c r="E1612" t="s">
        <v>41</v>
      </c>
      <c r="F1612" t="s">
        <v>27</v>
      </c>
      <c r="G1612" t="s">
        <v>42</v>
      </c>
      <c r="H1612">
        <v>429</v>
      </c>
      <c r="I1612">
        <v>30</v>
      </c>
      <c r="J1612">
        <v>30</v>
      </c>
      <c r="K1612" t="s">
        <v>36</v>
      </c>
      <c r="L1612">
        <v>28</v>
      </c>
      <c r="M1612" t="s">
        <v>21</v>
      </c>
    </row>
    <row r="1613" spans="1:13" x14ac:dyDescent="0.35">
      <c r="A1613" t="s">
        <v>2371</v>
      </c>
      <c r="B1613" t="s">
        <v>271</v>
      </c>
      <c r="C1613" t="s">
        <v>566</v>
      </c>
      <c r="D1613" t="s">
        <v>25</v>
      </c>
      <c r="E1613" t="s">
        <v>78</v>
      </c>
      <c r="F1613" t="s">
        <v>48</v>
      </c>
      <c r="G1613" t="s">
        <v>74</v>
      </c>
      <c r="H1613">
        <v>250</v>
      </c>
      <c r="I1613">
        <v>50</v>
      </c>
      <c r="J1613">
        <v>30</v>
      </c>
      <c r="K1613" t="s">
        <v>29</v>
      </c>
      <c r="L1613">
        <v>40</v>
      </c>
      <c r="M1613" t="s">
        <v>21</v>
      </c>
    </row>
    <row r="1614" spans="1:13" x14ac:dyDescent="0.35">
      <c r="A1614" t="s">
        <v>2372</v>
      </c>
      <c r="B1614" t="s">
        <v>199</v>
      </c>
      <c r="C1614" t="s">
        <v>659</v>
      </c>
      <c r="D1614" t="s">
        <v>16</v>
      </c>
      <c r="E1614" t="s">
        <v>131</v>
      </c>
      <c r="F1614" t="s">
        <v>55</v>
      </c>
      <c r="G1614" t="s">
        <v>63</v>
      </c>
      <c r="H1614">
        <v>306</v>
      </c>
      <c r="I1614">
        <v>50</v>
      </c>
      <c r="J1614">
        <v>20</v>
      </c>
      <c r="K1614" t="s">
        <v>36</v>
      </c>
      <c r="L1614">
        <v>43</v>
      </c>
      <c r="M1614" t="s">
        <v>21</v>
      </c>
    </row>
    <row r="1615" spans="1:13" x14ac:dyDescent="0.35">
      <c r="A1615" t="s">
        <v>2373</v>
      </c>
      <c r="B1615" t="s">
        <v>310</v>
      </c>
      <c r="C1615" t="s">
        <v>940</v>
      </c>
      <c r="D1615" t="s">
        <v>16</v>
      </c>
      <c r="E1615" t="s">
        <v>89</v>
      </c>
      <c r="F1615" t="s">
        <v>18</v>
      </c>
      <c r="G1615" t="s">
        <v>176</v>
      </c>
      <c r="H1615">
        <v>289</v>
      </c>
      <c r="I1615">
        <v>30</v>
      </c>
      <c r="J1615">
        <v>20</v>
      </c>
      <c r="K1615" t="s">
        <v>36</v>
      </c>
      <c r="L1615">
        <v>21</v>
      </c>
      <c r="M1615" t="s">
        <v>21</v>
      </c>
    </row>
    <row r="1616" spans="1:13" x14ac:dyDescent="0.35">
      <c r="A1616" t="s">
        <v>2374</v>
      </c>
      <c r="B1616" t="s">
        <v>657</v>
      </c>
      <c r="C1616" t="s">
        <v>1432</v>
      </c>
      <c r="D1616" t="s">
        <v>16</v>
      </c>
      <c r="E1616" t="s">
        <v>89</v>
      </c>
      <c r="F1616" t="s">
        <v>18</v>
      </c>
      <c r="G1616" t="s">
        <v>35</v>
      </c>
      <c r="H1616">
        <v>227</v>
      </c>
      <c r="I1616">
        <v>20</v>
      </c>
      <c r="J1616">
        <v>50</v>
      </c>
      <c r="K1616" t="s">
        <v>20</v>
      </c>
      <c r="L1616">
        <v>34</v>
      </c>
      <c r="M1616" t="s">
        <v>21</v>
      </c>
    </row>
    <row r="1617" spans="1:13" x14ac:dyDescent="0.35">
      <c r="A1617" t="s">
        <v>2375</v>
      </c>
      <c r="B1617" t="s">
        <v>449</v>
      </c>
      <c r="C1617" t="s">
        <v>1344</v>
      </c>
      <c r="D1617" t="s">
        <v>46</v>
      </c>
      <c r="E1617" t="s">
        <v>148</v>
      </c>
      <c r="F1617" t="s">
        <v>27</v>
      </c>
      <c r="G1617" t="s">
        <v>19</v>
      </c>
      <c r="H1617">
        <v>451</v>
      </c>
      <c r="I1617">
        <v>20</v>
      </c>
      <c r="J1617">
        <v>0</v>
      </c>
      <c r="K1617" t="s">
        <v>29</v>
      </c>
      <c r="L1617">
        <v>39</v>
      </c>
      <c r="M1617" t="s">
        <v>21</v>
      </c>
    </row>
    <row r="1618" spans="1:13" x14ac:dyDescent="0.35">
      <c r="A1618" t="s">
        <v>2376</v>
      </c>
      <c r="B1618" t="s">
        <v>178</v>
      </c>
      <c r="C1618" t="s">
        <v>891</v>
      </c>
      <c r="D1618" t="s">
        <v>25</v>
      </c>
      <c r="E1618" t="s">
        <v>78</v>
      </c>
      <c r="F1618" t="s">
        <v>48</v>
      </c>
      <c r="G1618" t="s">
        <v>49</v>
      </c>
      <c r="H1618">
        <v>234</v>
      </c>
      <c r="I1618">
        <v>50</v>
      </c>
      <c r="J1618">
        <v>0</v>
      </c>
      <c r="K1618" t="s">
        <v>36</v>
      </c>
      <c r="L1618">
        <v>60</v>
      </c>
      <c r="M1618" t="s">
        <v>21</v>
      </c>
    </row>
    <row r="1619" spans="1:13" x14ac:dyDescent="0.35">
      <c r="A1619" t="s">
        <v>2377</v>
      </c>
      <c r="B1619" t="s">
        <v>69</v>
      </c>
      <c r="C1619" t="s">
        <v>1173</v>
      </c>
      <c r="D1619" t="s">
        <v>16</v>
      </c>
      <c r="E1619" t="s">
        <v>17</v>
      </c>
      <c r="F1619" t="s">
        <v>18</v>
      </c>
      <c r="G1619" t="s">
        <v>63</v>
      </c>
      <c r="H1619">
        <v>192</v>
      </c>
      <c r="I1619">
        <v>50</v>
      </c>
      <c r="J1619">
        <v>20</v>
      </c>
      <c r="K1619" t="s">
        <v>20</v>
      </c>
      <c r="L1619">
        <v>31</v>
      </c>
      <c r="M1619" t="s">
        <v>30</v>
      </c>
    </row>
    <row r="1620" spans="1:13" x14ac:dyDescent="0.35">
      <c r="A1620" t="s">
        <v>2378</v>
      </c>
      <c r="B1620" t="s">
        <v>76</v>
      </c>
      <c r="C1620" t="s">
        <v>988</v>
      </c>
      <c r="D1620" t="s">
        <v>46</v>
      </c>
      <c r="E1620" t="s">
        <v>148</v>
      </c>
      <c r="F1620" t="s">
        <v>27</v>
      </c>
      <c r="G1620" t="s">
        <v>42</v>
      </c>
      <c r="H1620">
        <v>721</v>
      </c>
      <c r="I1620">
        <v>50</v>
      </c>
      <c r="J1620">
        <v>30</v>
      </c>
      <c r="K1620" t="s">
        <v>36</v>
      </c>
      <c r="L1620">
        <v>25</v>
      </c>
      <c r="M1620" t="s">
        <v>21</v>
      </c>
    </row>
    <row r="1621" spans="1:13" x14ac:dyDescent="0.35">
      <c r="A1621" t="s">
        <v>2379</v>
      </c>
      <c r="B1621" t="s">
        <v>72</v>
      </c>
      <c r="C1621" t="s">
        <v>396</v>
      </c>
      <c r="D1621" t="s">
        <v>53</v>
      </c>
      <c r="E1621" t="s">
        <v>152</v>
      </c>
      <c r="F1621" t="s">
        <v>18</v>
      </c>
      <c r="G1621" t="s">
        <v>59</v>
      </c>
      <c r="H1621">
        <v>219</v>
      </c>
      <c r="I1621">
        <v>30</v>
      </c>
      <c r="J1621">
        <v>20</v>
      </c>
      <c r="K1621" t="s">
        <v>20</v>
      </c>
      <c r="L1621">
        <v>39</v>
      </c>
      <c r="M1621" t="s">
        <v>30</v>
      </c>
    </row>
    <row r="1622" spans="1:13" x14ac:dyDescent="0.35">
      <c r="A1622" t="s">
        <v>2380</v>
      </c>
      <c r="B1622" t="s">
        <v>189</v>
      </c>
      <c r="C1622" t="s">
        <v>1788</v>
      </c>
      <c r="D1622" t="s">
        <v>16</v>
      </c>
      <c r="E1622" t="s">
        <v>17</v>
      </c>
      <c r="F1622" t="s">
        <v>18</v>
      </c>
      <c r="G1622" t="s">
        <v>19</v>
      </c>
      <c r="H1622">
        <v>460</v>
      </c>
      <c r="I1622">
        <v>20</v>
      </c>
      <c r="J1622">
        <v>20</v>
      </c>
      <c r="K1622" t="s">
        <v>29</v>
      </c>
      <c r="L1622">
        <v>52</v>
      </c>
      <c r="M1622" t="s">
        <v>21</v>
      </c>
    </row>
    <row r="1623" spans="1:13" x14ac:dyDescent="0.35">
      <c r="A1623" t="s">
        <v>2381</v>
      </c>
      <c r="B1623" t="s">
        <v>454</v>
      </c>
      <c r="C1623" t="s">
        <v>1124</v>
      </c>
      <c r="D1623" t="s">
        <v>40</v>
      </c>
      <c r="E1623" t="s">
        <v>67</v>
      </c>
      <c r="F1623" t="s">
        <v>48</v>
      </c>
      <c r="G1623" t="s">
        <v>49</v>
      </c>
      <c r="H1623">
        <v>675</v>
      </c>
      <c r="I1623">
        <v>50</v>
      </c>
      <c r="J1623">
        <v>100</v>
      </c>
      <c r="K1623" t="s">
        <v>29</v>
      </c>
      <c r="L1623">
        <v>57</v>
      </c>
      <c r="M1623" t="s">
        <v>21</v>
      </c>
    </row>
    <row r="1624" spans="1:13" x14ac:dyDescent="0.35">
      <c r="A1624" t="s">
        <v>2382</v>
      </c>
      <c r="B1624" t="s">
        <v>154</v>
      </c>
      <c r="C1624" t="s">
        <v>642</v>
      </c>
      <c r="D1624" t="s">
        <v>53</v>
      </c>
      <c r="E1624" t="s">
        <v>152</v>
      </c>
      <c r="F1624" t="s">
        <v>18</v>
      </c>
      <c r="G1624" t="s">
        <v>63</v>
      </c>
      <c r="H1624">
        <v>791</v>
      </c>
      <c r="I1624">
        <v>30</v>
      </c>
      <c r="J1624">
        <v>30</v>
      </c>
      <c r="K1624" t="s">
        <v>20</v>
      </c>
      <c r="L1624">
        <v>45</v>
      </c>
      <c r="M1624" t="s">
        <v>21</v>
      </c>
    </row>
    <row r="1625" spans="1:13" x14ac:dyDescent="0.35">
      <c r="A1625" t="s">
        <v>2383</v>
      </c>
      <c r="B1625" t="s">
        <v>398</v>
      </c>
      <c r="C1625" t="s">
        <v>2384</v>
      </c>
      <c r="D1625" t="s">
        <v>16</v>
      </c>
      <c r="E1625" t="s">
        <v>131</v>
      </c>
      <c r="F1625" t="s">
        <v>55</v>
      </c>
      <c r="G1625" t="s">
        <v>107</v>
      </c>
      <c r="H1625">
        <v>416</v>
      </c>
      <c r="I1625">
        <v>30</v>
      </c>
      <c r="J1625">
        <v>50</v>
      </c>
      <c r="K1625" t="s">
        <v>36</v>
      </c>
      <c r="L1625">
        <v>35</v>
      </c>
      <c r="M1625" t="s">
        <v>21</v>
      </c>
    </row>
    <row r="1626" spans="1:13" x14ac:dyDescent="0.35">
      <c r="A1626" t="s">
        <v>2385</v>
      </c>
      <c r="B1626" t="s">
        <v>300</v>
      </c>
      <c r="C1626" t="s">
        <v>269</v>
      </c>
      <c r="D1626" t="s">
        <v>16</v>
      </c>
      <c r="E1626" t="s">
        <v>131</v>
      </c>
      <c r="F1626" t="s">
        <v>55</v>
      </c>
      <c r="G1626" t="s">
        <v>63</v>
      </c>
      <c r="H1626">
        <v>406</v>
      </c>
      <c r="I1626">
        <v>40</v>
      </c>
      <c r="J1626">
        <v>100</v>
      </c>
      <c r="K1626" t="s">
        <v>36</v>
      </c>
      <c r="L1626">
        <v>20</v>
      </c>
      <c r="M1626" t="s">
        <v>21</v>
      </c>
    </row>
    <row r="1627" spans="1:13" x14ac:dyDescent="0.35">
      <c r="A1627" t="s">
        <v>2386</v>
      </c>
      <c r="B1627" t="s">
        <v>280</v>
      </c>
      <c r="C1627" t="s">
        <v>2122</v>
      </c>
      <c r="D1627" t="s">
        <v>25</v>
      </c>
      <c r="E1627" t="s">
        <v>34</v>
      </c>
      <c r="F1627" t="s">
        <v>27</v>
      </c>
      <c r="G1627" t="s">
        <v>59</v>
      </c>
      <c r="H1627">
        <v>267</v>
      </c>
      <c r="I1627">
        <v>20</v>
      </c>
      <c r="J1627">
        <v>100</v>
      </c>
      <c r="K1627" t="s">
        <v>29</v>
      </c>
      <c r="L1627">
        <v>20</v>
      </c>
      <c r="M1627" t="s">
        <v>21</v>
      </c>
    </row>
    <row r="1628" spans="1:13" x14ac:dyDescent="0.35">
      <c r="A1628" t="s">
        <v>2387</v>
      </c>
      <c r="B1628" t="s">
        <v>541</v>
      </c>
      <c r="C1628" t="s">
        <v>343</v>
      </c>
      <c r="D1628" t="s">
        <v>40</v>
      </c>
      <c r="E1628" t="s">
        <v>111</v>
      </c>
      <c r="F1628" t="s">
        <v>18</v>
      </c>
      <c r="G1628" t="s">
        <v>28</v>
      </c>
      <c r="H1628">
        <v>302</v>
      </c>
      <c r="I1628">
        <v>40</v>
      </c>
      <c r="J1628">
        <v>30</v>
      </c>
      <c r="K1628" t="s">
        <v>29</v>
      </c>
      <c r="L1628">
        <v>42</v>
      </c>
      <c r="M1628" t="s">
        <v>21</v>
      </c>
    </row>
    <row r="1629" spans="1:13" x14ac:dyDescent="0.35">
      <c r="A1629" t="s">
        <v>2388</v>
      </c>
      <c r="B1629" t="s">
        <v>181</v>
      </c>
      <c r="C1629" t="s">
        <v>1204</v>
      </c>
      <c r="D1629" t="s">
        <v>25</v>
      </c>
      <c r="E1629" t="s">
        <v>26</v>
      </c>
      <c r="F1629" t="s">
        <v>27</v>
      </c>
      <c r="G1629" t="s">
        <v>107</v>
      </c>
      <c r="H1629">
        <v>787</v>
      </c>
      <c r="I1629">
        <v>30</v>
      </c>
      <c r="J1629">
        <v>50</v>
      </c>
      <c r="K1629" t="s">
        <v>29</v>
      </c>
      <c r="L1629">
        <v>53</v>
      </c>
      <c r="M1629" t="s">
        <v>21</v>
      </c>
    </row>
    <row r="1630" spans="1:13" x14ac:dyDescent="0.35">
      <c r="A1630" t="s">
        <v>2389</v>
      </c>
      <c r="B1630" t="s">
        <v>96</v>
      </c>
      <c r="C1630" t="s">
        <v>1948</v>
      </c>
      <c r="D1630" t="s">
        <v>40</v>
      </c>
      <c r="E1630" t="s">
        <v>111</v>
      </c>
      <c r="F1630" t="s">
        <v>18</v>
      </c>
      <c r="G1630" t="s">
        <v>63</v>
      </c>
      <c r="H1630">
        <v>164</v>
      </c>
      <c r="I1630">
        <v>40</v>
      </c>
      <c r="J1630">
        <v>50</v>
      </c>
      <c r="K1630" t="s">
        <v>36</v>
      </c>
      <c r="L1630">
        <v>40</v>
      </c>
      <c r="M1630" t="s">
        <v>21</v>
      </c>
    </row>
    <row r="1631" spans="1:13" x14ac:dyDescent="0.35">
      <c r="A1631" t="s">
        <v>2390</v>
      </c>
      <c r="B1631" t="s">
        <v>102</v>
      </c>
      <c r="C1631" t="s">
        <v>24</v>
      </c>
      <c r="D1631" t="s">
        <v>25</v>
      </c>
      <c r="E1631" t="s">
        <v>26</v>
      </c>
      <c r="F1631" t="s">
        <v>27</v>
      </c>
      <c r="G1631" t="s">
        <v>176</v>
      </c>
      <c r="H1631">
        <v>387</v>
      </c>
      <c r="I1631">
        <v>20</v>
      </c>
      <c r="J1631">
        <v>50</v>
      </c>
      <c r="K1631" t="s">
        <v>36</v>
      </c>
      <c r="L1631">
        <v>40</v>
      </c>
      <c r="M1631" t="s">
        <v>21</v>
      </c>
    </row>
    <row r="1632" spans="1:13" x14ac:dyDescent="0.35">
      <c r="A1632" t="s">
        <v>2391</v>
      </c>
      <c r="B1632" t="s">
        <v>207</v>
      </c>
      <c r="C1632" t="s">
        <v>1846</v>
      </c>
      <c r="D1632" t="s">
        <v>40</v>
      </c>
      <c r="E1632" t="s">
        <v>111</v>
      </c>
      <c r="F1632" t="s">
        <v>18</v>
      </c>
      <c r="G1632" t="s">
        <v>28</v>
      </c>
      <c r="H1632">
        <v>366</v>
      </c>
      <c r="I1632">
        <v>30</v>
      </c>
      <c r="J1632">
        <v>30</v>
      </c>
      <c r="K1632" t="s">
        <v>29</v>
      </c>
      <c r="L1632">
        <v>33</v>
      </c>
      <c r="M1632" t="s">
        <v>30</v>
      </c>
    </row>
    <row r="1633" spans="1:13" x14ac:dyDescent="0.35">
      <c r="A1633" t="s">
        <v>2392</v>
      </c>
      <c r="B1633" t="s">
        <v>174</v>
      </c>
      <c r="C1633" t="s">
        <v>1006</v>
      </c>
      <c r="D1633" t="s">
        <v>25</v>
      </c>
      <c r="E1633" t="s">
        <v>26</v>
      </c>
      <c r="F1633" t="s">
        <v>27</v>
      </c>
      <c r="G1633" t="s">
        <v>49</v>
      </c>
      <c r="H1633">
        <v>341</v>
      </c>
      <c r="I1633">
        <v>30</v>
      </c>
      <c r="J1633">
        <v>100</v>
      </c>
      <c r="K1633" t="s">
        <v>29</v>
      </c>
      <c r="L1633">
        <v>52</v>
      </c>
      <c r="M1633" t="s">
        <v>21</v>
      </c>
    </row>
    <row r="1634" spans="1:13" x14ac:dyDescent="0.35">
      <c r="A1634" t="s">
        <v>2393</v>
      </c>
      <c r="B1634" t="s">
        <v>218</v>
      </c>
      <c r="C1634" t="s">
        <v>1133</v>
      </c>
      <c r="D1634" t="s">
        <v>25</v>
      </c>
      <c r="E1634" t="s">
        <v>34</v>
      </c>
      <c r="F1634" t="s">
        <v>27</v>
      </c>
      <c r="G1634" t="s">
        <v>49</v>
      </c>
      <c r="H1634">
        <v>280</v>
      </c>
      <c r="I1634">
        <v>50</v>
      </c>
      <c r="J1634">
        <v>0</v>
      </c>
      <c r="K1634" t="s">
        <v>36</v>
      </c>
      <c r="L1634">
        <v>58</v>
      </c>
      <c r="M1634" t="s">
        <v>21</v>
      </c>
    </row>
    <row r="1635" spans="1:13" x14ac:dyDescent="0.35">
      <c r="A1635" t="s">
        <v>2394</v>
      </c>
      <c r="B1635" t="s">
        <v>87</v>
      </c>
      <c r="C1635" t="s">
        <v>1141</v>
      </c>
      <c r="D1635" t="s">
        <v>16</v>
      </c>
      <c r="E1635" t="s">
        <v>17</v>
      </c>
      <c r="F1635" t="s">
        <v>18</v>
      </c>
      <c r="G1635" t="s">
        <v>59</v>
      </c>
      <c r="H1635">
        <v>280</v>
      </c>
      <c r="I1635">
        <v>30</v>
      </c>
      <c r="J1635">
        <v>0</v>
      </c>
      <c r="K1635" t="s">
        <v>36</v>
      </c>
      <c r="L1635">
        <v>35</v>
      </c>
      <c r="M1635" t="s">
        <v>21</v>
      </c>
    </row>
    <row r="1636" spans="1:13" x14ac:dyDescent="0.35">
      <c r="A1636" t="s">
        <v>2395</v>
      </c>
      <c r="B1636" t="s">
        <v>213</v>
      </c>
      <c r="C1636" t="s">
        <v>1247</v>
      </c>
      <c r="D1636" t="s">
        <v>40</v>
      </c>
      <c r="E1636" t="s">
        <v>67</v>
      </c>
      <c r="F1636" t="s">
        <v>48</v>
      </c>
      <c r="G1636" t="s">
        <v>63</v>
      </c>
      <c r="H1636">
        <v>153</v>
      </c>
      <c r="I1636">
        <v>50</v>
      </c>
      <c r="J1636">
        <v>30</v>
      </c>
      <c r="K1636" t="s">
        <v>20</v>
      </c>
      <c r="L1636">
        <v>55</v>
      </c>
      <c r="M1636" t="s">
        <v>21</v>
      </c>
    </row>
    <row r="1637" spans="1:13" x14ac:dyDescent="0.35">
      <c r="A1637" t="s">
        <v>2396</v>
      </c>
      <c r="B1637" t="s">
        <v>118</v>
      </c>
      <c r="C1637" t="s">
        <v>2397</v>
      </c>
      <c r="D1637" t="s">
        <v>40</v>
      </c>
      <c r="E1637" t="s">
        <v>41</v>
      </c>
      <c r="F1637" t="s">
        <v>27</v>
      </c>
      <c r="G1637" t="s">
        <v>35</v>
      </c>
      <c r="H1637">
        <v>477</v>
      </c>
      <c r="I1637">
        <v>40</v>
      </c>
      <c r="J1637">
        <v>50</v>
      </c>
      <c r="K1637" t="s">
        <v>29</v>
      </c>
      <c r="L1637">
        <v>49</v>
      </c>
      <c r="M1637" t="s">
        <v>21</v>
      </c>
    </row>
    <row r="1638" spans="1:13" x14ac:dyDescent="0.35">
      <c r="A1638" t="s">
        <v>2398</v>
      </c>
      <c r="B1638" t="s">
        <v>297</v>
      </c>
      <c r="C1638" t="s">
        <v>956</v>
      </c>
      <c r="D1638" t="s">
        <v>40</v>
      </c>
      <c r="E1638" t="s">
        <v>111</v>
      </c>
      <c r="F1638" t="s">
        <v>18</v>
      </c>
      <c r="G1638" t="s">
        <v>49</v>
      </c>
      <c r="H1638">
        <v>520</v>
      </c>
      <c r="I1638">
        <v>40</v>
      </c>
      <c r="J1638">
        <v>20</v>
      </c>
      <c r="K1638" t="s">
        <v>20</v>
      </c>
      <c r="L1638">
        <v>23</v>
      </c>
      <c r="M1638" t="s">
        <v>21</v>
      </c>
    </row>
    <row r="1639" spans="1:13" x14ac:dyDescent="0.35">
      <c r="A1639" t="s">
        <v>2399</v>
      </c>
      <c r="B1639" t="s">
        <v>252</v>
      </c>
      <c r="C1639" t="s">
        <v>1563</v>
      </c>
      <c r="D1639" t="s">
        <v>25</v>
      </c>
      <c r="E1639" t="s">
        <v>26</v>
      </c>
      <c r="F1639" t="s">
        <v>27</v>
      </c>
      <c r="G1639" t="s">
        <v>35</v>
      </c>
      <c r="H1639">
        <v>267</v>
      </c>
      <c r="I1639">
        <v>20</v>
      </c>
      <c r="J1639">
        <v>30</v>
      </c>
      <c r="K1639" t="s">
        <v>20</v>
      </c>
      <c r="L1639">
        <v>55</v>
      </c>
      <c r="M1639" t="s">
        <v>21</v>
      </c>
    </row>
    <row r="1640" spans="1:13" x14ac:dyDescent="0.35">
      <c r="A1640" t="s">
        <v>2400</v>
      </c>
      <c r="B1640" t="s">
        <v>51</v>
      </c>
      <c r="C1640" t="s">
        <v>1370</v>
      </c>
      <c r="D1640" t="s">
        <v>53</v>
      </c>
      <c r="E1640" t="s">
        <v>54</v>
      </c>
      <c r="F1640" t="s">
        <v>55</v>
      </c>
      <c r="G1640" t="s">
        <v>49</v>
      </c>
      <c r="H1640">
        <v>241</v>
      </c>
      <c r="I1640">
        <v>40</v>
      </c>
      <c r="J1640">
        <v>50</v>
      </c>
      <c r="K1640" t="s">
        <v>36</v>
      </c>
      <c r="L1640">
        <v>23</v>
      </c>
      <c r="M1640" t="s">
        <v>21</v>
      </c>
    </row>
    <row r="1641" spans="1:13" x14ac:dyDescent="0.35">
      <c r="A1641" t="s">
        <v>2401</v>
      </c>
      <c r="B1641" t="s">
        <v>286</v>
      </c>
      <c r="C1641" t="s">
        <v>1152</v>
      </c>
      <c r="D1641" t="s">
        <v>40</v>
      </c>
      <c r="E1641" t="s">
        <v>67</v>
      </c>
      <c r="F1641" t="s">
        <v>48</v>
      </c>
      <c r="G1641" t="s">
        <v>28</v>
      </c>
      <c r="H1641">
        <v>395</v>
      </c>
      <c r="I1641">
        <v>50</v>
      </c>
      <c r="J1641">
        <v>100</v>
      </c>
      <c r="K1641" t="s">
        <v>20</v>
      </c>
      <c r="L1641">
        <v>31</v>
      </c>
      <c r="M1641" t="s">
        <v>21</v>
      </c>
    </row>
    <row r="1642" spans="1:13" x14ac:dyDescent="0.35">
      <c r="A1642" t="s">
        <v>2402</v>
      </c>
      <c r="B1642" t="s">
        <v>121</v>
      </c>
      <c r="C1642" t="s">
        <v>184</v>
      </c>
      <c r="D1642" t="s">
        <v>25</v>
      </c>
      <c r="E1642" t="s">
        <v>26</v>
      </c>
      <c r="F1642" t="s">
        <v>27</v>
      </c>
      <c r="G1642" t="s">
        <v>49</v>
      </c>
      <c r="H1642">
        <v>684</v>
      </c>
      <c r="I1642">
        <v>20</v>
      </c>
      <c r="J1642">
        <v>30</v>
      </c>
      <c r="K1642" t="s">
        <v>29</v>
      </c>
      <c r="L1642">
        <v>53</v>
      </c>
      <c r="M1642" t="s">
        <v>21</v>
      </c>
    </row>
    <row r="1643" spans="1:13" x14ac:dyDescent="0.35">
      <c r="A1643" t="s">
        <v>2403</v>
      </c>
      <c r="B1643" t="s">
        <v>273</v>
      </c>
      <c r="C1643" t="s">
        <v>2404</v>
      </c>
      <c r="D1643" t="s">
        <v>40</v>
      </c>
      <c r="E1643" t="s">
        <v>67</v>
      </c>
      <c r="F1643" t="s">
        <v>48</v>
      </c>
      <c r="G1643" t="s">
        <v>28</v>
      </c>
      <c r="H1643">
        <v>487</v>
      </c>
      <c r="I1643">
        <v>20</v>
      </c>
      <c r="J1643">
        <v>50</v>
      </c>
      <c r="K1643" t="s">
        <v>36</v>
      </c>
      <c r="L1643">
        <v>33</v>
      </c>
      <c r="M1643" t="s">
        <v>21</v>
      </c>
    </row>
    <row r="1644" spans="1:13" x14ac:dyDescent="0.35">
      <c r="A1644" t="s">
        <v>2405</v>
      </c>
      <c r="B1644" t="s">
        <v>454</v>
      </c>
      <c r="C1644" t="s">
        <v>110</v>
      </c>
      <c r="D1644" t="s">
        <v>25</v>
      </c>
      <c r="E1644" t="s">
        <v>26</v>
      </c>
      <c r="F1644" t="s">
        <v>27</v>
      </c>
      <c r="G1644" t="s">
        <v>42</v>
      </c>
      <c r="H1644">
        <v>472</v>
      </c>
      <c r="I1644">
        <v>30</v>
      </c>
      <c r="J1644">
        <v>30</v>
      </c>
      <c r="K1644" t="s">
        <v>20</v>
      </c>
      <c r="L1644">
        <v>22</v>
      </c>
      <c r="M1644" t="s">
        <v>21</v>
      </c>
    </row>
    <row r="1645" spans="1:13" x14ac:dyDescent="0.35">
      <c r="A1645" t="s">
        <v>2406</v>
      </c>
      <c r="B1645" t="s">
        <v>454</v>
      </c>
      <c r="C1645" t="s">
        <v>353</v>
      </c>
      <c r="D1645" t="s">
        <v>53</v>
      </c>
      <c r="E1645" t="s">
        <v>84</v>
      </c>
      <c r="F1645" t="s">
        <v>85</v>
      </c>
      <c r="G1645" t="s">
        <v>176</v>
      </c>
      <c r="H1645">
        <v>559</v>
      </c>
      <c r="I1645">
        <v>30</v>
      </c>
      <c r="J1645">
        <v>100</v>
      </c>
      <c r="K1645" t="s">
        <v>20</v>
      </c>
      <c r="L1645">
        <v>42</v>
      </c>
      <c r="M1645" t="s">
        <v>21</v>
      </c>
    </row>
    <row r="1646" spans="1:13" x14ac:dyDescent="0.35">
      <c r="A1646" t="s">
        <v>2407</v>
      </c>
      <c r="B1646" t="s">
        <v>241</v>
      </c>
      <c r="C1646" t="s">
        <v>1537</v>
      </c>
      <c r="D1646" t="s">
        <v>40</v>
      </c>
      <c r="E1646" t="s">
        <v>111</v>
      </c>
      <c r="F1646" t="s">
        <v>18</v>
      </c>
      <c r="G1646" t="s">
        <v>42</v>
      </c>
      <c r="H1646">
        <v>304</v>
      </c>
      <c r="I1646">
        <v>50</v>
      </c>
      <c r="J1646">
        <v>0</v>
      </c>
      <c r="K1646" t="s">
        <v>36</v>
      </c>
      <c r="L1646">
        <v>44</v>
      </c>
      <c r="M1646" t="s">
        <v>21</v>
      </c>
    </row>
    <row r="1647" spans="1:13" x14ac:dyDescent="0.35">
      <c r="A1647" t="s">
        <v>2408</v>
      </c>
      <c r="B1647" t="s">
        <v>38</v>
      </c>
      <c r="C1647" t="s">
        <v>1624</v>
      </c>
      <c r="D1647" t="s">
        <v>25</v>
      </c>
      <c r="E1647" t="s">
        <v>34</v>
      </c>
      <c r="F1647" t="s">
        <v>27</v>
      </c>
      <c r="G1647" t="s">
        <v>107</v>
      </c>
      <c r="H1647">
        <v>614</v>
      </c>
      <c r="I1647">
        <v>40</v>
      </c>
      <c r="J1647">
        <v>50</v>
      </c>
      <c r="K1647" t="s">
        <v>20</v>
      </c>
      <c r="L1647">
        <v>52</v>
      </c>
      <c r="M1647" t="s">
        <v>30</v>
      </c>
    </row>
    <row r="1648" spans="1:13" x14ac:dyDescent="0.35">
      <c r="A1648" t="s">
        <v>2409</v>
      </c>
      <c r="B1648" t="s">
        <v>541</v>
      </c>
      <c r="C1648" t="s">
        <v>1081</v>
      </c>
      <c r="D1648" t="s">
        <v>25</v>
      </c>
      <c r="E1648" t="s">
        <v>26</v>
      </c>
      <c r="F1648" t="s">
        <v>27</v>
      </c>
      <c r="G1648" t="s">
        <v>63</v>
      </c>
      <c r="H1648">
        <v>190</v>
      </c>
      <c r="I1648">
        <v>30</v>
      </c>
      <c r="J1648">
        <v>20</v>
      </c>
      <c r="K1648" t="s">
        <v>29</v>
      </c>
      <c r="L1648">
        <v>59</v>
      </c>
      <c r="M1648" t="s">
        <v>21</v>
      </c>
    </row>
    <row r="1649" spans="1:13" x14ac:dyDescent="0.35">
      <c r="A1649" t="s">
        <v>2410</v>
      </c>
      <c r="B1649" t="s">
        <v>297</v>
      </c>
      <c r="C1649" t="s">
        <v>1344</v>
      </c>
      <c r="D1649" t="s">
        <v>46</v>
      </c>
      <c r="E1649" t="s">
        <v>148</v>
      </c>
      <c r="F1649" t="s">
        <v>27</v>
      </c>
      <c r="G1649" t="s">
        <v>107</v>
      </c>
      <c r="H1649">
        <v>410</v>
      </c>
      <c r="I1649">
        <v>40</v>
      </c>
      <c r="J1649">
        <v>20</v>
      </c>
      <c r="K1649" t="s">
        <v>36</v>
      </c>
      <c r="L1649">
        <v>55</v>
      </c>
      <c r="M1649" t="s">
        <v>21</v>
      </c>
    </row>
    <row r="1650" spans="1:13" x14ac:dyDescent="0.35">
      <c r="A1650" t="s">
        <v>2411</v>
      </c>
      <c r="B1650" t="s">
        <v>413</v>
      </c>
      <c r="C1650" t="s">
        <v>459</v>
      </c>
      <c r="D1650" t="s">
        <v>25</v>
      </c>
      <c r="E1650" t="s">
        <v>34</v>
      </c>
      <c r="F1650" t="s">
        <v>27</v>
      </c>
      <c r="G1650" t="s">
        <v>28</v>
      </c>
      <c r="H1650">
        <v>218</v>
      </c>
      <c r="I1650">
        <v>50</v>
      </c>
      <c r="J1650">
        <v>30</v>
      </c>
      <c r="K1650" t="s">
        <v>36</v>
      </c>
      <c r="L1650">
        <v>36</v>
      </c>
      <c r="M1650" t="s">
        <v>21</v>
      </c>
    </row>
    <row r="1651" spans="1:13" x14ac:dyDescent="0.35">
      <c r="A1651" t="s">
        <v>2412</v>
      </c>
      <c r="B1651" t="s">
        <v>244</v>
      </c>
      <c r="C1651" t="s">
        <v>2124</v>
      </c>
      <c r="D1651" t="s">
        <v>46</v>
      </c>
      <c r="E1651" t="s">
        <v>70</v>
      </c>
      <c r="F1651" t="s">
        <v>18</v>
      </c>
      <c r="G1651" t="s">
        <v>176</v>
      </c>
      <c r="H1651">
        <v>235</v>
      </c>
      <c r="I1651">
        <v>40</v>
      </c>
      <c r="J1651">
        <v>20</v>
      </c>
      <c r="K1651" t="s">
        <v>36</v>
      </c>
      <c r="L1651">
        <v>22</v>
      </c>
      <c r="M1651" t="s">
        <v>21</v>
      </c>
    </row>
    <row r="1652" spans="1:13" x14ac:dyDescent="0.35">
      <c r="A1652" t="s">
        <v>2413</v>
      </c>
      <c r="B1652" t="s">
        <v>91</v>
      </c>
      <c r="C1652" t="s">
        <v>1243</v>
      </c>
      <c r="D1652" t="s">
        <v>25</v>
      </c>
      <c r="E1652" t="s">
        <v>78</v>
      </c>
      <c r="F1652" t="s">
        <v>48</v>
      </c>
      <c r="G1652" t="s">
        <v>42</v>
      </c>
      <c r="H1652">
        <v>205</v>
      </c>
      <c r="I1652">
        <v>40</v>
      </c>
      <c r="J1652">
        <v>100</v>
      </c>
      <c r="K1652" t="s">
        <v>36</v>
      </c>
      <c r="L1652">
        <v>32</v>
      </c>
      <c r="M1652" t="s">
        <v>21</v>
      </c>
    </row>
    <row r="1653" spans="1:13" x14ac:dyDescent="0.35">
      <c r="A1653" t="s">
        <v>2414</v>
      </c>
      <c r="B1653" t="s">
        <v>136</v>
      </c>
      <c r="C1653" t="s">
        <v>2357</v>
      </c>
      <c r="D1653" t="s">
        <v>16</v>
      </c>
      <c r="E1653" t="s">
        <v>89</v>
      </c>
      <c r="F1653" t="s">
        <v>18</v>
      </c>
      <c r="G1653" t="s">
        <v>59</v>
      </c>
      <c r="H1653">
        <v>362</v>
      </c>
      <c r="I1653">
        <v>30</v>
      </c>
      <c r="J1653">
        <v>0</v>
      </c>
      <c r="K1653" t="s">
        <v>29</v>
      </c>
      <c r="L1653">
        <v>31</v>
      </c>
      <c r="M1653" t="s">
        <v>21</v>
      </c>
    </row>
    <row r="1654" spans="1:13" x14ac:dyDescent="0.35">
      <c r="A1654" t="s">
        <v>2415</v>
      </c>
      <c r="B1654" t="s">
        <v>286</v>
      </c>
      <c r="C1654" t="s">
        <v>844</v>
      </c>
      <c r="D1654" t="s">
        <v>53</v>
      </c>
      <c r="E1654" t="s">
        <v>152</v>
      </c>
      <c r="F1654" t="s">
        <v>18</v>
      </c>
      <c r="G1654" t="s">
        <v>42</v>
      </c>
      <c r="H1654">
        <v>661</v>
      </c>
      <c r="I1654">
        <v>30</v>
      </c>
      <c r="J1654">
        <v>30</v>
      </c>
      <c r="K1654" t="s">
        <v>36</v>
      </c>
      <c r="L1654">
        <v>41</v>
      </c>
      <c r="M1654" t="s">
        <v>21</v>
      </c>
    </row>
    <row r="1655" spans="1:13" x14ac:dyDescent="0.35">
      <c r="A1655" t="s">
        <v>2416</v>
      </c>
      <c r="B1655" t="s">
        <v>435</v>
      </c>
      <c r="C1655" t="s">
        <v>891</v>
      </c>
      <c r="D1655" t="s">
        <v>46</v>
      </c>
      <c r="E1655" t="s">
        <v>148</v>
      </c>
      <c r="F1655" t="s">
        <v>27</v>
      </c>
      <c r="G1655" t="s">
        <v>63</v>
      </c>
      <c r="H1655">
        <v>233</v>
      </c>
      <c r="I1655">
        <v>20</v>
      </c>
      <c r="J1655">
        <v>100</v>
      </c>
      <c r="K1655" t="s">
        <v>36</v>
      </c>
      <c r="L1655">
        <v>28</v>
      </c>
      <c r="M1655" t="s">
        <v>21</v>
      </c>
    </row>
    <row r="1656" spans="1:13" x14ac:dyDescent="0.35">
      <c r="A1656" t="s">
        <v>2417</v>
      </c>
      <c r="B1656" t="s">
        <v>205</v>
      </c>
      <c r="C1656" t="s">
        <v>1669</v>
      </c>
      <c r="D1656" t="s">
        <v>16</v>
      </c>
      <c r="E1656" t="s">
        <v>89</v>
      </c>
      <c r="F1656" t="s">
        <v>18</v>
      </c>
      <c r="G1656" t="s">
        <v>107</v>
      </c>
      <c r="H1656">
        <v>168</v>
      </c>
      <c r="I1656">
        <v>40</v>
      </c>
      <c r="J1656">
        <v>50</v>
      </c>
      <c r="K1656" t="s">
        <v>36</v>
      </c>
      <c r="L1656">
        <v>26</v>
      </c>
      <c r="M1656" t="s">
        <v>21</v>
      </c>
    </row>
    <row r="1657" spans="1:13" x14ac:dyDescent="0.35">
      <c r="A1657" t="s">
        <v>2418</v>
      </c>
      <c r="B1657" t="s">
        <v>310</v>
      </c>
      <c r="C1657" t="s">
        <v>1812</v>
      </c>
      <c r="D1657" t="s">
        <v>46</v>
      </c>
      <c r="E1657" t="s">
        <v>47</v>
      </c>
      <c r="F1657" t="s">
        <v>48</v>
      </c>
      <c r="G1657" t="s">
        <v>59</v>
      </c>
      <c r="H1657">
        <v>406</v>
      </c>
      <c r="I1657">
        <v>50</v>
      </c>
      <c r="J1657">
        <v>100</v>
      </c>
      <c r="K1657" t="s">
        <v>20</v>
      </c>
      <c r="L1657">
        <v>39</v>
      </c>
      <c r="M1657" t="s">
        <v>30</v>
      </c>
    </row>
    <row r="1658" spans="1:13" x14ac:dyDescent="0.35">
      <c r="A1658" t="s">
        <v>2419</v>
      </c>
      <c r="B1658" t="s">
        <v>435</v>
      </c>
      <c r="C1658" t="s">
        <v>443</v>
      </c>
      <c r="D1658" t="s">
        <v>16</v>
      </c>
      <c r="E1658" t="s">
        <v>89</v>
      </c>
      <c r="F1658" t="s">
        <v>18</v>
      </c>
      <c r="G1658" t="s">
        <v>74</v>
      </c>
      <c r="H1658">
        <v>752</v>
      </c>
      <c r="I1658">
        <v>20</v>
      </c>
      <c r="J1658">
        <v>50</v>
      </c>
      <c r="K1658" t="s">
        <v>20</v>
      </c>
      <c r="L1658">
        <v>56</v>
      </c>
      <c r="M1658" t="s">
        <v>21</v>
      </c>
    </row>
    <row r="1659" spans="1:13" x14ac:dyDescent="0.35">
      <c r="A1659" t="s">
        <v>2420</v>
      </c>
      <c r="B1659" t="s">
        <v>454</v>
      </c>
      <c r="C1659" t="s">
        <v>1224</v>
      </c>
      <c r="D1659" t="s">
        <v>53</v>
      </c>
      <c r="E1659" t="s">
        <v>54</v>
      </c>
      <c r="F1659" t="s">
        <v>55</v>
      </c>
      <c r="G1659" t="s">
        <v>35</v>
      </c>
      <c r="H1659">
        <v>372</v>
      </c>
      <c r="I1659">
        <v>30</v>
      </c>
      <c r="J1659">
        <v>100</v>
      </c>
      <c r="K1659" t="s">
        <v>36</v>
      </c>
      <c r="L1659">
        <v>33</v>
      </c>
      <c r="M1659" t="s">
        <v>21</v>
      </c>
    </row>
    <row r="1660" spans="1:13" x14ac:dyDescent="0.35">
      <c r="A1660" t="s">
        <v>2421</v>
      </c>
      <c r="B1660" t="s">
        <v>286</v>
      </c>
      <c r="C1660" t="s">
        <v>1812</v>
      </c>
      <c r="D1660" t="s">
        <v>25</v>
      </c>
      <c r="E1660" t="s">
        <v>26</v>
      </c>
      <c r="F1660" t="s">
        <v>27</v>
      </c>
      <c r="G1660" t="s">
        <v>35</v>
      </c>
      <c r="H1660">
        <v>195</v>
      </c>
      <c r="I1660">
        <v>20</v>
      </c>
      <c r="J1660">
        <v>30</v>
      </c>
      <c r="K1660" t="s">
        <v>20</v>
      </c>
      <c r="L1660">
        <v>44</v>
      </c>
      <c r="M1660" t="s">
        <v>21</v>
      </c>
    </row>
    <row r="1661" spans="1:13" x14ac:dyDescent="0.35">
      <c r="A1661" t="s">
        <v>2422</v>
      </c>
      <c r="B1661" t="s">
        <v>295</v>
      </c>
      <c r="C1661" t="s">
        <v>840</v>
      </c>
      <c r="D1661" t="s">
        <v>46</v>
      </c>
      <c r="E1661" t="s">
        <v>47</v>
      </c>
      <c r="F1661" t="s">
        <v>48</v>
      </c>
      <c r="G1661" t="s">
        <v>74</v>
      </c>
      <c r="H1661">
        <v>643</v>
      </c>
      <c r="I1661">
        <v>30</v>
      </c>
      <c r="J1661">
        <v>50</v>
      </c>
      <c r="K1661" t="s">
        <v>29</v>
      </c>
      <c r="L1661">
        <v>41</v>
      </c>
      <c r="M1661" t="s">
        <v>21</v>
      </c>
    </row>
    <row r="1662" spans="1:13" x14ac:dyDescent="0.35">
      <c r="A1662" t="s">
        <v>2423</v>
      </c>
      <c r="B1662" t="s">
        <v>600</v>
      </c>
      <c r="C1662" t="s">
        <v>2424</v>
      </c>
      <c r="D1662" t="s">
        <v>16</v>
      </c>
      <c r="E1662" t="s">
        <v>89</v>
      </c>
      <c r="F1662" t="s">
        <v>18</v>
      </c>
      <c r="G1662" t="s">
        <v>176</v>
      </c>
      <c r="H1662">
        <v>712</v>
      </c>
      <c r="I1662">
        <v>20</v>
      </c>
      <c r="J1662">
        <v>50</v>
      </c>
      <c r="K1662" t="s">
        <v>36</v>
      </c>
      <c r="L1662">
        <v>26</v>
      </c>
      <c r="M1662" t="s">
        <v>21</v>
      </c>
    </row>
    <row r="1663" spans="1:13" x14ac:dyDescent="0.35">
      <c r="A1663" t="s">
        <v>2425</v>
      </c>
      <c r="B1663" t="s">
        <v>580</v>
      </c>
      <c r="C1663" t="s">
        <v>1507</v>
      </c>
      <c r="D1663" t="s">
        <v>16</v>
      </c>
      <c r="E1663" t="s">
        <v>89</v>
      </c>
      <c r="F1663" t="s">
        <v>18</v>
      </c>
      <c r="G1663" t="s">
        <v>176</v>
      </c>
      <c r="H1663">
        <v>175</v>
      </c>
      <c r="I1663">
        <v>40</v>
      </c>
      <c r="J1663">
        <v>20</v>
      </c>
      <c r="K1663" t="s">
        <v>29</v>
      </c>
      <c r="L1663">
        <v>47</v>
      </c>
      <c r="M1663" t="s">
        <v>21</v>
      </c>
    </row>
    <row r="1664" spans="1:13" x14ac:dyDescent="0.35">
      <c r="A1664" t="s">
        <v>2426</v>
      </c>
      <c r="B1664" t="s">
        <v>129</v>
      </c>
      <c r="C1664" t="s">
        <v>235</v>
      </c>
      <c r="D1664" t="s">
        <v>53</v>
      </c>
      <c r="E1664" t="s">
        <v>152</v>
      </c>
      <c r="F1664" t="s">
        <v>18</v>
      </c>
      <c r="G1664" t="s">
        <v>63</v>
      </c>
      <c r="H1664">
        <v>165</v>
      </c>
      <c r="I1664">
        <v>30</v>
      </c>
      <c r="J1664">
        <v>30</v>
      </c>
      <c r="K1664" t="s">
        <v>20</v>
      </c>
      <c r="L1664">
        <v>42</v>
      </c>
      <c r="M1664" t="s">
        <v>21</v>
      </c>
    </row>
    <row r="1665" spans="1:13" x14ac:dyDescent="0.35">
      <c r="A1665" t="s">
        <v>2427</v>
      </c>
      <c r="B1665" t="s">
        <v>562</v>
      </c>
      <c r="C1665" t="s">
        <v>813</v>
      </c>
      <c r="D1665" t="s">
        <v>46</v>
      </c>
      <c r="E1665" t="s">
        <v>148</v>
      </c>
      <c r="F1665" t="s">
        <v>27</v>
      </c>
      <c r="G1665" t="s">
        <v>63</v>
      </c>
      <c r="H1665">
        <v>521</v>
      </c>
      <c r="I1665">
        <v>40</v>
      </c>
      <c r="J1665">
        <v>0</v>
      </c>
      <c r="K1665" t="s">
        <v>20</v>
      </c>
      <c r="L1665">
        <v>40</v>
      </c>
      <c r="M1665" t="s">
        <v>21</v>
      </c>
    </row>
    <row r="1666" spans="1:13" x14ac:dyDescent="0.35">
      <c r="A1666" t="s">
        <v>2428</v>
      </c>
      <c r="B1666" t="s">
        <v>96</v>
      </c>
      <c r="C1666" t="s">
        <v>610</v>
      </c>
      <c r="D1666" t="s">
        <v>53</v>
      </c>
      <c r="E1666" t="s">
        <v>84</v>
      </c>
      <c r="F1666" t="s">
        <v>85</v>
      </c>
      <c r="G1666" t="s">
        <v>28</v>
      </c>
      <c r="H1666">
        <v>168</v>
      </c>
      <c r="I1666">
        <v>50</v>
      </c>
      <c r="J1666">
        <v>30</v>
      </c>
      <c r="K1666" t="s">
        <v>29</v>
      </c>
      <c r="L1666">
        <v>30</v>
      </c>
      <c r="M1666" t="s">
        <v>21</v>
      </c>
    </row>
    <row r="1667" spans="1:13" x14ac:dyDescent="0.35">
      <c r="A1667" t="s">
        <v>2429</v>
      </c>
      <c r="B1667" t="s">
        <v>118</v>
      </c>
      <c r="C1667" t="s">
        <v>1804</v>
      </c>
      <c r="D1667" t="s">
        <v>16</v>
      </c>
      <c r="E1667" t="s">
        <v>17</v>
      </c>
      <c r="F1667" t="s">
        <v>18</v>
      </c>
      <c r="G1667" t="s">
        <v>49</v>
      </c>
      <c r="H1667">
        <v>608</v>
      </c>
      <c r="I1667">
        <v>30</v>
      </c>
      <c r="J1667">
        <v>0</v>
      </c>
      <c r="K1667" t="s">
        <v>29</v>
      </c>
      <c r="L1667">
        <v>26</v>
      </c>
      <c r="M1667" t="s">
        <v>21</v>
      </c>
    </row>
    <row r="1668" spans="1:13" x14ac:dyDescent="0.35">
      <c r="A1668" t="s">
        <v>2430</v>
      </c>
      <c r="B1668" t="s">
        <v>207</v>
      </c>
      <c r="C1668" t="s">
        <v>1467</v>
      </c>
      <c r="D1668" t="s">
        <v>16</v>
      </c>
      <c r="E1668" t="s">
        <v>131</v>
      </c>
      <c r="F1668" t="s">
        <v>55</v>
      </c>
      <c r="G1668" t="s">
        <v>63</v>
      </c>
      <c r="H1668">
        <v>612</v>
      </c>
      <c r="I1668">
        <v>50</v>
      </c>
      <c r="J1668">
        <v>100</v>
      </c>
      <c r="K1668" t="s">
        <v>36</v>
      </c>
      <c r="L1668">
        <v>33</v>
      </c>
      <c r="M1668" t="s">
        <v>21</v>
      </c>
    </row>
    <row r="1669" spans="1:13" x14ac:dyDescent="0.35">
      <c r="A1669" t="s">
        <v>2431</v>
      </c>
      <c r="B1669" t="s">
        <v>38</v>
      </c>
      <c r="C1669" t="s">
        <v>854</v>
      </c>
      <c r="D1669" t="s">
        <v>25</v>
      </c>
      <c r="E1669" t="s">
        <v>26</v>
      </c>
      <c r="F1669" t="s">
        <v>27</v>
      </c>
      <c r="G1669" t="s">
        <v>74</v>
      </c>
      <c r="H1669">
        <v>371</v>
      </c>
      <c r="I1669">
        <v>40</v>
      </c>
      <c r="J1669">
        <v>50</v>
      </c>
      <c r="K1669" t="s">
        <v>36</v>
      </c>
      <c r="L1669">
        <v>27</v>
      </c>
      <c r="M1669" t="s">
        <v>21</v>
      </c>
    </row>
    <row r="1670" spans="1:13" x14ac:dyDescent="0.35">
      <c r="A1670" t="s">
        <v>2432</v>
      </c>
      <c r="B1670" t="s">
        <v>600</v>
      </c>
      <c r="C1670" t="s">
        <v>1396</v>
      </c>
      <c r="D1670" t="s">
        <v>25</v>
      </c>
      <c r="E1670" t="s">
        <v>34</v>
      </c>
      <c r="F1670" t="s">
        <v>27</v>
      </c>
      <c r="G1670" t="s">
        <v>35</v>
      </c>
      <c r="H1670">
        <v>721</v>
      </c>
      <c r="I1670">
        <v>50</v>
      </c>
      <c r="J1670">
        <v>30</v>
      </c>
      <c r="K1670" t="s">
        <v>29</v>
      </c>
      <c r="L1670">
        <v>53</v>
      </c>
      <c r="M1670" t="s">
        <v>21</v>
      </c>
    </row>
    <row r="1671" spans="1:13" x14ac:dyDescent="0.35">
      <c r="A1671" t="s">
        <v>2433</v>
      </c>
      <c r="B1671" t="s">
        <v>96</v>
      </c>
      <c r="C1671" t="s">
        <v>1866</v>
      </c>
      <c r="D1671" t="s">
        <v>40</v>
      </c>
      <c r="E1671" t="s">
        <v>41</v>
      </c>
      <c r="F1671" t="s">
        <v>27</v>
      </c>
      <c r="G1671" t="s">
        <v>49</v>
      </c>
      <c r="H1671">
        <v>470</v>
      </c>
      <c r="I1671">
        <v>50</v>
      </c>
      <c r="J1671">
        <v>50</v>
      </c>
      <c r="K1671" t="s">
        <v>29</v>
      </c>
      <c r="L1671">
        <v>22</v>
      </c>
      <c r="M1671" t="s">
        <v>21</v>
      </c>
    </row>
    <row r="1672" spans="1:13" x14ac:dyDescent="0.35">
      <c r="A1672" t="s">
        <v>2434</v>
      </c>
      <c r="B1672" t="s">
        <v>513</v>
      </c>
      <c r="C1672" t="s">
        <v>503</v>
      </c>
      <c r="D1672" t="s">
        <v>16</v>
      </c>
      <c r="E1672" t="s">
        <v>89</v>
      </c>
      <c r="F1672" t="s">
        <v>18</v>
      </c>
      <c r="G1672" t="s">
        <v>19</v>
      </c>
      <c r="H1672">
        <v>245</v>
      </c>
      <c r="I1672">
        <v>40</v>
      </c>
      <c r="J1672">
        <v>20</v>
      </c>
      <c r="K1672" t="s">
        <v>36</v>
      </c>
      <c r="L1672">
        <v>24</v>
      </c>
      <c r="M1672" t="s">
        <v>21</v>
      </c>
    </row>
    <row r="1673" spans="1:13" x14ac:dyDescent="0.35">
      <c r="A1673" t="s">
        <v>2435</v>
      </c>
      <c r="B1673" t="s">
        <v>178</v>
      </c>
      <c r="C1673" t="s">
        <v>1931</v>
      </c>
      <c r="D1673" t="s">
        <v>46</v>
      </c>
      <c r="E1673" t="s">
        <v>70</v>
      </c>
      <c r="F1673" t="s">
        <v>18</v>
      </c>
      <c r="G1673" t="s">
        <v>42</v>
      </c>
      <c r="H1673">
        <v>356</v>
      </c>
      <c r="I1673">
        <v>50</v>
      </c>
      <c r="J1673">
        <v>0</v>
      </c>
      <c r="K1673" t="s">
        <v>20</v>
      </c>
      <c r="L1673">
        <v>53</v>
      </c>
      <c r="M1673" t="s">
        <v>21</v>
      </c>
    </row>
    <row r="1674" spans="1:13" x14ac:dyDescent="0.35">
      <c r="A1674" t="s">
        <v>2436</v>
      </c>
      <c r="B1674" t="s">
        <v>365</v>
      </c>
      <c r="C1674" t="s">
        <v>2261</v>
      </c>
      <c r="D1674" t="s">
        <v>46</v>
      </c>
      <c r="E1674" t="s">
        <v>47</v>
      </c>
      <c r="F1674" t="s">
        <v>48</v>
      </c>
      <c r="G1674" t="s">
        <v>59</v>
      </c>
      <c r="H1674">
        <v>640</v>
      </c>
      <c r="I1674">
        <v>20</v>
      </c>
      <c r="J1674">
        <v>50</v>
      </c>
      <c r="K1674" t="s">
        <v>36</v>
      </c>
      <c r="L1674">
        <v>40</v>
      </c>
      <c r="M1674" t="s">
        <v>21</v>
      </c>
    </row>
    <row r="1675" spans="1:13" x14ac:dyDescent="0.35">
      <c r="A1675" t="s">
        <v>2437</v>
      </c>
      <c r="B1675" t="s">
        <v>174</v>
      </c>
      <c r="C1675" t="s">
        <v>1012</v>
      </c>
      <c r="D1675" t="s">
        <v>53</v>
      </c>
      <c r="E1675" t="s">
        <v>84</v>
      </c>
      <c r="F1675" t="s">
        <v>85</v>
      </c>
      <c r="G1675" t="s">
        <v>59</v>
      </c>
      <c r="H1675">
        <v>471</v>
      </c>
      <c r="I1675">
        <v>40</v>
      </c>
      <c r="J1675">
        <v>50</v>
      </c>
      <c r="K1675" t="s">
        <v>20</v>
      </c>
      <c r="L1675">
        <v>38</v>
      </c>
      <c r="M1675" t="s">
        <v>21</v>
      </c>
    </row>
    <row r="1676" spans="1:13" x14ac:dyDescent="0.35">
      <c r="A1676" t="s">
        <v>2438</v>
      </c>
      <c r="B1676" t="s">
        <v>102</v>
      </c>
      <c r="C1676" t="s">
        <v>2107</v>
      </c>
      <c r="D1676" t="s">
        <v>40</v>
      </c>
      <c r="E1676" t="s">
        <v>67</v>
      </c>
      <c r="F1676" t="s">
        <v>48</v>
      </c>
      <c r="G1676" t="s">
        <v>42</v>
      </c>
      <c r="H1676">
        <v>153</v>
      </c>
      <c r="I1676">
        <v>20</v>
      </c>
      <c r="J1676">
        <v>0</v>
      </c>
      <c r="K1676" t="s">
        <v>29</v>
      </c>
      <c r="L1676">
        <v>22</v>
      </c>
      <c r="M1676" t="s">
        <v>21</v>
      </c>
    </row>
    <row r="1677" spans="1:13" x14ac:dyDescent="0.35">
      <c r="A1677" t="s">
        <v>2439</v>
      </c>
      <c r="B1677" t="s">
        <v>379</v>
      </c>
      <c r="C1677" t="s">
        <v>301</v>
      </c>
      <c r="D1677" t="s">
        <v>40</v>
      </c>
      <c r="E1677" t="s">
        <v>111</v>
      </c>
      <c r="F1677" t="s">
        <v>18</v>
      </c>
      <c r="G1677" t="s">
        <v>35</v>
      </c>
      <c r="H1677">
        <v>514</v>
      </c>
      <c r="I1677">
        <v>40</v>
      </c>
      <c r="J1677">
        <v>20</v>
      </c>
      <c r="K1677" t="s">
        <v>20</v>
      </c>
      <c r="L1677">
        <v>33</v>
      </c>
      <c r="M1677" t="s">
        <v>21</v>
      </c>
    </row>
    <row r="1678" spans="1:13" x14ac:dyDescent="0.35">
      <c r="A1678" t="s">
        <v>2440</v>
      </c>
      <c r="B1678" t="s">
        <v>305</v>
      </c>
      <c r="C1678" t="s">
        <v>2441</v>
      </c>
      <c r="D1678" t="s">
        <v>25</v>
      </c>
      <c r="E1678" t="s">
        <v>26</v>
      </c>
      <c r="F1678" t="s">
        <v>27</v>
      </c>
      <c r="G1678" t="s">
        <v>35</v>
      </c>
      <c r="H1678">
        <v>498</v>
      </c>
      <c r="I1678">
        <v>40</v>
      </c>
      <c r="J1678">
        <v>30</v>
      </c>
      <c r="K1678" t="s">
        <v>29</v>
      </c>
      <c r="L1678">
        <v>23</v>
      </c>
      <c r="M1678" t="s">
        <v>21</v>
      </c>
    </row>
    <row r="1679" spans="1:13" x14ac:dyDescent="0.35">
      <c r="A1679" t="s">
        <v>2442</v>
      </c>
      <c r="B1679" t="s">
        <v>109</v>
      </c>
      <c r="C1679" t="s">
        <v>122</v>
      </c>
      <c r="D1679" t="s">
        <v>40</v>
      </c>
      <c r="E1679" t="s">
        <v>67</v>
      </c>
      <c r="F1679" t="s">
        <v>48</v>
      </c>
      <c r="G1679" t="s">
        <v>42</v>
      </c>
      <c r="H1679">
        <v>740</v>
      </c>
      <c r="I1679">
        <v>50</v>
      </c>
      <c r="J1679">
        <v>0</v>
      </c>
      <c r="K1679" t="s">
        <v>29</v>
      </c>
      <c r="L1679">
        <v>47</v>
      </c>
      <c r="M1679" t="s">
        <v>21</v>
      </c>
    </row>
    <row r="1680" spans="1:13" x14ac:dyDescent="0.35">
      <c r="A1680" t="s">
        <v>2443</v>
      </c>
      <c r="B1680" t="s">
        <v>205</v>
      </c>
      <c r="C1680" t="s">
        <v>2444</v>
      </c>
      <c r="D1680" t="s">
        <v>16</v>
      </c>
      <c r="E1680" t="s">
        <v>89</v>
      </c>
      <c r="F1680" t="s">
        <v>18</v>
      </c>
      <c r="G1680" t="s">
        <v>176</v>
      </c>
      <c r="H1680">
        <v>709</v>
      </c>
      <c r="I1680">
        <v>50</v>
      </c>
      <c r="J1680">
        <v>30</v>
      </c>
      <c r="K1680" t="s">
        <v>29</v>
      </c>
      <c r="L1680">
        <v>40</v>
      </c>
      <c r="M1680" t="s">
        <v>30</v>
      </c>
    </row>
    <row r="1681" spans="1:13" x14ac:dyDescent="0.35">
      <c r="A1681" t="s">
        <v>2445</v>
      </c>
      <c r="B1681" t="s">
        <v>51</v>
      </c>
      <c r="C1681" t="s">
        <v>2446</v>
      </c>
      <c r="D1681" t="s">
        <v>25</v>
      </c>
      <c r="E1681" t="s">
        <v>78</v>
      </c>
      <c r="F1681" t="s">
        <v>48</v>
      </c>
      <c r="G1681" t="s">
        <v>59</v>
      </c>
      <c r="H1681">
        <v>340</v>
      </c>
      <c r="I1681">
        <v>30</v>
      </c>
      <c r="J1681">
        <v>30</v>
      </c>
      <c r="K1681" t="s">
        <v>36</v>
      </c>
      <c r="L1681">
        <v>52</v>
      </c>
      <c r="M1681" t="s">
        <v>30</v>
      </c>
    </row>
    <row r="1682" spans="1:13" x14ac:dyDescent="0.35">
      <c r="A1682" t="s">
        <v>2447</v>
      </c>
      <c r="B1682" t="s">
        <v>473</v>
      </c>
      <c r="C1682" t="s">
        <v>759</v>
      </c>
      <c r="D1682" t="s">
        <v>53</v>
      </c>
      <c r="E1682" t="s">
        <v>54</v>
      </c>
      <c r="F1682" t="s">
        <v>55</v>
      </c>
      <c r="G1682" t="s">
        <v>49</v>
      </c>
      <c r="H1682">
        <v>327</v>
      </c>
      <c r="I1682">
        <v>20</v>
      </c>
      <c r="J1682">
        <v>100</v>
      </c>
      <c r="K1682" t="s">
        <v>29</v>
      </c>
      <c r="L1682">
        <v>33</v>
      </c>
      <c r="M1682" t="s">
        <v>21</v>
      </c>
    </row>
    <row r="1683" spans="1:13" x14ac:dyDescent="0.35">
      <c r="A1683" t="s">
        <v>2448</v>
      </c>
      <c r="B1683" t="s">
        <v>129</v>
      </c>
      <c r="C1683" t="s">
        <v>2404</v>
      </c>
      <c r="D1683" t="s">
        <v>25</v>
      </c>
      <c r="E1683" t="s">
        <v>78</v>
      </c>
      <c r="F1683" t="s">
        <v>48</v>
      </c>
      <c r="G1683" t="s">
        <v>74</v>
      </c>
      <c r="H1683">
        <v>737</v>
      </c>
      <c r="I1683">
        <v>50</v>
      </c>
      <c r="J1683">
        <v>100</v>
      </c>
      <c r="K1683" t="s">
        <v>20</v>
      </c>
      <c r="L1683">
        <v>38</v>
      </c>
      <c r="M1683" t="s">
        <v>21</v>
      </c>
    </row>
    <row r="1684" spans="1:13" x14ac:dyDescent="0.35">
      <c r="A1684" t="s">
        <v>2449</v>
      </c>
      <c r="B1684" t="s">
        <v>413</v>
      </c>
      <c r="C1684" t="s">
        <v>650</v>
      </c>
      <c r="D1684" t="s">
        <v>16</v>
      </c>
      <c r="E1684" t="s">
        <v>131</v>
      </c>
      <c r="F1684" t="s">
        <v>55</v>
      </c>
      <c r="G1684" t="s">
        <v>176</v>
      </c>
      <c r="H1684">
        <v>607</v>
      </c>
      <c r="I1684">
        <v>30</v>
      </c>
      <c r="J1684">
        <v>50</v>
      </c>
      <c r="K1684" t="s">
        <v>29</v>
      </c>
      <c r="L1684">
        <v>31</v>
      </c>
      <c r="M1684" t="s">
        <v>21</v>
      </c>
    </row>
    <row r="1685" spans="1:13" x14ac:dyDescent="0.35">
      <c r="A1685" t="s">
        <v>2450</v>
      </c>
      <c r="B1685" t="s">
        <v>213</v>
      </c>
      <c r="C1685" t="s">
        <v>646</v>
      </c>
      <c r="D1685" t="s">
        <v>53</v>
      </c>
      <c r="E1685" t="s">
        <v>152</v>
      </c>
      <c r="F1685" t="s">
        <v>18</v>
      </c>
      <c r="G1685" t="s">
        <v>74</v>
      </c>
      <c r="H1685">
        <v>345</v>
      </c>
      <c r="I1685">
        <v>30</v>
      </c>
      <c r="J1685">
        <v>30</v>
      </c>
      <c r="K1685" t="s">
        <v>29</v>
      </c>
      <c r="L1685">
        <v>53</v>
      </c>
      <c r="M1685" t="s">
        <v>30</v>
      </c>
    </row>
    <row r="1686" spans="1:13" x14ac:dyDescent="0.35">
      <c r="A1686" t="s">
        <v>2451</v>
      </c>
      <c r="B1686" t="s">
        <v>454</v>
      </c>
      <c r="C1686" t="s">
        <v>1073</v>
      </c>
      <c r="D1686" t="s">
        <v>40</v>
      </c>
      <c r="E1686" t="s">
        <v>67</v>
      </c>
      <c r="F1686" t="s">
        <v>48</v>
      </c>
      <c r="G1686" t="s">
        <v>63</v>
      </c>
      <c r="H1686">
        <v>347</v>
      </c>
      <c r="I1686">
        <v>40</v>
      </c>
      <c r="J1686">
        <v>100</v>
      </c>
      <c r="K1686" t="s">
        <v>20</v>
      </c>
      <c r="L1686">
        <v>52</v>
      </c>
      <c r="M1686" t="s">
        <v>21</v>
      </c>
    </row>
    <row r="1687" spans="1:13" x14ac:dyDescent="0.35">
      <c r="A1687" t="s">
        <v>2452</v>
      </c>
      <c r="B1687" t="s">
        <v>300</v>
      </c>
      <c r="C1687" t="s">
        <v>427</v>
      </c>
      <c r="D1687" t="s">
        <v>53</v>
      </c>
      <c r="E1687" t="s">
        <v>152</v>
      </c>
      <c r="F1687" t="s">
        <v>18</v>
      </c>
      <c r="G1687" t="s">
        <v>59</v>
      </c>
      <c r="H1687">
        <v>734</v>
      </c>
      <c r="I1687">
        <v>50</v>
      </c>
      <c r="J1687">
        <v>100</v>
      </c>
      <c r="K1687" t="s">
        <v>29</v>
      </c>
      <c r="L1687">
        <v>47</v>
      </c>
      <c r="M1687" t="s">
        <v>21</v>
      </c>
    </row>
    <row r="1688" spans="1:13" x14ac:dyDescent="0.35">
      <c r="A1688" t="s">
        <v>2453</v>
      </c>
      <c r="B1688" t="s">
        <v>99</v>
      </c>
      <c r="C1688" t="s">
        <v>806</v>
      </c>
      <c r="D1688" t="s">
        <v>16</v>
      </c>
      <c r="E1688" t="s">
        <v>17</v>
      </c>
      <c r="F1688" t="s">
        <v>18</v>
      </c>
      <c r="G1688" t="s">
        <v>19</v>
      </c>
      <c r="H1688">
        <v>462</v>
      </c>
      <c r="I1688">
        <v>40</v>
      </c>
      <c r="J1688">
        <v>20</v>
      </c>
      <c r="K1688" t="s">
        <v>20</v>
      </c>
      <c r="L1688">
        <v>58</v>
      </c>
      <c r="M1688" t="s">
        <v>21</v>
      </c>
    </row>
    <row r="1689" spans="1:13" x14ac:dyDescent="0.35">
      <c r="A1689" t="s">
        <v>2454</v>
      </c>
      <c r="B1689" t="s">
        <v>297</v>
      </c>
      <c r="C1689" t="s">
        <v>2094</v>
      </c>
      <c r="D1689" t="s">
        <v>16</v>
      </c>
      <c r="E1689" t="s">
        <v>17</v>
      </c>
      <c r="F1689" t="s">
        <v>18</v>
      </c>
      <c r="G1689" t="s">
        <v>59</v>
      </c>
      <c r="H1689">
        <v>762</v>
      </c>
      <c r="I1689">
        <v>50</v>
      </c>
      <c r="J1689">
        <v>0</v>
      </c>
      <c r="K1689" t="s">
        <v>20</v>
      </c>
      <c r="L1689">
        <v>42</v>
      </c>
      <c r="M1689" t="s">
        <v>21</v>
      </c>
    </row>
    <row r="1690" spans="1:13" x14ac:dyDescent="0.35">
      <c r="A1690" t="s">
        <v>2455</v>
      </c>
      <c r="B1690" t="s">
        <v>87</v>
      </c>
      <c r="C1690" t="s">
        <v>2456</v>
      </c>
      <c r="D1690" t="s">
        <v>25</v>
      </c>
      <c r="E1690" t="s">
        <v>34</v>
      </c>
      <c r="F1690" t="s">
        <v>27</v>
      </c>
      <c r="G1690" t="s">
        <v>49</v>
      </c>
      <c r="H1690">
        <v>520</v>
      </c>
      <c r="I1690">
        <v>50</v>
      </c>
      <c r="J1690">
        <v>0</v>
      </c>
      <c r="K1690" t="s">
        <v>20</v>
      </c>
      <c r="L1690">
        <v>30</v>
      </c>
      <c r="M1690" t="s">
        <v>21</v>
      </c>
    </row>
    <row r="1691" spans="1:13" x14ac:dyDescent="0.35">
      <c r="A1691" t="s">
        <v>2457</v>
      </c>
      <c r="B1691" t="s">
        <v>51</v>
      </c>
      <c r="C1691" t="s">
        <v>1271</v>
      </c>
      <c r="D1691" t="s">
        <v>16</v>
      </c>
      <c r="E1691" t="s">
        <v>131</v>
      </c>
      <c r="F1691" t="s">
        <v>55</v>
      </c>
      <c r="G1691" t="s">
        <v>74</v>
      </c>
      <c r="H1691">
        <v>707</v>
      </c>
      <c r="I1691">
        <v>50</v>
      </c>
      <c r="J1691">
        <v>30</v>
      </c>
      <c r="K1691" t="s">
        <v>36</v>
      </c>
      <c r="L1691">
        <v>58</v>
      </c>
      <c r="M1691" t="s">
        <v>21</v>
      </c>
    </row>
    <row r="1692" spans="1:13" x14ac:dyDescent="0.35">
      <c r="A1692" t="s">
        <v>2458</v>
      </c>
      <c r="B1692" t="s">
        <v>432</v>
      </c>
      <c r="C1692" t="s">
        <v>315</v>
      </c>
      <c r="D1692" t="s">
        <v>25</v>
      </c>
      <c r="E1692" t="s">
        <v>78</v>
      </c>
      <c r="F1692" t="s">
        <v>48</v>
      </c>
      <c r="G1692" t="s">
        <v>42</v>
      </c>
      <c r="H1692">
        <v>291</v>
      </c>
      <c r="I1692">
        <v>40</v>
      </c>
      <c r="J1692">
        <v>100</v>
      </c>
      <c r="K1692" t="s">
        <v>36</v>
      </c>
      <c r="L1692">
        <v>25</v>
      </c>
      <c r="M1692" t="s">
        <v>21</v>
      </c>
    </row>
    <row r="1693" spans="1:13" x14ac:dyDescent="0.35">
      <c r="A1693" t="s">
        <v>2459</v>
      </c>
      <c r="B1693" t="s">
        <v>379</v>
      </c>
      <c r="C1693" t="s">
        <v>2460</v>
      </c>
      <c r="D1693" t="s">
        <v>40</v>
      </c>
      <c r="E1693" t="s">
        <v>41</v>
      </c>
      <c r="F1693" t="s">
        <v>27</v>
      </c>
      <c r="G1693" t="s">
        <v>19</v>
      </c>
      <c r="H1693">
        <v>168</v>
      </c>
      <c r="I1693">
        <v>20</v>
      </c>
      <c r="J1693">
        <v>100</v>
      </c>
      <c r="K1693" t="s">
        <v>29</v>
      </c>
      <c r="L1693">
        <v>21</v>
      </c>
      <c r="M1693" t="s">
        <v>30</v>
      </c>
    </row>
    <row r="1694" spans="1:13" x14ac:dyDescent="0.35">
      <c r="A1694" t="s">
        <v>2461</v>
      </c>
      <c r="B1694" t="s">
        <v>76</v>
      </c>
      <c r="C1694" t="s">
        <v>1406</v>
      </c>
      <c r="D1694" t="s">
        <v>25</v>
      </c>
      <c r="E1694" t="s">
        <v>34</v>
      </c>
      <c r="F1694" t="s">
        <v>27</v>
      </c>
      <c r="G1694" t="s">
        <v>107</v>
      </c>
      <c r="H1694">
        <v>730</v>
      </c>
      <c r="I1694">
        <v>30</v>
      </c>
      <c r="J1694">
        <v>0</v>
      </c>
      <c r="K1694" t="s">
        <v>20</v>
      </c>
      <c r="L1694">
        <v>34</v>
      </c>
      <c r="M1694" t="s">
        <v>21</v>
      </c>
    </row>
    <row r="1695" spans="1:13" x14ac:dyDescent="0.35">
      <c r="A1695" t="s">
        <v>2462</v>
      </c>
      <c r="B1695" t="s">
        <v>213</v>
      </c>
      <c r="C1695" t="s">
        <v>2083</v>
      </c>
      <c r="D1695" t="s">
        <v>25</v>
      </c>
      <c r="E1695" t="s">
        <v>34</v>
      </c>
      <c r="F1695" t="s">
        <v>27</v>
      </c>
      <c r="G1695" t="s">
        <v>107</v>
      </c>
      <c r="H1695">
        <v>733</v>
      </c>
      <c r="I1695">
        <v>20</v>
      </c>
      <c r="J1695">
        <v>100</v>
      </c>
      <c r="K1695" t="s">
        <v>36</v>
      </c>
      <c r="L1695">
        <v>21</v>
      </c>
      <c r="M1695" t="s">
        <v>21</v>
      </c>
    </row>
    <row r="1696" spans="1:13" x14ac:dyDescent="0.35">
      <c r="A1696" t="s">
        <v>2463</v>
      </c>
      <c r="B1696" t="s">
        <v>91</v>
      </c>
      <c r="C1696" t="s">
        <v>1403</v>
      </c>
      <c r="D1696" t="s">
        <v>40</v>
      </c>
      <c r="E1696" t="s">
        <v>41</v>
      </c>
      <c r="F1696" t="s">
        <v>27</v>
      </c>
      <c r="G1696" t="s">
        <v>49</v>
      </c>
      <c r="H1696">
        <v>202</v>
      </c>
      <c r="I1696">
        <v>30</v>
      </c>
      <c r="J1696">
        <v>30</v>
      </c>
      <c r="K1696" t="s">
        <v>20</v>
      </c>
      <c r="L1696">
        <v>54</v>
      </c>
      <c r="M1696" t="s">
        <v>21</v>
      </c>
    </row>
    <row r="1697" spans="1:13" x14ac:dyDescent="0.35">
      <c r="A1697" t="s">
        <v>2464</v>
      </c>
      <c r="B1697" t="s">
        <v>205</v>
      </c>
      <c r="C1697" t="s">
        <v>1453</v>
      </c>
      <c r="D1697" t="s">
        <v>16</v>
      </c>
      <c r="E1697" t="s">
        <v>17</v>
      </c>
      <c r="F1697" t="s">
        <v>18</v>
      </c>
      <c r="G1697" t="s">
        <v>49</v>
      </c>
      <c r="H1697">
        <v>416</v>
      </c>
      <c r="I1697">
        <v>20</v>
      </c>
      <c r="J1697">
        <v>30</v>
      </c>
      <c r="K1697" t="s">
        <v>29</v>
      </c>
      <c r="L1697">
        <v>21</v>
      </c>
      <c r="M1697" t="s">
        <v>30</v>
      </c>
    </row>
    <row r="1698" spans="1:13" x14ac:dyDescent="0.35">
      <c r="A1698" t="s">
        <v>2465</v>
      </c>
      <c r="B1698" t="s">
        <v>267</v>
      </c>
      <c r="C1698" t="s">
        <v>425</v>
      </c>
      <c r="D1698" t="s">
        <v>16</v>
      </c>
      <c r="E1698" t="s">
        <v>89</v>
      </c>
      <c r="F1698" t="s">
        <v>18</v>
      </c>
      <c r="G1698" t="s">
        <v>35</v>
      </c>
      <c r="H1698">
        <v>293</v>
      </c>
      <c r="I1698">
        <v>30</v>
      </c>
      <c r="J1698">
        <v>0</v>
      </c>
      <c r="K1698" t="s">
        <v>29</v>
      </c>
      <c r="L1698">
        <v>43</v>
      </c>
      <c r="M1698" t="s">
        <v>21</v>
      </c>
    </row>
    <row r="1699" spans="1:13" x14ac:dyDescent="0.35">
      <c r="A1699" t="s">
        <v>2466</v>
      </c>
      <c r="B1699" t="s">
        <v>80</v>
      </c>
      <c r="C1699" t="s">
        <v>537</v>
      </c>
      <c r="D1699" t="s">
        <v>16</v>
      </c>
      <c r="E1699" t="s">
        <v>17</v>
      </c>
      <c r="F1699" t="s">
        <v>18</v>
      </c>
      <c r="G1699" t="s">
        <v>19</v>
      </c>
      <c r="H1699">
        <v>185</v>
      </c>
      <c r="I1699">
        <v>20</v>
      </c>
      <c r="J1699">
        <v>20</v>
      </c>
      <c r="K1699" t="s">
        <v>29</v>
      </c>
      <c r="L1699">
        <v>28</v>
      </c>
      <c r="M1699" t="s">
        <v>21</v>
      </c>
    </row>
    <row r="1700" spans="1:13" x14ac:dyDescent="0.35">
      <c r="A1700" t="s">
        <v>2467</v>
      </c>
      <c r="B1700" t="s">
        <v>295</v>
      </c>
      <c r="C1700" t="s">
        <v>357</v>
      </c>
      <c r="D1700" t="s">
        <v>25</v>
      </c>
      <c r="E1700" t="s">
        <v>26</v>
      </c>
      <c r="F1700" t="s">
        <v>27</v>
      </c>
      <c r="G1700" t="s">
        <v>59</v>
      </c>
      <c r="H1700">
        <v>328</v>
      </c>
      <c r="I1700">
        <v>20</v>
      </c>
      <c r="J1700">
        <v>30</v>
      </c>
      <c r="K1700" t="s">
        <v>29</v>
      </c>
      <c r="L1700">
        <v>45</v>
      </c>
      <c r="M1700" t="s">
        <v>21</v>
      </c>
    </row>
    <row r="1701" spans="1:13" x14ac:dyDescent="0.35">
      <c r="A1701" t="s">
        <v>2468</v>
      </c>
      <c r="B1701" t="s">
        <v>541</v>
      </c>
      <c r="C1701" t="s">
        <v>784</v>
      </c>
      <c r="D1701" t="s">
        <v>46</v>
      </c>
      <c r="E1701" t="s">
        <v>148</v>
      </c>
      <c r="F1701" t="s">
        <v>27</v>
      </c>
      <c r="G1701" t="s">
        <v>28</v>
      </c>
      <c r="H1701">
        <v>749</v>
      </c>
      <c r="I1701">
        <v>40</v>
      </c>
      <c r="J1701">
        <v>20</v>
      </c>
      <c r="K1701" t="s">
        <v>20</v>
      </c>
      <c r="L1701">
        <v>23</v>
      </c>
      <c r="M1701" t="s">
        <v>21</v>
      </c>
    </row>
    <row r="1702" spans="1:13" x14ac:dyDescent="0.35">
      <c r="A1702" t="s">
        <v>2469</v>
      </c>
      <c r="B1702" t="s">
        <v>143</v>
      </c>
      <c r="C1702" t="s">
        <v>882</v>
      </c>
      <c r="D1702" t="s">
        <v>25</v>
      </c>
      <c r="E1702" t="s">
        <v>26</v>
      </c>
      <c r="F1702" t="s">
        <v>27</v>
      </c>
      <c r="G1702" t="s">
        <v>19</v>
      </c>
      <c r="H1702">
        <v>373</v>
      </c>
      <c r="I1702">
        <v>30</v>
      </c>
      <c r="J1702">
        <v>100</v>
      </c>
      <c r="K1702" t="s">
        <v>20</v>
      </c>
      <c r="L1702">
        <v>45</v>
      </c>
      <c r="M1702" t="s">
        <v>21</v>
      </c>
    </row>
    <row r="1703" spans="1:13" x14ac:dyDescent="0.35">
      <c r="A1703" t="s">
        <v>2470</v>
      </c>
      <c r="B1703" t="s">
        <v>273</v>
      </c>
      <c r="C1703" t="s">
        <v>702</v>
      </c>
      <c r="D1703" t="s">
        <v>46</v>
      </c>
      <c r="E1703" t="s">
        <v>47</v>
      </c>
      <c r="F1703" t="s">
        <v>48</v>
      </c>
      <c r="G1703" t="s">
        <v>74</v>
      </c>
      <c r="H1703">
        <v>544</v>
      </c>
      <c r="I1703">
        <v>40</v>
      </c>
      <c r="J1703">
        <v>100</v>
      </c>
      <c r="K1703" t="s">
        <v>36</v>
      </c>
      <c r="L1703">
        <v>25</v>
      </c>
      <c r="M1703" t="s">
        <v>21</v>
      </c>
    </row>
    <row r="1704" spans="1:13" x14ac:dyDescent="0.35">
      <c r="A1704" t="s">
        <v>2471</v>
      </c>
      <c r="B1704" t="s">
        <v>305</v>
      </c>
      <c r="C1704" t="s">
        <v>2261</v>
      </c>
      <c r="D1704" t="s">
        <v>46</v>
      </c>
      <c r="E1704" t="s">
        <v>70</v>
      </c>
      <c r="F1704" t="s">
        <v>18</v>
      </c>
      <c r="G1704" t="s">
        <v>28</v>
      </c>
      <c r="H1704">
        <v>241</v>
      </c>
      <c r="I1704">
        <v>30</v>
      </c>
      <c r="J1704">
        <v>20</v>
      </c>
      <c r="K1704" t="s">
        <v>36</v>
      </c>
      <c r="L1704">
        <v>50</v>
      </c>
      <c r="M1704" t="s">
        <v>21</v>
      </c>
    </row>
    <row r="1705" spans="1:13" x14ac:dyDescent="0.35">
      <c r="A1705" t="s">
        <v>2472</v>
      </c>
      <c r="B1705" t="s">
        <v>449</v>
      </c>
      <c r="C1705" t="s">
        <v>2129</v>
      </c>
      <c r="D1705" t="s">
        <v>25</v>
      </c>
      <c r="E1705" t="s">
        <v>34</v>
      </c>
      <c r="F1705" t="s">
        <v>27</v>
      </c>
      <c r="G1705" t="s">
        <v>19</v>
      </c>
      <c r="H1705">
        <v>284</v>
      </c>
      <c r="I1705">
        <v>20</v>
      </c>
      <c r="J1705">
        <v>50</v>
      </c>
      <c r="K1705" t="s">
        <v>29</v>
      </c>
      <c r="L1705">
        <v>55</v>
      </c>
      <c r="M1705" t="s">
        <v>21</v>
      </c>
    </row>
    <row r="1706" spans="1:13" x14ac:dyDescent="0.35">
      <c r="A1706" t="s">
        <v>2473</v>
      </c>
      <c r="B1706" t="s">
        <v>99</v>
      </c>
      <c r="C1706" t="s">
        <v>926</v>
      </c>
      <c r="D1706" t="s">
        <v>16</v>
      </c>
      <c r="E1706" t="s">
        <v>131</v>
      </c>
      <c r="F1706" t="s">
        <v>55</v>
      </c>
      <c r="G1706" t="s">
        <v>19</v>
      </c>
      <c r="H1706">
        <v>643</v>
      </c>
      <c r="I1706">
        <v>20</v>
      </c>
      <c r="J1706">
        <v>0</v>
      </c>
      <c r="K1706" t="s">
        <v>20</v>
      </c>
      <c r="L1706">
        <v>35</v>
      </c>
      <c r="M1706" t="s">
        <v>21</v>
      </c>
    </row>
    <row r="1707" spans="1:13" x14ac:dyDescent="0.35">
      <c r="A1707" t="s">
        <v>2474</v>
      </c>
      <c r="B1707" t="s">
        <v>657</v>
      </c>
      <c r="C1707" t="s">
        <v>1111</v>
      </c>
      <c r="D1707" t="s">
        <v>53</v>
      </c>
      <c r="E1707" t="s">
        <v>84</v>
      </c>
      <c r="F1707" t="s">
        <v>85</v>
      </c>
      <c r="G1707" t="s">
        <v>49</v>
      </c>
      <c r="H1707">
        <v>312</v>
      </c>
      <c r="I1707">
        <v>50</v>
      </c>
      <c r="J1707">
        <v>100</v>
      </c>
      <c r="K1707" t="s">
        <v>36</v>
      </c>
      <c r="L1707">
        <v>32</v>
      </c>
      <c r="M1707" t="s">
        <v>21</v>
      </c>
    </row>
    <row r="1708" spans="1:13" x14ac:dyDescent="0.35">
      <c r="A1708" t="s">
        <v>2475</v>
      </c>
      <c r="B1708" t="s">
        <v>271</v>
      </c>
      <c r="C1708" t="s">
        <v>1128</v>
      </c>
      <c r="D1708" t="s">
        <v>46</v>
      </c>
      <c r="E1708" t="s">
        <v>70</v>
      </c>
      <c r="F1708" t="s">
        <v>18</v>
      </c>
      <c r="G1708" t="s">
        <v>19</v>
      </c>
      <c r="H1708">
        <v>521</v>
      </c>
      <c r="I1708">
        <v>30</v>
      </c>
      <c r="J1708">
        <v>100</v>
      </c>
      <c r="K1708" t="s">
        <v>36</v>
      </c>
      <c r="L1708">
        <v>55</v>
      </c>
      <c r="M1708" t="s">
        <v>21</v>
      </c>
    </row>
    <row r="1709" spans="1:13" x14ac:dyDescent="0.35">
      <c r="A1709" t="s">
        <v>2476</v>
      </c>
      <c r="B1709" t="s">
        <v>186</v>
      </c>
      <c r="C1709" t="s">
        <v>2477</v>
      </c>
      <c r="D1709" t="s">
        <v>46</v>
      </c>
      <c r="E1709" t="s">
        <v>70</v>
      </c>
      <c r="F1709" t="s">
        <v>18</v>
      </c>
      <c r="G1709" t="s">
        <v>176</v>
      </c>
      <c r="H1709">
        <v>348</v>
      </c>
      <c r="I1709">
        <v>30</v>
      </c>
      <c r="J1709">
        <v>100</v>
      </c>
      <c r="K1709" t="s">
        <v>36</v>
      </c>
      <c r="L1709">
        <v>25</v>
      </c>
      <c r="M1709" t="s">
        <v>21</v>
      </c>
    </row>
    <row r="1710" spans="1:13" x14ac:dyDescent="0.35">
      <c r="A1710" t="s">
        <v>2478</v>
      </c>
      <c r="B1710" t="s">
        <v>167</v>
      </c>
      <c r="C1710" t="s">
        <v>578</v>
      </c>
      <c r="D1710" t="s">
        <v>53</v>
      </c>
      <c r="E1710" t="s">
        <v>84</v>
      </c>
      <c r="F1710" t="s">
        <v>85</v>
      </c>
      <c r="G1710" t="s">
        <v>35</v>
      </c>
      <c r="H1710">
        <v>663</v>
      </c>
      <c r="I1710">
        <v>30</v>
      </c>
      <c r="J1710">
        <v>0</v>
      </c>
      <c r="K1710" t="s">
        <v>20</v>
      </c>
      <c r="L1710">
        <v>50</v>
      </c>
      <c r="M1710" t="s">
        <v>21</v>
      </c>
    </row>
    <row r="1711" spans="1:13" x14ac:dyDescent="0.35">
      <c r="A1711" t="s">
        <v>2479</v>
      </c>
      <c r="B1711" t="s">
        <v>213</v>
      </c>
      <c r="C1711" t="s">
        <v>2047</v>
      </c>
      <c r="D1711" t="s">
        <v>46</v>
      </c>
      <c r="E1711" t="s">
        <v>148</v>
      </c>
      <c r="F1711" t="s">
        <v>27</v>
      </c>
      <c r="G1711" t="s">
        <v>42</v>
      </c>
      <c r="H1711">
        <v>411</v>
      </c>
      <c r="I1711">
        <v>20</v>
      </c>
      <c r="J1711">
        <v>100</v>
      </c>
      <c r="K1711" t="s">
        <v>20</v>
      </c>
      <c r="L1711">
        <v>29</v>
      </c>
      <c r="M1711" t="s">
        <v>21</v>
      </c>
    </row>
    <row r="1712" spans="1:13" x14ac:dyDescent="0.35">
      <c r="A1712" t="s">
        <v>2480</v>
      </c>
      <c r="B1712" t="s">
        <v>473</v>
      </c>
      <c r="C1712" t="s">
        <v>1173</v>
      </c>
      <c r="D1712" t="s">
        <v>25</v>
      </c>
      <c r="E1712" t="s">
        <v>34</v>
      </c>
      <c r="F1712" t="s">
        <v>27</v>
      </c>
      <c r="G1712" t="s">
        <v>42</v>
      </c>
      <c r="H1712">
        <v>288</v>
      </c>
      <c r="I1712">
        <v>40</v>
      </c>
      <c r="J1712">
        <v>100</v>
      </c>
      <c r="K1712" t="s">
        <v>20</v>
      </c>
      <c r="L1712">
        <v>38</v>
      </c>
      <c r="M1712" t="s">
        <v>21</v>
      </c>
    </row>
    <row r="1713" spans="1:13" x14ac:dyDescent="0.35">
      <c r="A1713" t="s">
        <v>2481</v>
      </c>
      <c r="B1713" t="s">
        <v>322</v>
      </c>
      <c r="C1713" t="s">
        <v>242</v>
      </c>
      <c r="D1713" t="s">
        <v>53</v>
      </c>
      <c r="E1713" t="s">
        <v>54</v>
      </c>
      <c r="F1713" t="s">
        <v>55</v>
      </c>
      <c r="G1713" t="s">
        <v>49</v>
      </c>
      <c r="H1713">
        <v>176</v>
      </c>
      <c r="I1713">
        <v>50</v>
      </c>
      <c r="J1713">
        <v>0</v>
      </c>
      <c r="K1713" t="s">
        <v>29</v>
      </c>
      <c r="L1713">
        <v>54</v>
      </c>
      <c r="M1713" t="s">
        <v>21</v>
      </c>
    </row>
    <row r="1714" spans="1:13" x14ac:dyDescent="0.35">
      <c r="A1714" t="s">
        <v>2482</v>
      </c>
      <c r="B1714" t="s">
        <v>449</v>
      </c>
      <c r="C1714" t="s">
        <v>2446</v>
      </c>
      <c r="D1714" t="s">
        <v>53</v>
      </c>
      <c r="E1714" t="s">
        <v>84</v>
      </c>
      <c r="F1714" t="s">
        <v>85</v>
      </c>
      <c r="G1714" t="s">
        <v>42</v>
      </c>
      <c r="H1714">
        <v>294</v>
      </c>
      <c r="I1714">
        <v>30</v>
      </c>
      <c r="J1714">
        <v>50</v>
      </c>
      <c r="K1714" t="s">
        <v>36</v>
      </c>
      <c r="L1714">
        <v>50</v>
      </c>
      <c r="M1714" t="s">
        <v>30</v>
      </c>
    </row>
    <row r="1715" spans="1:13" x14ac:dyDescent="0.35">
      <c r="A1715" t="s">
        <v>2483</v>
      </c>
      <c r="B1715" t="s">
        <v>213</v>
      </c>
      <c r="C1715" t="s">
        <v>1381</v>
      </c>
      <c r="D1715" t="s">
        <v>25</v>
      </c>
      <c r="E1715" t="s">
        <v>34</v>
      </c>
      <c r="F1715" t="s">
        <v>27</v>
      </c>
      <c r="G1715" t="s">
        <v>63</v>
      </c>
      <c r="H1715">
        <v>507</v>
      </c>
      <c r="I1715">
        <v>50</v>
      </c>
      <c r="J1715">
        <v>100</v>
      </c>
      <c r="K1715" t="s">
        <v>20</v>
      </c>
      <c r="L1715">
        <v>25</v>
      </c>
      <c r="M1715" t="s">
        <v>30</v>
      </c>
    </row>
    <row r="1716" spans="1:13" x14ac:dyDescent="0.35">
      <c r="A1716" t="s">
        <v>2484</v>
      </c>
      <c r="B1716" t="s">
        <v>57</v>
      </c>
      <c r="C1716" t="s">
        <v>2485</v>
      </c>
      <c r="D1716" t="s">
        <v>16</v>
      </c>
      <c r="E1716" t="s">
        <v>131</v>
      </c>
      <c r="F1716" t="s">
        <v>55</v>
      </c>
      <c r="G1716" t="s">
        <v>19</v>
      </c>
      <c r="H1716">
        <v>541</v>
      </c>
      <c r="I1716">
        <v>30</v>
      </c>
      <c r="J1716">
        <v>0</v>
      </c>
      <c r="K1716" t="s">
        <v>36</v>
      </c>
      <c r="L1716">
        <v>55</v>
      </c>
      <c r="M1716" t="s">
        <v>21</v>
      </c>
    </row>
    <row r="1717" spans="1:13" x14ac:dyDescent="0.35">
      <c r="A1717" t="s">
        <v>2486</v>
      </c>
      <c r="B1717" t="s">
        <v>51</v>
      </c>
      <c r="C1717" t="s">
        <v>1939</v>
      </c>
      <c r="D1717" t="s">
        <v>53</v>
      </c>
      <c r="E1717" t="s">
        <v>152</v>
      </c>
      <c r="F1717" t="s">
        <v>18</v>
      </c>
      <c r="G1717" t="s">
        <v>28</v>
      </c>
      <c r="H1717">
        <v>255</v>
      </c>
      <c r="I1717">
        <v>50</v>
      </c>
      <c r="J1717">
        <v>20</v>
      </c>
      <c r="K1717" t="s">
        <v>36</v>
      </c>
      <c r="L1717">
        <v>27</v>
      </c>
      <c r="M1717" t="s">
        <v>21</v>
      </c>
    </row>
    <row r="1718" spans="1:13" x14ac:dyDescent="0.35">
      <c r="A1718" t="s">
        <v>2487</v>
      </c>
      <c r="B1718" t="s">
        <v>118</v>
      </c>
      <c r="C1718" t="s">
        <v>650</v>
      </c>
      <c r="D1718" t="s">
        <v>16</v>
      </c>
      <c r="E1718" t="s">
        <v>17</v>
      </c>
      <c r="F1718" t="s">
        <v>18</v>
      </c>
      <c r="G1718" t="s">
        <v>59</v>
      </c>
      <c r="H1718">
        <v>189</v>
      </c>
      <c r="I1718">
        <v>40</v>
      </c>
      <c r="J1718">
        <v>20</v>
      </c>
      <c r="K1718" t="s">
        <v>36</v>
      </c>
      <c r="L1718">
        <v>33</v>
      </c>
      <c r="M1718" t="s">
        <v>21</v>
      </c>
    </row>
    <row r="1719" spans="1:13" x14ac:dyDescent="0.35">
      <c r="A1719" t="s">
        <v>2488</v>
      </c>
      <c r="B1719" t="s">
        <v>91</v>
      </c>
      <c r="C1719" t="s">
        <v>170</v>
      </c>
      <c r="D1719" t="s">
        <v>16</v>
      </c>
      <c r="E1719" t="s">
        <v>17</v>
      </c>
      <c r="F1719" t="s">
        <v>18</v>
      </c>
      <c r="G1719" t="s">
        <v>28</v>
      </c>
      <c r="H1719">
        <v>254</v>
      </c>
      <c r="I1719">
        <v>40</v>
      </c>
      <c r="J1719">
        <v>100</v>
      </c>
      <c r="K1719" t="s">
        <v>20</v>
      </c>
      <c r="L1719">
        <v>49</v>
      </c>
      <c r="M1719" t="s">
        <v>21</v>
      </c>
    </row>
    <row r="1720" spans="1:13" x14ac:dyDescent="0.35">
      <c r="A1720" t="s">
        <v>2489</v>
      </c>
      <c r="B1720" t="s">
        <v>271</v>
      </c>
      <c r="C1720" t="s">
        <v>1467</v>
      </c>
      <c r="D1720" t="s">
        <v>53</v>
      </c>
      <c r="E1720" t="s">
        <v>54</v>
      </c>
      <c r="F1720" t="s">
        <v>55</v>
      </c>
      <c r="G1720" t="s">
        <v>42</v>
      </c>
      <c r="H1720">
        <v>732</v>
      </c>
      <c r="I1720">
        <v>50</v>
      </c>
      <c r="J1720">
        <v>100</v>
      </c>
      <c r="K1720" t="s">
        <v>36</v>
      </c>
      <c r="L1720">
        <v>42</v>
      </c>
      <c r="M1720" t="s">
        <v>21</v>
      </c>
    </row>
    <row r="1721" spans="1:13" x14ac:dyDescent="0.35">
      <c r="A1721" t="s">
        <v>2490</v>
      </c>
      <c r="B1721" t="s">
        <v>69</v>
      </c>
      <c r="C1721" t="s">
        <v>1539</v>
      </c>
      <c r="D1721" t="s">
        <v>16</v>
      </c>
      <c r="E1721" t="s">
        <v>17</v>
      </c>
      <c r="F1721" t="s">
        <v>18</v>
      </c>
      <c r="G1721" t="s">
        <v>49</v>
      </c>
      <c r="H1721">
        <v>216</v>
      </c>
      <c r="I1721">
        <v>40</v>
      </c>
      <c r="J1721">
        <v>100</v>
      </c>
      <c r="K1721" t="s">
        <v>29</v>
      </c>
      <c r="L1721">
        <v>23</v>
      </c>
      <c r="M1721" t="s">
        <v>21</v>
      </c>
    </row>
    <row r="1722" spans="1:13" x14ac:dyDescent="0.35">
      <c r="A1722" t="s">
        <v>2491</v>
      </c>
      <c r="B1722" t="s">
        <v>174</v>
      </c>
      <c r="C1722" t="s">
        <v>1083</v>
      </c>
      <c r="D1722" t="s">
        <v>53</v>
      </c>
      <c r="E1722" t="s">
        <v>84</v>
      </c>
      <c r="F1722" t="s">
        <v>85</v>
      </c>
      <c r="G1722" t="s">
        <v>42</v>
      </c>
      <c r="H1722">
        <v>247</v>
      </c>
      <c r="I1722">
        <v>50</v>
      </c>
      <c r="J1722">
        <v>20</v>
      </c>
      <c r="K1722" t="s">
        <v>36</v>
      </c>
      <c r="L1722">
        <v>49</v>
      </c>
      <c r="M1722" t="s">
        <v>21</v>
      </c>
    </row>
    <row r="1723" spans="1:13" x14ac:dyDescent="0.35">
      <c r="A1723" t="s">
        <v>2492</v>
      </c>
      <c r="B1723" t="s">
        <v>329</v>
      </c>
      <c r="C1723" t="s">
        <v>1300</v>
      </c>
      <c r="D1723" t="s">
        <v>16</v>
      </c>
      <c r="E1723" t="s">
        <v>17</v>
      </c>
      <c r="F1723" t="s">
        <v>18</v>
      </c>
      <c r="G1723" t="s">
        <v>74</v>
      </c>
      <c r="H1723">
        <v>172</v>
      </c>
      <c r="I1723">
        <v>50</v>
      </c>
      <c r="J1723">
        <v>0</v>
      </c>
      <c r="K1723" t="s">
        <v>36</v>
      </c>
      <c r="L1723">
        <v>34</v>
      </c>
      <c r="M1723" t="s">
        <v>30</v>
      </c>
    </row>
    <row r="1724" spans="1:13" x14ac:dyDescent="0.35">
      <c r="A1724" t="s">
        <v>2493</v>
      </c>
      <c r="B1724" t="s">
        <v>583</v>
      </c>
      <c r="C1724" t="s">
        <v>245</v>
      </c>
      <c r="D1724" t="s">
        <v>40</v>
      </c>
      <c r="E1724" t="s">
        <v>41</v>
      </c>
      <c r="F1724" t="s">
        <v>27</v>
      </c>
      <c r="G1724" t="s">
        <v>74</v>
      </c>
      <c r="H1724">
        <v>673</v>
      </c>
      <c r="I1724">
        <v>50</v>
      </c>
      <c r="J1724">
        <v>0</v>
      </c>
      <c r="K1724" t="s">
        <v>29</v>
      </c>
      <c r="L1724">
        <v>47</v>
      </c>
      <c r="M1724" t="s">
        <v>21</v>
      </c>
    </row>
    <row r="1725" spans="1:13" x14ac:dyDescent="0.35">
      <c r="A1725" t="s">
        <v>2494</v>
      </c>
      <c r="B1725" t="s">
        <v>154</v>
      </c>
      <c r="C1725" t="s">
        <v>873</v>
      </c>
      <c r="D1725" t="s">
        <v>46</v>
      </c>
      <c r="E1725" t="s">
        <v>47</v>
      </c>
      <c r="F1725" t="s">
        <v>48</v>
      </c>
      <c r="G1725" t="s">
        <v>74</v>
      </c>
      <c r="H1725">
        <v>163</v>
      </c>
      <c r="I1725">
        <v>30</v>
      </c>
      <c r="J1725">
        <v>100</v>
      </c>
      <c r="K1725" t="s">
        <v>20</v>
      </c>
      <c r="L1725">
        <v>25</v>
      </c>
      <c r="M1725" t="s">
        <v>21</v>
      </c>
    </row>
    <row r="1726" spans="1:13" x14ac:dyDescent="0.35">
      <c r="A1726" t="s">
        <v>2495</v>
      </c>
      <c r="B1726" t="s">
        <v>513</v>
      </c>
      <c r="C1726" t="s">
        <v>1394</v>
      </c>
      <c r="D1726" t="s">
        <v>16</v>
      </c>
      <c r="E1726" t="s">
        <v>131</v>
      </c>
      <c r="F1726" t="s">
        <v>55</v>
      </c>
      <c r="G1726" t="s">
        <v>19</v>
      </c>
      <c r="H1726">
        <v>797</v>
      </c>
      <c r="I1726">
        <v>30</v>
      </c>
      <c r="J1726">
        <v>30</v>
      </c>
      <c r="K1726" t="s">
        <v>29</v>
      </c>
      <c r="L1726">
        <v>25</v>
      </c>
      <c r="M1726" t="s">
        <v>21</v>
      </c>
    </row>
    <row r="1727" spans="1:13" x14ac:dyDescent="0.35">
      <c r="A1727" t="s">
        <v>2496</v>
      </c>
      <c r="B1727" t="s">
        <v>339</v>
      </c>
      <c r="C1727" t="s">
        <v>543</v>
      </c>
      <c r="D1727" t="s">
        <v>53</v>
      </c>
      <c r="E1727" t="s">
        <v>152</v>
      </c>
      <c r="F1727" t="s">
        <v>18</v>
      </c>
      <c r="G1727" t="s">
        <v>42</v>
      </c>
      <c r="H1727">
        <v>624</v>
      </c>
      <c r="I1727">
        <v>50</v>
      </c>
      <c r="J1727">
        <v>100</v>
      </c>
      <c r="K1727" t="s">
        <v>36</v>
      </c>
      <c r="L1727">
        <v>44</v>
      </c>
      <c r="M1727" t="s">
        <v>30</v>
      </c>
    </row>
    <row r="1728" spans="1:13" x14ac:dyDescent="0.35">
      <c r="A1728" t="s">
        <v>2497</v>
      </c>
      <c r="B1728" t="s">
        <v>580</v>
      </c>
      <c r="C1728" t="s">
        <v>781</v>
      </c>
      <c r="D1728" t="s">
        <v>40</v>
      </c>
      <c r="E1728" t="s">
        <v>111</v>
      </c>
      <c r="F1728" t="s">
        <v>18</v>
      </c>
      <c r="G1728" t="s">
        <v>28</v>
      </c>
      <c r="H1728">
        <v>462</v>
      </c>
      <c r="I1728">
        <v>50</v>
      </c>
      <c r="J1728">
        <v>20</v>
      </c>
      <c r="K1728" t="s">
        <v>36</v>
      </c>
      <c r="L1728">
        <v>58</v>
      </c>
      <c r="M1728" t="s">
        <v>21</v>
      </c>
    </row>
    <row r="1729" spans="1:13" x14ac:dyDescent="0.35">
      <c r="A1729" t="s">
        <v>2498</v>
      </c>
      <c r="B1729" t="s">
        <v>583</v>
      </c>
      <c r="C1729" t="s">
        <v>2499</v>
      </c>
      <c r="D1729" t="s">
        <v>40</v>
      </c>
      <c r="E1729" t="s">
        <v>67</v>
      </c>
      <c r="F1729" t="s">
        <v>48</v>
      </c>
      <c r="G1729" t="s">
        <v>107</v>
      </c>
      <c r="H1729">
        <v>512</v>
      </c>
      <c r="I1729">
        <v>30</v>
      </c>
      <c r="J1729">
        <v>20</v>
      </c>
      <c r="K1729" t="s">
        <v>36</v>
      </c>
      <c r="L1729">
        <v>54</v>
      </c>
      <c r="M1729" t="s">
        <v>21</v>
      </c>
    </row>
    <row r="1730" spans="1:13" x14ac:dyDescent="0.35">
      <c r="A1730" t="s">
        <v>2500</v>
      </c>
      <c r="B1730" t="s">
        <v>181</v>
      </c>
      <c r="C1730" t="s">
        <v>1034</v>
      </c>
      <c r="D1730" t="s">
        <v>40</v>
      </c>
      <c r="E1730" t="s">
        <v>41</v>
      </c>
      <c r="F1730" t="s">
        <v>27</v>
      </c>
      <c r="G1730" t="s">
        <v>28</v>
      </c>
      <c r="H1730">
        <v>555</v>
      </c>
      <c r="I1730">
        <v>20</v>
      </c>
      <c r="J1730">
        <v>30</v>
      </c>
      <c r="K1730" t="s">
        <v>36</v>
      </c>
      <c r="L1730">
        <v>30</v>
      </c>
      <c r="M1730" t="s">
        <v>21</v>
      </c>
    </row>
    <row r="1731" spans="1:13" x14ac:dyDescent="0.35">
      <c r="A1731" t="s">
        <v>2501</v>
      </c>
      <c r="B1731" t="s">
        <v>105</v>
      </c>
      <c r="C1731" t="s">
        <v>417</v>
      </c>
      <c r="D1731" t="s">
        <v>53</v>
      </c>
      <c r="E1731" t="s">
        <v>54</v>
      </c>
      <c r="F1731" t="s">
        <v>55</v>
      </c>
      <c r="G1731" t="s">
        <v>49</v>
      </c>
      <c r="H1731">
        <v>486</v>
      </c>
      <c r="I1731">
        <v>40</v>
      </c>
      <c r="J1731">
        <v>100</v>
      </c>
      <c r="K1731" t="s">
        <v>20</v>
      </c>
      <c r="L1731">
        <v>59</v>
      </c>
      <c r="M1731" t="s">
        <v>21</v>
      </c>
    </row>
    <row r="1732" spans="1:13" x14ac:dyDescent="0.35">
      <c r="A1732" t="s">
        <v>2502</v>
      </c>
      <c r="B1732" t="s">
        <v>72</v>
      </c>
      <c r="C1732" t="s">
        <v>1318</v>
      </c>
      <c r="D1732" t="s">
        <v>53</v>
      </c>
      <c r="E1732" t="s">
        <v>54</v>
      </c>
      <c r="F1732" t="s">
        <v>55</v>
      </c>
      <c r="G1732" t="s">
        <v>35</v>
      </c>
      <c r="H1732">
        <v>598</v>
      </c>
      <c r="I1732">
        <v>30</v>
      </c>
      <c r="J1732">
        <v>50</v>
      </c>
      <c r="K1732" t="s">
        <v>29</v>
      </c>
      <c r="L1732">
        <v>49</v>
      </c>
      <c r="M1732" t="s">
        <v>21</v>
      </c>
    </row>
    <row r="1733" spans="1:13" x14ac:dyDescent="0.35">
      <c r="A1733" t="s">
        <v>2503</v>
      </c>
      <c r="B1733" t="s">
        <v>61</v>
      </c>
      <c r="C1733" t="s">
        <v>446</v>
      </c>
      <c r="D1733" t="s">
        <v>25</v>
      </c>
      <c r="E1733" t="s">
        <v>26</v>
      </c>
      <c r="F1733" t="s">
        <v>27</v>
      </c>
      <c r="G1733" t="s">
        <v>74</v>
      </c>
      <c r="H1733">
        <v>456</v>
      </c>
      <c r="I1733">
        <v>30</v>
      </c>
      <c r="J1733">
        <v>30</v>
      </c>
      <c r="K1733" t="s">
        <v>36</v>
      </c>
      <c r="L1733">
        <v>22</v>
      </c>
      <c r="M1733" t="s">
        <v>21</v>
      </c>
    </row>
    <row r="1734" spans="1:13" x14ac:dyDescent="0.35">
      <c r="A1734" t="s">
        <v>2504</v>
      </c>
      <c r="B1734" t="s">
        <v>486</v>
      </c>
      <c r="C1734" t="s">
        <v>425</v>
      </c>
      <c r="D1734" t="s">
        <v>46</v>
      </c>
      <c r="E1734" t="s">
        <v>148</v>
      </c>
      <c r="F1734" t="s">
        <v>27</v>
      </c>
      <c r="G1734" t="s">
        <v>63</v>
      </c>
      <c r="H1734">
        <v>604</v>
      </c>
      <c r="I1734">
        <v>20</v>
      </c>
      <c r="J1734">
        <v>50</v>
      </c>
      <c r="K1734" t="s">
        <v>20</v>
      </c>
      <c r="L1734">
        <v>47</v>
      </c>
      <c r="M1734" t="s">
        <v>21</v>
      </c>
    </row>
    <row r="1735" spans="1:13" x14ac:dyDescent="0.35">
      <c r="A1735" t="s">
        <v>2505</v>
      </c>
      <c r="B1735" t="s">
        <v>38</v>
      </c>
      <c r="C1735" t="s">
        <v>2050</v>
      </c>
      <c r="D1735" t="s">
        <v>16</v>
      </c>
      <c r="E1735" t="s">
        <v>17</v>
      </c>
      <c r="F1735" t="s">
        <v>18</v>
      </c>
      <c r="G1735" t="s">
        <v>63</v>
      </c>
      <c r="H1735">
        <v>717</v>
      </c>
      <c r="I1735">
        <v>40</v>
      </c>
      <c r="J1735">
        <v>100</v>
      </c>
      <c r="K1735" t="s">
        <v>20</v>
      </c>
      <c r="L1735">
        <v>57</v>
      </c>
      <c r="M1735" t="s">
        <v>30</v>
      </c>
    </row>
    <row r="1736" spans="1:13" x14ac:dyDescent="0.35">
      <c r="A1736" t="s">
        <v>2506</v>
      </c>
      <c r="B1736" t="s">
        <v>207</v>
      </c>
      <c r="C1736" t="s">
        <v>612</v>
      </c>
      <c r="D1736" t="s">
        <v>53</v>
      </c>
      <c r="E1736" t="s">
        <v>152</v>
      </c>
      <c r="F1736" t="s">
        <v>18</v>
      </c>
      <c r="G1736" t="s">
        <v>35</v>
      </c>
      <c r="H1736">
        <v>494</v>
      </c>
      <c r="I1736">
        <v>20</v>
      </c>
      <c r="J1736">
        <v>30</v>
      </c>
      <c r="K1736" t="s">
        <v>36</v>
      </c>
      <c r="L1736">
        <v>31</v>
      </c>
      <c r="M1736" t="s">
        <v>21</v>
      </c>
    </row>
    <row r="1737" spans="1:13" x14ac:dyDescent="0.35">
      <c r="A1737" t="s">
        <v>2507</v>
      </c>
      <c r="B1737" t="s">
        <v>23</v>
      </c>
      <c r="C1737" t="s">
        <v>1931</v>
      </c>
      <c r="D1737" t="s">
        <v>25</v>
      </c>
      <c r="E1737" t="s">
        <v>34</v>
      </c>
      <c r="F1737" t="s">
        <v>27</v>
      </c>
      <c r="G1737" t="s">
        <v>35</v>
      </c>
      <c r="H1737">
        <v>597</v>
      </c>
      <c r="I1737">
        <v>50</v>
      </c>
      <c r="J1737">
        <v>0</v>
      </c>
      <c r="K1737" t="s">
        <v>29</v>
      </c>
      <c r="L1737">
        <v>38</v>
      </c>
      <c r="M1737" t="s">
        <v>21</v>
      </c>
    </row>
    <row r="1738" spans="1:13" x14ac:dyDescent="0.35">
      <c r="A1738" t="s">
        <v>2508</v>
      </c>
      <c r="B1738" t="s">
        <v>657</v>
      </c>
      <c r="C1738" t="s">
        <v>2509</v>
      </c>
      <c r="D1738" t="s">
        <v>40</v>
      </c>
      <c r="E1738" t="s">
        <v>41</v>
      </c>
      <c r="F1738" t="s">
        <v>27</v>
      </c>
      <c r="G1738" t="s">
        <v>59</v>
      </c>
      <c r="H1738">
        <v>562</v>
      </c>
      <c r="I1738">
        <v>40</v>
      </c>
      <c r="J1738">
        <v>20</v>
      </c>
      <c r="K1738" t="s">
        <v>36</v>
      </c>
      <c r="L1738">
        <v>32</v>
      </c>
      <c r="M1738" t="s">
        <v>21</v>
      </c>
    </row>
    <row r="1739" spans="1:13" x14ac:dyDescent="0.35">
      <c r="A1739" t="s">
        <v>2510</v>
      </c>
      <c r="B1739" t="s">
        <v>580</v>
      </c>
      <c r="C1739" t="s">
        <v>2511</v>
      </c>
      <c r="D1739" t="s">
        <v>46</v>
      </c>
      <c r="E1739" t="s">
        <v>148</v>
      </c>
      <c r="F1739" t="s">
        <v>27</v>
      </c>
      <c r="G1739" t="s">
        <v>19</v>
      </c>
      <c r="H1739">
        <v>676</v>
      </c>
      <c r="I1739">
        <v>20</v>
      </c>
      <c r="J1739">
        <v>20</v>
      </c>
      <c r="K1739" t="s">
        <v>36</v>
      </c>
      <c r="L1739">
        <v>31</v>
      </c>
      <c r="M1739" t="s">
        <v>21</v>
      </c>
    </row>
    <row r="1740" spans="1:13" x14ac:dyDescent="0.35">
      <c r="A1740" t="s">
        <v>2512</v>
      </c>
      <c r="B1740" t="s">
        <v>339</v>
      </c>
      <c r="C1740" t="s">
        <v>2009</v>
      </c>
      <c r="D1740" t="s">
        <v>53</v>
      </c>
      <c r="E1740" t="s">
        <v>54</v>
      </c>
      <c r="F1740" t="s">
        <v>55</v>
      </c>
      <c r="G1740" t="s">
        <v>49</v>
      </c>
      <c r="H1740">
        <v>549</v>
      </c>
      <c r="I1740">
        <v>50</v>
      </c>
      <c r="J1740">
        <v>20</v>
      </c>
      <c r="K1740" t="s">
        <v>29</v>
      </c>
      <c r="L1740">
        <v>59</v>
      </c>
      <c r="M1740" t="s">
        <v>21</v>
      </c>
    </row>
    <row r="1741" spans="1:13" x14ac:dyDescent="0.35">
      <c r="A1741" t="s">
        <v>2513</v>
      </c>
      <c r="B1741" t="s">
        <v>435</v>
      </c>
      <c r="C1741" t="s">
        <v>366</v>
      </c>
      <c r="D1741" t="s">
        <v>25</v>
      </c>
      <c r="E1741" t="s">
        <v>78</v>
      </c>
      <c r="F1741" t="s">
        <v>48</v>
      </c>
      <c r="G1741" t="s">
        <v>49</v>
      </c>
      <c r="H1741">
        <v>649</v>
      </c>
      <c r="I1741">
        <v>20</v>
      </c>
      <c r="J1741">
        <v>50</v>
      </c>
      <c r="K1741" t="s">
        <v>20</v>
      </c>
      <c r="L1741">
        <v>45</v>
      </c>
      <c r="M1741" t="s">
        <v>21</v>
      </c>
    </row>
    <row r="1742" spans="1:13" x14ac:dyDescent="0.35">
      <c r="A1742" t="s">
        <v>2514</v>
      </c>
      <c r="B1742" t="s">
        <v>32</v>
      </c>
      <c r="C1742" t="s">
        <v>1403</v>
      </c>
      <c r="D1742" t="s">
        <v>46</v>
      </c>
      <c r="E1742" t="s">
        <v>148</v>
      </c>
      <c r="F1742" t="s">
        <v>27</v>
      </c>
      <c r="G1742" t="s">
        <v>176</v>
      </c>
      <c r="H1742">
        <v>584</v>
      </c>
      <c r="I1742">
        <v>30</v>
      </c>
      <c r="J1742">
        <v>30</v>
      </c>
      <c r="K1742" t="s">
        <v>36</v>
      </c>
      <c r="L1742">
        <v>47</v>
      </c>
      <c r="M1742" t="s">
        <v>21</v>
      </c>
    </row>
    <row r="1743" spans="1:13" x14ac:dyDescent="0.35">
      <c r="A1743" t="s">
        <v>2515</v>
      </c>
      <c r="B1743" t="s">
        <v>61</v>
      </c>
      <c r="C1743" t="s">
        <v>1788</v>
      </c>
      <c r="D1743" t="s">
        <v>16</v>
      </c>
      <c r="E1743" t="s">
        <v>131</v>
      </c>
      <c r="F1743" t="s">
        <v>55</v>
      </c>
      <c r="G1743" t="s">
        <v>107</v>
      </c>
      <c r="H1743">
        <v>559</v>
      </c>
      <c r="I1743">
        <v>30</v>
      </c>
      <c r="J1743">
        <v>0</v>
      </c>
      <c r="K1743" t="s">
        <v>29</v>
      </c>
      <c r="L1743">
        <v>42</v>
      </c>
      <c r="M1743" t="s">
        <v>21</v>
      </c>
    </row>
    <row r="1744" spans="1:13" x14ac:dyDescent="0.35">
      <c r="A1744" t="s">
        <v>2516</v>
      </c>
      <c r="B1744" t="s">
        <v>32</v>
      </c>
      <c r="C1744" t="s">
        <v>1725</v>
      </c>
      <c r="D1744" t="s">
        <v>40</v>
      </c>
      <c r="E1744" t="s">
        <v>111</v>
      </c>
      <c r="F1744" t="s">
        <v>18</v>
      </c>
      <c r="G1744" t="s">
        <v>74</v>
      </c>
      <c r="H1744">
        <v>677</v>
      </c>
      <c r="I1744">
        <v>40</v>
      </c>
      <c r="J1744">
        <v>50</v>
      </c>
      <c r="K1744" t="s">
        <v>29</v>
      </c>
      <c r="L1744">
        <v>21</v>
      </c>
      <c r="M1744" t="s">
        <v>21</v>
      </c>
    </row>
    <row r="1745" spans="1:13" x14ac:dyDescent="0.35">
      <c r="A1745" t="s">
        <v>2517</v>
      </c>
      <c r="B1745" t="s">
        <v>76</v>
      </c>
      <c r="C1745" t="s">
        <v>1505</v>
      </c>
      <c r="D1745" t="s">
        <v>40</v>
      </c>
      <c r="E1745" t="s">
        <v>67</v>
      </c>
      <c r="F1745" t="s">
        <v>48</v>
      </c>
      <c r="G1745" t="s">
        <v>74</v>
      </c>
      <c r="H1745">
        <v>733</v>
      </c>
      <c r="I1745">
        <v>20</v>
      </c>
      <c r="J1745">
        <v>100</v>
      </c>
      <c r="K1745" t="s">
        <v>20</v>
      </c>
      <c r="L1745">
        <v>24</v>
      </c>
      <c r="M1745" t="s">
        <v>21</v>
      </c>
    </row>
    <row r="1746" spans="1:13" x14ac:dyDescent="0.35">
      <c r="A1746" t="s">
        <v>2518</v>
      </c>
      <c r="B1746" t="s">
        <v>113</v>
      </c>
      <c r="C1746" t="s">
        <v>1571</v>
      </c>
      <c r="D1746" t="s">
        <v>16</v>
      </c>
      <c r="E1746" t="s">
        <v>89</v>
      </c>
      <c r="F1746" t="s">
        <v>18</v>
      </c>
      <c r="G1746" t="s">
        <v>28</v>
      </c>
      <c r="H1746">
        <v>308</v>
      </c>
      <c r="I1746">
        <v>20</v>
      </c>
      <c r="J1746">
        <v>50</v>
      </c>
      <c r="K1746" t="s">
        <v>20</v>
      </c>
      <c r="L1746">
        <v>25</v>
      </c>
      <c r="M1746" t="s">
        <v>21</v>
      </c>
    </row>
    <row r="1747" spans="1:13" x14ac:dyDescent="0.35">
      <c r="A1747" t="s">
        <v>2519</v>
      </c>
      <c r="B1747" t="s">
        <v>143</v>
      </c>
      <c r="C1747" t="s">
        <v>708</v>
      </c>
      <c r="D1747" t="s">
        <v>46</v>
      </c>
      <c r="E1747" t="s">
        <v>47</v>
      </c>
      <c r="F1747" t="s">
        <v>48</v>
      </c>
      <c r="G1747" t="s">
        <v>107</v>
      </c>
      <c r="H1747">
        <v>429</v>
      </c>
      <c r="I1747">
        <v>40</v>
      </c>
      <c r="J1747">
        <v>50</v>
      </c>
      <c r="K1747" t="s">
        <v>29</v>
      </c>
      <c r="L1747">
        <v>48</v>
      </c>
      <c r="M1747" t="s">
        <v>21</v>
      </c>
    </row>
    <row r="1748" spans="1:13" x14ac:dyDescent="0.35">
      <c r="A1748" t="s">
        <v>2520</v>
      </c>
      <c r="B1748" t="s">
        <v>72</v>
      </c>
      <c r="C1748" t="s">
        <v>1741</v>
      </c>
      <c r="D1748" t="s">
        <v>16</v>
      </c>
      <c r="E1748" t="s">
        <v>131</v>
      </c>
      <c r="F1748" t="s">
        <v>55</v>
      </c>
      <c r="G1748" t="s">
        <v>28</v>
      </c>
      <c r="H1748">
        <v>781</v>
      </c>
      <c r="I1748">
        <v>30</v>
      </c>
      <c r="J1748">
        <v>20</v>
      </c>
      <c r="K1748" t="s">
        <v>20</v>
      </c>
      <c r="L1748">
        <v>48</v>
      </c>
      <c r="M1748" t="s">
        <v>21</v>
      </c>
    </row>
    <row r="1749" spans="1:13" x14ac:dyDescent="0.35">
      <c r="A1749" t="s">
        <v>2521</v>
      </c>
      <c r="B1749" t="s">
        <v>61</v>
      </c>
      <c r="C1749" t="s">
        <v>728</v>
      </c>
      <c r="D1749" t="s">
        <v>40</v>
      </c>
      <c r="E1749" t="s">
        <v>41</v>
      </c>
      <c r="F1749" t="s">
        <v>27</v>
      </c>
      <c r="G1749" t="s">
        <v>74</v>
      </c>
      <c r="H1749">
        <v>378</v>
      </c>
      <c r="I1749">
        <v>30</v>
      </c>
      <c r="J1749">
        <v>50</v>
      </c>
      <c r="K1749" t="s">
        <v>29</v>
      </c>
      <c r="L1749">
        <v>34</v>
      </c>
      <c r="M1749" t="s">
        <v>30</v>
      </c>
    </row>
    <row r="1750" spans="1:13" x14ac:dyDescent="0.35">
      <c r="A1750" t="s">
        <v>2522</v>
      </c>
      <c r="B1750" t="s">
        <v>174</v>
      </c>
      <c r="C1750" t="s">
        <v>1687</v>
      </c>
      <c r="D1750" t="s">
        <v>40</v>
      </c>
      <c r="E1750" t="s">
        <v>41</v>
      </c>
      <c r="F1750" t="s">
        <v>27</v>
      </c>
      <c r="G1750" t="s">
        <v>59</v>
      </c>
      <c r="H1750">
        <v>357</v>
      </c>
      <c r="I1750">
        <v>50</v>
      </c>
      <c r="J1750">
        <v>0</v>
      </c>
      <c r="K1750" t="s">
        <v>20</v>
      </c>
      <c r="L1750">
        <v>27</v>
      </c>
      <c r="M1750" t="s">
        <v>21</v>
      </c>
    </row>
    <row r="1751" spans="1:13" x14ac:dyDescent="0.35">
      <c r="A1751" t="s">
        <v>2523</v>
      </c>
      <c r="B1751" t="s">
        <v>109</v>
      </c>
      <c r="C1751" t="s">
        <v>1133</v>
      </c>
      <c r="D1751" t="s">
        <v>16</v>
      </c>
      <c r="E1751" t="s">
        <v>89</v>
      </c>
      <c r="F1751" t="s">
        <v>18</v>
      </c>
      <c r="G1751" t="s">
        <v>28</v>
      </c>
      <c r="H1751">
        <v>774</v>
      </c>
      <c r="I1751">
        <v>20</v>
      </c>
      <c r="J1751">
        <v>30</v>
      </c>
      <c r="K1751" t="s">
        <v>20</v>
      </c>
      <c r="L1751">
        <v>34</v>
      </c>
      <c r="M1751" t="s">
        <v>21</v>
      </c>
    </row>
    <row r="1752" spans="1:13" x14ac:dyDescent="0.35">
      <c r="A1752" t="s">
        <v>2524</v>
      </c>
      <c r="B1752" t="s">
        <v>657</v>
      </c>
      <c r="C1752" t="s">
        <v>2525</v>
      </c>
      <c r="D1752" t="s">
        <v>53</v>
      </c>
      <c r="E1752" t="s">
        <v>54</v>
      </c>
      <c r="F1752" t="s">
        <v>55</v>
      </c>
      <c r="G1752" t="s">
        <v>176</v>
      </c>
      <c r="H1752">
        <v>548</v>
      </c>
      <c r="I1752">
        <v>40</v>
      </c>
      <c r="J1752">
        <v>100</v>
      </c>
      <c r="K1752" t="s">
        <v>20</v>
      </c>
      <c r="L1752">
        <v>54</v>
      </c>
      <c r="M1752" t="s">
        <v>21</v>
      </c>
    </row>
    <row r="1753" spans="1:13" x14ac:dyDescent="0.35">
      <c r="A1753" t="s">
        <v>2526</v>
      </c>
      <c r="B1753" t="s">
        <v>310</v>
      </c>
      <c r="C1753" t="s">
        <v>2527</v>
      </c>
      <c r="D1753" t="s">
        <v>46</v>
      </c>
      <c r="E1753" t="s">
        <v>47</v>
      </c>
      <c r="F1753" t="s">
        <v>48</v>
      </c>
      <c r="G1753" t="s">
        <v>35</v>
      </c>
      <c r="H1753">
        <v>179</v>
      </c>
      <c r="I1753">
        <v>50</v>
      </c>
      <c r="J1753">
        <v>50</v>
      </c>
      <c r="K1753" t="s">
        <v>36</v>
      </c>
      <c r="L1753">
        <v>31</v>
      </c>
      <c r="M1753" t="s">
        <v>30</v>
      </c>
    </row>
    <row r="1754" spans="1:13" x14ac:dyDescent="0.35">
      <c r="A1754" t="s">
        <v>2528</v>
      </c>
      <c r="B1754" t="s">
        <v>368</v>
      </c>
      <c r="C1754" t="s">
        <v>2529</v>
      </c>
      <c r="D1754" t="s">
        <v>53</v>
      </c>
      <c r="E1754" t="s">
        <v>152</v>
      </c>
      <c r="F1754" t="s">
        <v>18</v>
      </c>
      <c r="G1754" t="s">
        <v>176</v>
      </c>
      <c r="H1754">
        <v>718</v>
      </c>
      <c r="I1754">
        <v>50</v>
      </c>
      <c r="J1754">
        <v>50</v>
      </c>
      <c r="K1754" t="s">
        <v>29</v>
      </c>
      <c r="L1754">
        <v>50</v>
      </c>
      <c r="M1754" t="s">
        <v>30</v>
      </c>
    </row>
    <row r="1755" spans="1:13" x14ac:dyDescent="0.35">
      <c r="A1755" t="s">
        <v>2530</v>
      </c>
      <c r="B1755" t="s">
        <v>61</v>
      </c>
      <c r="C1755" t="s">
        <v>1141</v>
      </c>
      <c r="D1755" t="s">
        <v>16</v>
      </c>
      <c r="E1755" t="s">
        <v>17</v>
      </c>
      <c r="F1755" t="s">
        <v>18</v>
      </c>
      <c r="G1755" t="s">
        <v>107</v>
      </c>
      <c r="H1755">
        <v>444</v>
      </c>
      <c r="I1755">
        <v>20</v>
      </c>
      <c r="J1755">
        <v>30</v>
      </c>
      <c r="K1755" t="s">
        <v>29</v>
      </c>
      <c r="L1755">
        <v>38</v>
      </c>
      <c r="M1755" t="s">
        <v>21</v>
      </c>
    </row>
    <row r="1756" spans="1:13" x14ac:dyDescent="0.35">
      <c r="A1756" t="s">
        <v>2531</v>
      </c>
      <c r="B1756" t="s">
        <v>657</v>
      </c>
      <c r="C1756" t="s">
        <v>2532</v>
      </c>
      <c r="D1756" t="s">
        <v>40</v>
      </c>
      <c r="E1756" t="s">
        <v>67</v>
      </c>
      <c r="F1756" t="s">
        <v>48</v>
      </c>
      <c r="G1756" t="s">
        <v>63</v>
      </c>
      <c r="H1756">
        <v>561</v>
      </c>
      <c r="I1756">
        <v>40</v>
      </c>
      <c r="J1756">
        <v>100</v>
      </c>
      <c r="K1756" t="s">
        <v>36</v>
      </c>
      <c r="L1756">
        <v>49</v>
      </c>
      <c r="M1756" t="s">
        <v>21</v>
      </c>
    </row>
    <row r="1757" spans="1:13" x14ac:dyDescent="0.35">
      <c r="A1757" t="s">
        <v>2533</v>
      </c>
      <c r="B1757" t="s">
        <v>580</v>
      </c>
      <c r="C1757" t="s">
        <v>1505</v>
      </c>
      <c r="D1757" t="s">
        <v>25</v>
      </c>
      <c r="E1757" t="s">
        <v>78</v>
      </c>
      <c r="F1757" t="s">
        <v>48</v>
      </c>
      <c r="G1757" t="s">
        <v>19</v>
      </c>
      <c r="H1757">
        <v>579</v>
      </c>
      <c r="I1757">
        <v>20</v>
      </c>
      <c r="J1757">
        <v>100</v>
      </c>
      <c r="K1757" t="s">
        <v>36</v>
      </c>
      <c r="L1757">
        <v>60</v>
      </c>
      <c r="M1757" t="s">
        <v>21</v>
      </c>
    </row>
    <row r="1758" spans="1:13" x14ac:dyDescent="0.35">
      <c r="A1758" t="s">
        <v>2534</v>
      </c>
      <c r="B1758" t="s">
        <v>388</v>
      </c>
      <c r="C1758" t="s">
        <v>455</v>
      </c>
      <c r="D1758" t="s">
        <v>46</v>
      </c>
      <c r="E1758" t="s">
        <v>148</v>
      </c>
      <c r="F1758" t="s">
        <v>27</v>
      </c>
      <c r="G1758" t="s">
        <v>59</v>
      </c>
      <c r="H1758">
        <v>284</v>
      </c>
      <c r="I1758">
        <v>40</v>
      </c>
      <c r="J1758">
        <v>0</v>
      </c>
      <c r="K1758" t="s">
        <v>29</v>
      </c>
      <c r="L1758">
        <v>34</v>
      </c>
      <c r="M1758" t="s">
        <v>21</v>
      </c>
    </row>
    <row r="1759" spans="1:13" x14ac:dyDescent="0.35">
      <c r="A1759" t="s">
        <v>2535</v>
      </c>
      <c r="B1759" t="s">
        <v>305</v>
      </c>
      <c r="C1759" t="s">
        <v>849</v>
      </c>
      <c r="D1759" t="s">
        <v>16</v>
      </c>
      <c r="E1759" t="s">
        <v>17</v>
      </c>
      <c r="F1759" t="s">
        <v>18</v>
      </c>
      <c r="G1759" t="s">
        <v>28</v>
      </c>
      <c r="H1759">
        <v>353</v>
      </c>
      <c r="I1759">
        <v>40</v>
      </c>
      <c r="J1759">
        <v>30</v>
      </c>
      <c r="K1759" t="s">
        <v>29</v>
      </c>
      <c r="L1759">
        <v>47</v>
      </c>
      <c r="M1759" t="s">
        <v>21</v>
      </c>
    </row>
    <row r="1760" spans="1:13" x14ac:dyDescent="0.35">
      <c r="A1760" t="s">
        <v>2536</v>
      </c>
      <c r="B1760" t="s">
        <v>368</v>
      </c>
      <c r="C1760" t="s">
        <v>1149</v>
      </c>
      <c r="D1760" t="s">
        <v>16</v>
      </c>
      <c r="E1760" t="s">
        <v>89</v>
      </c>
      <c r="F1760" t="s">
        <v>18</v>
      </c>
      <c r="G1760" t="s">
        <v>74</v>
      </c>
      <c r="H1760">
        <v>728</v>
      </c>
      <c r="I1760">
        <v>20</v>
      </c>
      <c r="J1760">
        <v>30</v>
      </c>
      <c r="K1760" t="s">
        <v>20</v>
      </c>
      <c r="L1760">
        <v>34</v>
      </c>
      <c r="M1760" t="s">
        <v>21</v>
      </c>
    </row>
    <row r="1761" spans="1:13" x14ac:dyDescent="0.35">
      <c r="A1761" t="s">
        <v>2537</v>
      </c>
      <c r="B1761" t="s">
        <v>280</v>
      </c>
      <c r="C1761" t="s">
        <v>242</v>
      </c>
      <c r="D1761" t="s">
        <v>53</v>
      </c>
      <c r="E1761" t="s">
        <v>84</v>
      </c>
      <c r="F1761" t="s">
        <v>85</v>
      </c>
      <c r="G1761" t="s">
        <v>63</v>
      </c>
      <c r="H1761">
        <v>236</v>
      </c>
      <c r="I1761">
        <v>40</v>
      </c>
      <c r="J1761">
        <v>20</v>
      </c>
      <c r="K1761" t="s">
        <v>20</v>
      </c>
      <c r="L1761">
        <v>31</v>
      </c>
      <c r="M1761" t="s">
        <v>21</v>
      </c>
    </row>
    <row r="1762" spans="1:13" x14ac:dyDescent="0.35">
      <c r="A1762" t="s">
        <v>2538</v>
      </c>
      <c r="B1762" t="s">
        <v>295</v>
      </c>
      <c r="C1762" t="s">
        <v>2539</v>
      </c>
      <c r="D1762" t="s">
        <v>46</v>
      </c>
      <c r="E1762" t="s">
        <v>47</v>
      </c>
      <c r="F1762" t="s">
        <v>48</v>
      </c>
      <c r="G1762" t="s">
        <v>107</v>
      </c>
      <c r="H1762">
        <v>634</v>
      </c>
      <c r="I1762">
        <v>30</v>
      </c>
      <c r="J1762">
        <v>20</v>
      </c>
      <c r="K1762" t="s">
        <v>36</v>
      </c>
      <c r="L1762">
        <v>41</v>
      </c>
      <c r="M1762" t="s">
        <v>21</v>
      </c>
    </row>
    <row r="1763" spans="1:13" x14ac:dyDescent="0.35">
      <c r="A1763" t="s">
        <v>2540</v>
      </c>
      <c r="B1763" t="s">
        <v>473</v>
      </c>
      <c r="C1763" t="s">
        <v>1495</v>
      </c>
      <c r="D1763" t="s">
        <v>53</v>
      </c>
      <c r="E1763" t="s">
        <v>84</v>
      </c>
      <c r="F1763" t="s">
        <v>85</v>
      </c>
      <c r="G1763" t="s">
        <v>19</v>
      </c>
      <c r="H1763">
        <v>555</v>
      </c>
      <c r="I1763">
        <v>30</v>
      </c>
      <c r="J1763">
        <v>100</v>
      </c>
      <c r="K1763" t="s">
        <v>20</v>
      </c>
      <c r="L1763">
        <v>52</v>
      </c>
      <c r="M1763" t="s">
        <v>30</v>
      </c>
    </row>
    <row r="1764" spans="1:13" x14ac:dyDescent="0.35">
      <c r="A1764" t="s">
        <v>2541</v>
      </c>
      <c r="B1764" t="s">
        <v>91</v>
      </c>
      <c r="C1764" t="s">
        <v>2542</v>
      </c>
      <c r="D1764" t="s">
        <v>40</v>
      </c>
      <c r="E1764" t="s">
        <v>67</v>
      </c>
      <c r="F1764" t="s">
        <v>48</v>
      </c>
      <c r="G1764" t="s">
        <v>107</v>
      </c>
      <c r="H1764">
        <v>204</v>
      </c>
      <c r="I1764">
        <v>40</v>
      </c>
      <c r="J1764">
        <v>20</v>
      </c>
      <c r="K1764" t="s">
        <v>29</v>
      </c>
      <c r="L1764">
        <v>54</v>
      </c>
      <c r="M1764" t="s">
        <v>21</v>
      </c>
    </row>
    <row r="1765" spans="1:13" x14ac:dyDescent="0.35">
      <c r="A1765" t="s">
        <v>2543</v>
      </c>
      <c r="B1765" t="s">
        <v>486</v>
      </c>
      <c r="C1765" t="s">
        <v>1539</v>
      </c>
      <c r="D1765" t="s">
        <v>46</v>
      </c>
      <c r="E1765" t="s">
        <v>148</v>
      </c>
      <c r="F1765" t="s">
        <v>27</v>
      </c>
      <c r="G1765" t="s">
        <v>59</v>
      </c>
      <c r="H1765">
        <v>184</v>
      </c>
      <c r="I1765">
        <v>50</v>
      </c>
      <c r="J1765">
        <v>100</v>
      </c>
      <c r="K1765" t="s">
        <v>36</v>
      </c>
      <c r="L1765">
        <v>49</v>
      </c>
      <c r="M1765" t="s">
        <v>21</v>
      </c>
    </row>
    <row r="1766" spans="1:13" x14ac:dyDescent="0.35">
      <c r="A1766" t="s">
        <v>2544</v>
      </c>
      <c r="B1766" t="s">
        <v>167</v>
      </c>
      <c r="C1766" t="s">
        <v>737</v>
      </c>
      <c r="D1766" t="s">
        <v>25</v>
      </c>
      <c r="E1766" t="s">
        <v>78</v>
      </c>
      <c r="F1766" t="s">
        <v>48</v>
      </c>
      <c r="G1766" t="s">
        <v>63</v>
      </c>
      <c r="H1766">
        <v>567</v>
      </c>
      <c r="I1766">
        <v>30</v>
      </c>
      <c r="J1766">
        <v>20</v>
      </c>
      <c r="K1766" t="s">
        <v>29</v>
      </c>
      <c r="L1766">
        <v>22</v>
      </c>
      <c r="M1766" t="s">
        <v>21</v>
      </c>
    </row>
    <row r="1767" spans="1:13" x14ac:dyDescent="0.35">
      <c r="A1767" t="s">
        <v>2545</v>
      </c>
      <c r="B1767" t="s">
        <v>580</v>
      </c>
      <c r="C1767" t="s">
        <v>1514</v>
      </c>
      <c r="D1767" t="s">
        <v>16</v>
      </c>
      <c r="E1767" t="s">
        <v>131</v>
      </c>
      <c r="F1767" t="s">
        <v>55</v>
      </c>
      <c r="G1767" t="s">
        <v>49</v>
      </c>
      <c r="H1767">
        <v>430</v>
      </c>
      <c r="I1767">
        <v>30</v>
      </c>
      <c r="J1767">
        <v>100</v>
      </c>
      <c r="K1767" t="s">
        <v>29</v>
      </c>
      <c r="L1767">
        <v>30</v>
      </c>
      <c r="M1767" t="s">
        <v>21</v>
      </c>
    </row>
    <row r="1768" spans="1:13" x14ac:dyDescent="0.35">
      <c r="A1768" t="s">
        <v>2546</v>
      </c>
      <c r="B1768" t="s">
        <v>365</v>
      </c>
      <c r="C1768" t="s">
        <v>1855</v>
      </c>
      <c r="D1768" t="s">
        <v>16</v>
      </c>
      <c r="E1768" t="s">
        <v>89</v>
      </c>
      <c r="F1768" t="s">
        <v>18</v>
      </c>
      <c r="G1768" t="s">
        <v>107</v>
      </c>
      <c r="H1768">
        <v>320</v>
      </c>
      <c r="I1768">
        <v>20</v>
      </c>
      <c r="J1768">
        <v>30</v>
      </c>
      <c r="K1768" t="s">
        <v>36</v>
      </c>
      <c r="L1768">
        <v>32</v>
      </c>
      <c r="M1768" t="s">
        <v>21</v>
      </c>
    </row>
    <row r="1769" spans="1:13" x14ac:dyDescent="0.35">
      <c r="A1769" t="s">
        <v>2547</v>
      </c>
      <c r="B1769" t="s">
        <v>69</v>
      </c>
      <c r="C1769" t="s">
        <v>172</v>
      </c>
      <c r="D1769" t="s">
        <v>53</v>
      </c>
      <c r="E1769" t="s">
        <v>152</v>
      </c>
      <c r="F1769" t="s">
        <v>18</v>
      </c>
      <c r="G1769" t="s">
        <v>107</v>
      </c>
      <c r="H1769">
        <v>687</v>
      </c>
      <c r="I1769">
        <v>40</v>
      </c>
      <c r="J1769">
        <v>50</v>
      </c>
      <c r="K1769" t="s">
        <v>36</v>
      </c>
      <c r="L1769">
        <v>31</v>
      </c>
      <c r="M1769" t="s">
        <v>21</v>
      </c>
    </row>
    <row r="1770" spans="1:13" x14ac:dyDescent="0.35">
      <c r="A1770" t="s">
        <v>2548</v>
      </c>
      <c r="B1770" t="s">
        <v>305</v>
      </c>
      <c r="C1770" t="s">
        <v>2549</v>
      </c>
      <c r="D1770" t="s">
        <v>46</v>
      </c>
      <c r="E1770" t="s">
        <v>47</v>
      </c>
      <c r="F1770" t="s">
        <v>48</v>
      </c>
      <c r="G1770" t="s">
        <v>74</v>
      </c>
      <c r="H1770">
        <v>346</v>
      </c>
      <c r="I1770">
        <v>20</v>
      </c>
      <c r="J1770">
        <v>20</v>
      </c>
      <c r="K1770" t="s">
        <v>29</v>
      </c>
      <c r="L1770">
        <v>41</v>
      </c>
      <c r="M1770" t="s">
        <v>21</v>
      </c>
    </row>
    <row r="1771" spans="1:13" x14ac:dyDescent="0.35">
      <c r="A1771" t="s">
        <v>2550</v>
      </c>
      <c r="B1771" t="s">
        <v>65</v>
      </c>
      <c r="C1771" t="s">
        <v>467</v>
      </c>
      <c r="D1771" t="s">
        <v>46</v>
      </c>
      <c r="E1771" t="s">
        <v>148</v>
      </c>
      <c r="F1771" t="s">
        <v>27</v>
      </c>
      <c r="G1771" t="s">
        <v>35</v>
      </c>
      <c r="H1771">
        <v>710</v>
      </c>
      <c r="I1771">
        <v>20</v>
      </c>
      <c r="J1771">
        <v>20</v>
      </c>
      <c r="K1771" t="s">
        <v>20</v>
      </c>
      <c r="L1771">
        <v>57</v>
      </c>
      <c r="M1771" t="s">
        <v>21</v>
      </c>
    </row>
    <row r="1772" spans="1:13" x14ac:dyDescent="0.35">
      <c r="A1772" t="s">
        <v>2551</v>
      </c>
      <c r="B1772" t="s">
        <v>218</v>
      </c>
      <c r="C1772" t="s">
        <v>1085</v>
      </c>
      <c r="D1772" t="s">
        <v>25</v>
      </c>
      <c r="E1772" t="s">
        <v>26</v>
      </c>
      <c r="F1772" t="s">
        <v>27</v>
      </c>
      <c r="G1772" t="s">
        <v>42</v>
      </c>
      <c r="H1772">
        <v>218</v>
      </c>
      <c r="I1772">
        <v>40</v>
      </c>
      <c r="J1772">
        <v>0</v>
      </c>
      <c r="K1772" t="s">
        <v>20</v>
      </c>
      <c r="L1772">
        <v>56</v>
      </c>
      <c r="M1772" t="s">
        <v>21</v>
      </c>
    </row>
    <row r="1773" spans="1:13" x14ac:dyDescent="0.35">
      <c r="A1773" t="s">
        <v>2552</v>
      </c>
      <c r="B1773" t="s">
        <v>186</v>
      </c>
      <c r="C1773" t="s">
        <v>351</v>
      </c>
      <c r="D1773" t="s">
        <v>53</v>
      </c>
      <c r="E1773" t="s">
        <v>54</v>
      </c>
      <c r="F1773" t="s">
        <v>55</v>
      </c>
      <c r="G1773" t="s">
        <v>28</v>
      </c>
      <c r="H1773">
        <v>437</v>
      </c>
      <c r="I1773">
        <v>20</v>
      </c>
      <c r="J1773">
        <v>0</v>
      </c>
      <c r="K1773" t="s">
        <v>29</v>
      </c>
      <c r="L1773">
        <v>36</v>
      </c>
      <c r="M1773" t="s">
        <v>21</v>
      </c>
    </row>
    <row r="1774" spans="1:13" x14ac:dyDescent="0.35">
      <c r="A1774" t="s">
        <v>2553</v>
      </c>
      <c r="B1774" t="s">
        <v>192</v>
      </c>
      <c r="C1774" t="s">
        <v>2554</v>
      </c>
      <c r="D1774" t="s">
        <v>53</v>
      </c>
      <c r="E1774" t="s">
        <v>152</v>
      </c>
      <c r="F1774" t="s">
        <v>18</v>
      </c>
      <c r="G1774" t="s">
        <v>107</v>
      </c>
      <c r="H1774">
        <v>244</v>
      </c>
      <c r="I1774">
        <v>40</v>
      </c>
      <c r="J1774">
        <v>50</v>
      </c>
      <c r="K1774" t="s">
        <v>29</v>
      </c>
      <c r="L1774">
        <v>52</v>
      </c>
      <c r="M1774" t="s">
        <v>30</v>
      </c>
    </row>
    <row r="1775" spans="1:13" x14ac:dyDescent="0.35">
      <c r="A1775" t="s">
        <v>2555</v>
      </c>
      <c r="B1775" t="s">
        <v>583</v>
      </c>
      <c r="C1775" t="s">
        <v>1774</v>
      </c>
      <c r="D1775" t="s">
        <v>46</v>
      </c>
      <c r="E1775" t="s">
        <v>148</v>
      </c>
      <c r="F1775" t="s">
        <v>27</v>
      </c>
      <c r="G1775" t="s">
        <v>176</v>
      </c>
      <c r="H1775">
        <v>668</v>
      </c>
      <c r="I1775">
        <v>40</v>
      </c>
      <c r="J1775">
        <v>30</v>
      </c>
      <c r="K1775" t="s">
        <v>36</v>
      </c>
      <c r="L1775">
        <v>37</v>
      </c>
      <c r="M1775" t="s">
        <v>21</v>
      </c>
    </row>
    <row r="1776" spans="1:13" x14ac:dyDescent="0.35">
      <c r="A1776" t="s">
        <v>2556</v>
      </c>
      <c r="B1776" t="s">
        <v>526</v>
      </c>
      <c r="C1776" t="s">
        <v>1413</v>
      </c>
      <c r="D1776" t="s">
        <v>16</v>
      </c>
      <c r="E1776" t="s">
        <v>17</v>
      </c>
      <c r="F1776" t="s">
        <v>18</v>
      </c>
      <c r="G1776" t="s">
        <v>28</v>
      </c>
      <c r="H1776">
        <v>663</v>
      </c>
      <c r="I1776">
        <v>50</v>
      </c>
      <c r="J1776">
        <v>20</v>
      </c>
      <c r="K1776" t="s">
        <v>20</v>
      </c>
      <c r="L1776">
        <v>35</v>
      </c>
      <c r="M1776" t="s">
        <v>21</v>
      </c>
    </row>
    <row r="1777" spans="1:13" x14ac:dyDescent="0.35">
      <c r="A1777" t="s">
        <v>2557</v>
      </c>
      <c r="B1777" t="s">
        <v>109</v>
      </c>
      <c r="C1777" t="s">
        <v>960</v>
      </c>
      <c r="D1777" t="s">
        <v>53</v>
      </c>
      <c r="E1777" t="s">
        <v>84</v>
      </c>
      <c r="F1777" t="s">
        <v>85</v>
      </c>
      <c r="G1777" t="s">
        <v>42</v>
      </c>
      <c r="H1777">
        <v>505</v>
      </c>
      <c r="I1777">
        <v>20</v>
      </c>
      <c r="J1777">
        <v>30</v>
      </c>
      <c r="K1777" t="s">
        <v>20</v>
      </c>
      <c r="L1777">
        <v>34</v>
      </c>
      <c r="M1777" t="s">
        <v>21</v>
      </c>
    </row>
    <row r="1778" spans="1:13" x14ac:dyDescent="0.35">
      <c r="A1778" t="s">
        <v>2558</v>
      </c>
      <c r="B1778" t="s">
        <v>38</v>
      </c>
      <c r="C1778" t="s">
        <v>604</v>
      </c>
      <c r="D1778" t="s">
        <v>16</v>
      </c>
      <c r="E1778" t="s">
        <v>89</v>
      </c>
      <c r="F1778" t="s">
        <v>18</v>
      </c>
      <c r="G1778" t="s">
        <v>107</v>
      </c>
      <c r="H1778">
        <v>792</v>
      </c>
      <c r="I1778">
        <v>20</v>
      </c>
      <c r="J1778">
        <v>50</v>
      </c>
      <c r="K1778" t="s">
        <v>36</v>
      </c>
      <c r="L1778">
        <v>21</v>
      </c>
      <c r="M1778" t="s">
        <v>21</v>
      </c>
    </row>
    <row r="1779" spans="1:13" x14ac:dyDescent="0.35">
      <c r="A1779" t="s">
        <v>2559</v>
      </c>
      <c r="B1779" t="s">
        <v>192</v>
      </c>
      <c r="C1779" t="s">
        <v>1273</v>
      </c>
      <c r="D1779" t="s">
        <v>40</v>
      </c>
      <c r="E1779" t="s">
        <v>41</v>
      </c>
      <c r="F1779" t="s">
        <v>27</v>
      </c>
      <c r="G1779" t="s">
        <v>74</v>
      </c>
      <c r="H1779">
        <v>629</v>
      </c>
      <c r="I1779">
        <v>30</v>
      </c>
      <c r="J1779">
        <v>0</v>
      </c>
      <c r="K1779" t="s">
        <v>36</v>
      </c>
      <c r="L1779">
        <v>28</v>
      </c>
      <c r="M1779" t="s">
        <v>21</v>
      </c>
    </row>
    <row r="1780" spans="1:13" x14ac:dyDescent="0.35">
      <c r="A1780" t="s">
        <v>2560</v>
      </c>
      <c r="B1780" t="s">
        <v>413</v>
      </c>
      <c r="C1780" t="s">
        <v>1037</v>
      </c>
      <c r="D1780" t="s">
        <v>16</v>
      </c>
      <c r="E1780" t="s">
        <v>89</v>
      </c>
      <c r="F1780" t="s">
        <v>18</v>
      </c>
      <c r="G1780" t="s">
        <v>35</v>
      </c>
      <c r="H1780">
        <v>665</v>
      </c>
      <c r="I1780">
        <v>40</v>
      </c>
      <c r="J1780">
        <v>50</v>
      </c>
      <c r="K1780" t="s">
        <v>20</v>
      </c>
      <c r="L1780">
        <v>39</v>
      </c>
      <c r="M1780" t="s">
        <v>21</v>
      </c>
    </row>
    <row r="1781" spans="1:13" x14ac:dyDescent="0.35">
      <c r="A1781" t="s">
        <v>2561</v>
      </c>
      <c r="B1781" t="s">
        <v>541</v>
      </c>
      <c r="C1781" t="s">
        <v>2460</v>
      </c>
      <c r="D1781" t="s">
        <v>25</v>
      </c>
      <c r="E1781" t="s">
        <v>34</v>
      </c>
      <c r="F1781" t="s">
        <v>27</v>
      </c>
      <c r="G1781" t="s">
        <v>74</v>
      </c>
      <c r="H1781">
        <v>706</v>
      </c>
      <c r="I1781">
        <v>40</v>
      </c>
      <c r="J1781">
        <v>30</v>
      </c>
      <c r="K1781" t="s">
        <v>36</v>
      </c>
      <c r="L1781">
        <v>30</v>
      </c>
      <c r="M1781" t="s">
        <v>21</v>
      </c>
    </row>
    <row r="1782" spans="1:13" x14ac:dyDescent="0.35">
      <c r="A1782" t="s">
        <v>2562</v>
      </c>
      <c r="B1782" t="s">
        <v>310</v>
      </c>
      <c r="C1782" t="s">
        <v>578</v>
      </c>
      <c r="D1782" t="s">
        <v>46</v>
      </c>
      <c r="E1782" t="s">
        <v>148</v>
      </c>
      <c r="F1782" t="s">
        <v>27</v>
      </c>
      <c r="G1782" t="s">
        <v>19</v>
      </c>
      <c r="H1782">
        <v>483</v>
      </c>
      <c r="I1782">
        <v>20</v>
      </c>
      <c r="J1782">
        <v>30</v>
      </c>
      <c r="K1782" t="s">
        <v>29</v>
      </c>
      <c r="L1782">
        <v>24</v>
      </c>
      <c r="M1782" t="s">
        <v>21</v>
      </c>
    </row>
    <row r="1783" spans="1:13" x14ac:dyDescent="0.35">
      <c r="A1783" t="s">
        <v>2563</v>
      </c>
      <c r="B1783" t="s">
        <v>247</v>
      </c>
      <c r="C1783" t="s">
        <v>1016</v>
      </c>
      <c r="D1783" t="s">
        <v>16</v>
      </c>
      <c r="E1783" t="s">
        <v>17</v>
      </c>
      <c r="F1783" t="s">
        <v>18</v>
      </c>
      <c r="G1783" t="s">
        <v>176</v>
      </c>
      <c r="H1783">
        <v>407</v>
      </c>
      <c r="I1783">
        <v>20</v>
      </c>
      <c r="J1783">
        <v>50</v>
      </c>
      <c r="K1783" t="s">
        <v>29</v>
      </c>
      <c r="L1783">
        <v>40</v>
      </c>
      <c r="M1783" t="s">
        <v>21</v>
      </c>
    </row>
    <row r="1784" spans="1:13" x14ac:dyDescent="0.35">
      <c r="A1784" t="s">
        <v>2564</v>
      </c>
      <c r="B1784" t="s">
        <v>329</v>
      </c>
      <c r="C1784" t="s">
        <v>1959</v>
      </c>
      <c r="D1784" t="s">
        <v>40</v>
      </c>
      <c r="E1784" t="s">
        <v>67</v>
      </c>
      <c r="F1784" t="s">
        <v>48</v>
      </c>
      <c r="G1784" t="s">
        <v>28</v>
      </c>
      <c r="H1784">
        <v>178</v>
      </c>
      <c r="I1784">
        <v>40</v>
      </c>
      <c r="J1784">
        <v>30</v>
      </c>
      <c r="K1784" t="s">
        <v>29</v>
      </c>
      <c r="L1784">
        <v>32</v>
      </c>
      <c r="M1784" t="s">
        <v>21</v>
      </c>
    </row>
    <row r="1785" spans="1:13" x14ac:dyDescent="0.35">
      <c r="A1785" t="s">
        <v>2565</v>
      </c>
      <c r="B1785" t="s">
        <v>126</v>
      </c>
      <c r="C1785" t="s">
        <v>399</v>
      </c>
      <c r="D1785" t="s">
        <v>25</v>
      </c>
      <c r="E1785" t="s">
        <v>26</v>
      </c>
      <c r="F1785" t="s">
        <v>27</v>
      </c>
      <c r="G1785" t="s">
        <v>19</v>
      </c>
      <c r="H1785">
        <v>272</v>
      </c>
      <c r="I1785">
        <v>50</v>
      </c>
      <c r="J1785">
        <v>50</v>
      </c>
      <c r="K1785" t="s">
        <v>20</v>
      </c>
      <c r="L1785">
        <v>33</v>
      </c>
      <c r="M1785" t="s">
        <v>21</v>
      </c>
    </row>
    <row r="1786" spans="1:13" x14ac:dyDescent="0.35">
      <c r="A1786" t="s">
        <v>2566</v>
      </c>
      <c r="B1786" t="s">
        <v>14</v>
      </c>
      <c r="C1786" t="s">
        <v>2539</v>
      </c>
      <c r="D1786" t="s">
        <v>53</v>
      </c>
      <c r="E1786" t="s">
        <v>84</v>
      </c>
      <c r="F1786" t="s">
        <v>85</v>
      </c>
      <c r="G1786" t="s">
        <v>176</v>
      </c>
      <c r="H1786">
        <v>672</v>
      </c>
      <c r="I1786">
        <v>40</v>
      </c>
      <c r="J1786">
        <v>50</v>
      </c>
      <c r="K1786" t="s">
        <v>20</v>
      </c>
      <c r="L1786">
        <v>22</v>
      </c>
      <c r="M1786" t="s">
        <v>21</v>
      </c>
    </row>
    <row r="1787" spans="1:13" x14ac:dyDescent="0.35">
      <c r="A1787" t="s">
        <v>2567</v>
      </c>
      <c r="B1787" t="s">
        <v>600</v>
      </c>
      <c r="C1787" t="s">
        <v>1532</v>
      </c>
      <c r="D1787" t="s">
        <v>25</v>
      </c>
      <c r="E1787" t="s">
        <v>34</v>
      </c>
      <c r="F1787" t="s">
        <v>27</v>
      </c>
      <c r="G1787" t="s">
        <v>63</v>
      </c>
      <c r="H1787">
        <v>667</v>
      </c>
      <c r="I1787">
        <v>40</v>
      </c>
      <c r="J1787">
        <v>50</v>
      </c>
      <c r="K1787" t="s">
        <v>20</v>
      </c>
      <c r="L1787">
        <v>31</v>
      </c>
      <c r="M1787" t="s">
        <v>21</v>
      </c>
    </row>
    <row r="1788" spans="1:13" x14ac:dyDescent="0.35">
      <c r="A1788" t="s">
        <v>2568</v>
      </c>
      <c r="B1788" t="s">
        <v>99</v>
      </c>
      <c r="C1788" t="s">
        <v>423</v>
      </c>
      <c r="D1788" t="s">
        <v>53</v>
      </c>
      <c r="E1788" t="s">
        <v>84</v>
      </c>
      <c r="F1788" t="s">
        <v>85</v>
      </c>
      <c r="G1788" t="s">
        <v>28</v>
      </c>
      <c r="H1788">
        <v>676</v>
      </c>
      <c r="I1788">
        <v>50</v>
      </c>
      <c r="J1788">
        <v>50</v>
      </c>
      <c r="K1788" t="s">
        <v>29</v>
      </c>
      <c r="L1788">
        <v>36</v>
      </c>
      <c r="M1788" t="s">
        <v>21</v>
      </c>
    </row>
    <row r="1789" spans="1:13" x14ac:dyDescent="0.35">
      <c r="A1789" t="s">
        <v>2569</v>
      </c>
      <c r="B1789" t="s">
        <v>486</v>
      </c>
      <c r="C1789" t="s">
        <v>1675</v>
      </c>
      <c r="D1789" t="s">
        <v>16</v>
      </c>
      <c r="E1789" t="s">
        <v>17</v>
      </c>
      <c r="F1789" t="s">
        <v>18</v>
      </c>
      <c r="G1789" t="s">
        <v>28</v>
      </c>
      <c r="H1789">
        <v>666</v>
      </c>
      <c r="I1789">
        <v>30</v>
      </c>
      <c r="J1789">
        <v>0</v>
      </c>
      <c r="K1789" t="s">
        <v>36</v>
      </c>
      <c r="L1789">
        <v>56</v>
      </c>
      <c r="M1789" t="s">
        <v>21</v>
      </c>
    </row>
    <row r="1790" spans="1:13" x14ac:dyDescent="0.35">
      <c r="A1790" t="s">
        <v>2570</v>
      </c>
      <c r="B1790" t="s">
        <v>189</v>
      </c>
      <c r="C1790" t="s">
        <v>684</v>
      </c>
      <c r="D1790" t="s">
        <v>53</v>
      </c>
      <c r="E1790" t="s">
        <v>152</v>
      </c>
      <c r="F1790" t="s">
        <v>18</v>
      </c>
      <c r="G1790" t="s">
        <v>74</v>
      </c>
      <c r="H1790">
        <v>439</v>
      </c>
      <c r="I1790">
        <v>30</v>
      </c>
      <c r="J1790">
        <v>0</v>
      </c>
      <c r="K1790" t="s">
        <v>29</v>
      </c>
      <c r="L1790">
        <v>47</v>
      </c>
      <c r="M1790" t="s">
        <v>21</v>
      </c>
    </row>
    <row r="1791" spans="1:13" x14ac:dyDescent="0.35">
      <c r="A1791" t="s">
        <v>2571</v>
      </c>
      <c r="B1791" t="s">
        <v>562</v>
      </c>
      <c r="C1791" t="s">
        <v>2424</v>
      </c>
      <c r="D1791" t="s">
        <v>25</v>
      </c>
      <c r="E1791" t="s">
        <v>26</v>
      </c>
      <c r="F1791" t="s">
        <v>27</v>
      </c>
      <c r="G1791" t="s">
        <v>74</v>
      </c>
      <c r="H1791">
        <v>664</v>
      </c>
      <c r="I1791">
        <v>50</v>
      </c>
      <c r="J1791">
        <v>100</v>
      </c>
      <c r="K1791" t="s">
        <v>20</v>
      </c>
      <c r="L1791">
        <v>58</v>
      </c>
      <c r="M1791" t="s">
        <v>21</v>
      </c>
    </row>
    <row r="1792" spans="1:13" x14ac:dyDescent="0.35">
      <c r="A1792" t="s">
        <v>2572</v>
      </c>
      <c r="B1792" t="s">
        <v>44</v>
      </c>
      <c r="C1792" t="s">
        <v>797</v>
      </c>
      <c r="D1792" t="s">
        <v>16</v>
      </c>
      <c r="E1792" t="s">
        <v>89</v>
      </c>
      <c r="F1792" t="s">
        <v>18</v>
      </c>
      <c r="G1792" t="s">
        <v>59</v>
      </c>
      <c r="H1792">
        <v>701</v>
      </c>
      <c r="I1792">
        <v>20</v>
      </c>
      <c r="J1792">
        <v>20</v>
      </c>
      <c r="K1792" t="s">
        <v>36</v>
      </c>
      <c r="L1792">
        <v>54</v>
      </c>
      <c r="M1792" t="s">
        <v>21</v>
      </c>
    </row>
    <row r="1793" spans="1:13" x14ac:dyDescent="0.35">
      <c r="A1793" t="s">
        <v>2573</v>
      </c>
      <c r="B1793" t="s">
        <v>44</v>
      </c>
      <c r="C1793" t="s">
        <v>926</v>
      </c>
      <c r="D1793" t="s">
        <v>25</v>
      </c>
      <c r="E1793" t="s">
        <v>26</v>
      </c>
      <c r="F1793" t="s">
        <v>27</v>
      </c>
      <c r="G1793" t="s">
        <v>107</v>
      </c>
      <c r="H1793">
        <v>460</v>
      </c>
      <c r="I1793">
        <v>50</v>
      </c>
      <c r="J1793">
        <v>0</v>
      </c>
      <c r="K1793" t="s">
        <v>36</v>
      </c>
      <c r="L1793">
        <v>57</v>
      </c>
      <c r="M1793" t="s">
        <v>21</v>
      </c>
    </row>
    <row r="1794" spans="1:13" x14ac:dyDescent="0.35">
      <c r="A1794" t="s">
        <v>2574</v>
      </c>
      <c r="B1794" t="s">
        <v>167</v>
      </c>
      <c r="C1794" t="s">
        <v>1166</v>
      </c>
      <c r="D1794" t="s">
        <v>53</v>
      </c>
      <c r="E1794" t="s">
        <v>54</v>
      </c>
      <c r="F1794" t="s">
        <v>55</v>
      </c>
      <c r="G1794" t="s">
        <v>42</v>
      </c>
      <c r="H1794">
        <v>721</v>
      </c>
      <c r="I1794">
        <v>40</v>
      </c>
      <c r="J1794">
        <v>0</v>
      </c>
      <c r="K1794" t="s">
        <v>36</v>
      </c>
      <c r="L1794">
        <v>25</v>
      </c>
      <c r="M1794" t="s">
        <v>21</v>
      </c>
    </row>
    <row r="1795" spans="1:13" x14ac:dyDescent="0.35">
      <c r="A1795" t="s">
        <v>2575</v>
      </c>
      <c r="B1795" t="s">
        <v>213</v>
      </c>
      <c r="C1795" t="s">
        <v>465</v>
      </c>
      <c r="D1795" t="s">
        <v>25</v>
      </c>
      <c r="E1795" t="s">
        <v>26</v>
      </c>
      <c r="F1795" t="s">
        <v>27</v>
      </c>
      <c r="G1795" t="s">
        <v>107</v>
      </c>
      <c r="H1795">
        <v>308</v>
      </c>
      <c r="I1795">
        <v>40</v>
      </c>
      <c r="J1795">
        <v>0</v>
      </c>
      <c r="K1795" t="s">
        <v>36</v>
      </c>
      <c r="L1795">
        <v>23</v>
      </c>
      <c r="M1795" t="s">
        <v>21</v>
      </c>
    </row>
    <row r="1796" spans="1:13" x14ac:dyDescent="0.35">
      <c r="A1796" t="s">
        <v>2576</v>
      </c>
      <c r="B1796" t="s">
        <v>118</v>
      </c>
      <c r="C1796" t="s">
        <v>1368</v>
      </c>
      <c r="D1796" t="s">
        <v>53</v>
      </c>
      <c r="E1796" t="s">
        <v>84</v>
      </c>
      <c r="F1796" t="s">
        <v>85</v>
      </c>
      <c r="G1796" t="s">
        <v>19</v>
      </c>
      <c r="H1796">
        <v>636</v>
      </c>
      <c r="I1796">
        <v>50</v>
      </c>
      <c r="J1796">
        <v>50</v>
      </c>
      <c r="K1796" t="s">
        <v>29</v>
      </c>
      <c r="L1796">
        <v>28</v>
      </c>
      <c r="M1796" t="s">
        <v>21</v>
      </c>
    </row>
    <row r="1797" spans="1:13" x14ac:dyDescent="0.35">
      <c r="A1797" t="s">
        <v>2577</v>
      </c>
      <c r="B1797" t="s">
        <v>129</v>
      </c>
      <c r="C1797" t="s">
        <v>745</v>
      </c>
      <c r="D1797" t="s">
        <v>46</v>
      </c>
      <c r="E1797" t="s">
        <v>47</v>
      </c>
      <c r="F1797" t="s">
        <v>48</v>
      </c>
      <c r="G1797" t="s">
        <v>42</v>
      </c>
      <c r="H1797">
        <v>789</v>
      </c>
      <c r="I1797">
        <v>20</v>
      </c>
      <c r="J1797">
        <v>50</v>
      </c>
      <c r="K1797" t="s">
        <v>20</v>
      </c>
      <c r="L1797">
        <v>55</v>
      </c>
      <c r="M1797" t="s">
        <v>21</v>
      </c>
    </row>
    <row r="1798" spans="1:13" x14ac:dyDescent="0.35">
      <c r="A1798" t="s">
        <v>2578</v>
      </c>
      <c r="B1798" t="s">
        <v>600</v>
      </c>
      <c r="C1798" t="s">
        <v>457</v>
      </c>
      <c r="D1798" t="s">
        <v>40</v>
      </c>
      <c r="E1798" t="s">
        <v>67</v>
      </c>
      <c r="F1798" t="s">
        <v>48</v>
      </c>
      <c r="G1798" t="s">
        <v>35</v>
      </c>
      <c r="H1798">
        <v>589</v>
      </c>
      <c r="I1798">
        <v>50</v>
      </c>
      <c r="J1798">
        <v>50</v>
      </c>
      <c r="K1798" t="s">
        <v>36</v>
      </c>
      <c r="L1798">
        <v>32</v>
      </c>
      <c r="M1798" t="s">
        <v>21</v>
      </c>
    </row>
    <row r="1799" spans="1:13" x14ac:dyDescent="0.35">
      <c r="A1799" t="s">
        <v>2579</v>
      </c>
      <c r="B1799" t="s">
        <v>205</v>
      </c>
      <c r="C1799" t="s">
        <v>1051</v>
      </c>
      <c r="D1799" t="s">
        <v>40</v>
      </c>
      <c r="E1799" t="s">
        <v>111</v>
      </c>
      <c r="F1799" t="s">
        <v>18</v>
      </c>
      <c r="G1799" t="s">
        <v>176</v>
      </c>
      <c r="H1799">
        <v>309</v>
      </c>
      <c r="I1799">
        <v>20</v>
      </c>
      <c r="J1799">
        <v>20</v>
      </c>
      <c r="K1799" t="s">
        <v>29</v>
      </c>
      <c r="L1799">
        <v>29</v>
      </c>
      <c r="M1799" t="s">
        <v>21</v>
      </c>
    </row>
    <row r="1800" spans="1:13" x14ac:dyDescent="0.35">
      <c r="A1800" t="s">
        <v>2580</v>
      </c>
      <c r="B1800" t="s">
        <v>336</v>
      </c>
      <c r="C1800" t="s">
        <v>1450</v>
      </c>
      <c r="D1800" t="s">
        <v>25</v>
      </c>
      <c r="E1800" t="s">
        <v>34</v>
      </c>
      <c r="F1800" t="s">
        <v>27</v>
      </c>
      <c r="G1800" t="s">
        <v>63</v>
      </c>
      <c r="H1800">
        <v>644</v>
      </c>
      <c r="I1800">
        <v>50</v>
      </c>
      <c r="J1800">
        <v>0</v>
      </c>
      <c r="K1800" t="s">
        <v>36</v>
      </c>
      <c r="L1800">
        <v>26</v>
      </c>
      <c r="M1800" t="s">
        <v>21</v>
      </c>
    </row>
    <row r="1801" spans="1:13" x14ac:dyDescent="0.35">
      <c r="A1801" t="s">
        <v>2581</v>
      </c>
      <c r="B1801" t="s">
        <v>80</v>
      </c>
      <c r="C1801" t="s">
        <v>478</v>
      </c>
      <c r="D1801" t="s">
        <v>40</v>
      </c>
      <c r="E1801" t="s">
        <v>41</v>
      </c>
      <c r="F1801" t="s">
        <v>27</v>
      </c>
      <c r="G1801" t="s">
        <v>74</v>
      </c>
      <c r="H1801">
        <v>795</v>
      </c>
      <c r="I1801">
        <v>50</v>
      </c>
      <c r="J1801">
        <v>30</v>
      </c>
      <c r="K1801" t="s">
        <v>20</v>
      </c>
      <c r="L1801">
        <v>28</v>
      </c>
      <c r="M1801" t="s">
        <v>21</v>
      </c>
    </row>
    <row r="1802" spans="1:13" x14ac:dyDescent="0.35">
      <c r="A1802" t="s">
        <v>2582</v>
      </c>
      <c r="B1802" t="s">
        <v>126</v>
      </c>
      <c r="C1802" t="s">
        <v>1133</v>
      </c>
      <c r="D1802" t="s">
        <v>53</v>
      </c>
      <c r="E1802" t="s">
        <v>152</v>
      </c>
      <c r="F1802" t="s">
        <v>18</v>
      </c>
      <c r="G1802" t="s">
        <v>42</v>
      </c>
      <c r="H1802">
        <v>739</v>
      </c>
      <c r="I1802">
        <v>40</v>
      </c>
      <c r="J1802">
        <v>0</v>
      </c>
      <c r="K1802" t="s">
        <v>36</v>
      </c>
      <c r="L1802">
        <v>40</v>
      </c>
      <c r="M1802" t="s">
        <v>21</v>
      </c>
    </row>
    <row r="1803" spans="1:13" x14ac:dyDescent="0.35">
      <c r="A1803" t="s">
        <v>2583</v>
      </c>
      <c r="B1803" t="s">
        <v>252</v>
      </c>
      <c r="C1803" t="s">
        <v>231</v>
      </c>
      <c r="D1803" t="s">
        <v>53</v>
      </c>
      <c r="E1803" t="s">
        <v>54</v>
      </c>
      <c r="F1803" t="s">
        <v>55</v>
      </c>
      <c r="G1803" t="s">
        <v>35</v>
      </c>
      <c r="H1803">
        <v>647</v>
      </c>
      <c r="I1803">
        <v>20</v>
      </c>
      <c r="J1803">
        <v>50</v>
      </c>
      <c r="K1803" t="s">
        <v>36</v>
      </c>
      <c r="L1803">
        <v>55</v>
      </c>
      <c r="M1803" t="s">
        <v>21</v>
      </c>
    </row>
    <row r="1804" spans="1:13" x14ac:dyDescent="0.35">
      <c r="A1804" t="s">
        <v>2584</v>
      </c>
      <c r="B1804" t="s">
        <v>136</v>
      </c>
      <c r="C1804" t="s">
        <v>382</v>
      </c>
      <c r="D1804" t="s">
        <v>46</v>
      </c>
      <c r="E1804" t="s">
        <v>47</v>
      </c>
      <c r="F1804" t="s">
        <v>48</v>
      </c>
      <c r="G1804" t="s">
        <v>74</v>
      </c>
      <c r="H1804">
        <v>792</v>
      </c>
      <c r="I1804">
        <v>50</v>
      </c>
      <c r="J1804">
        <v>30</v>
      </c>
      <c r="K1804" t="s">
        <v>20</v>
      </c>
      <c r="L1804">
        <v>41</v>
      </c>
      <c r="M1804" t="s">
        <v>21</v>
      </c>
    </row>
    <row r="1805" spans="1:13" x14ac:dyDescent="0.35">
      <c r="A1805" t="s">
        <v>2585</v>
      </c>
      <c r="B1805" t="s">
        <v>109</v>
      </c>
      <c r="C1805" t="s">
        <v>506</v>
      </c>
      <c r="D1805" t="s">
        <v>46</v>
      </c>
      <c r="E1805" t="s">
        <v>148</v>
      </c>
      <c r="F1805" t="s">
        <v>27</v>
      </c>
      <c r="G1805" t="s">
        <v>28</v>
      </c>
      <c r="H1805">
        <v>497</v>
      </c>
      <c r="I1805">
        <v>30</v>
      </c>
      <c r="J1805">
        <v>0</v>
      </c>
      <c r="K1805" t="s">
        <v>20</v>
      </c>
      <c r="L1805">
        <v>54</v>
      </c>
      <c r="M1805" t="s">
        <v>21</v>
      </c>
    </row>
    <row r="1806" spans="1:13" x14ac:dyDescent="0.35">
      <c r="A1806" t="s">
        <v>2586</v>
      </c>
      <c r="B1806" t="s">
        <v>267</v>
      </c>
      <c r="C1806" t="s">
        <v>396</v>
      </c>
      <c r="D1806" t="s">
        <v>25</v>
      </c>
      <c r="E1806" t="s">
        <v>34</v>
      </c>
      <c r="F1806" t="s">
        <v>27</v>
      </c>
      <c r="G1806" t="s">
        <v>19</v>
      </c>
      <c r="H1806">
        <v>676</v>
      </c>
      <c r="I1806">
        <v>20</v>
      </c>
      <c r="J1806">
        <v>50</v>
      </c>
      <c r="K1806" t="s">
        <v>20</v>
      </c>
      <c r="L1806">
        <v>47</v>
      </c>
      <c r="M1806" t="s">
        <v>21</v>
      </c>
    </row>
    <row r="1807" spans="1:13" x14ac:dyDescent="0.35">
      <c r="A1807" t="s">
        <v>2587</v>
      </c>
      <c r="B1807" t="s">
        <v>44</v>
      </c>
      <c r="C1807" t="s">
        <v>539</v>
      </c>
      <c r="D1807" t="s">
        <v>53</v>
      </c>
      <c r="E1807" t="s">
        <v>152</v>
      </c>
      <c r="F1807" t="s">
        <v>18</v>
      </c>
      <c r="G1807" t="s">
        <v>74</v>
      </c>
      <c r="H1807">
        <v>609</v>
      </c>
      <c r="I1807">
        <v>30</v>
      </c>
      <c r="J1807">
        <v>50</v>
      </c>
      <c r="K1807" t="s">
        <v>36</v>
      </c>
      <c r="L1807">
        <v>32</v>
      </c>
      <c r="M1807" t="s">
        <v>21</v>
      </c>
    </row>
    <row r="1808" spans="1:13" x14ac:dyDescent="0.35">
      <c r="A1808" t="s">
        <v>2588</v>
      </c>
      <c r="B1808" t="s">
        <v>91</v>
      </c>
      <c r="C1808" t="s">
        <v>401</v>
      </c>
      <c r="D1808" t="s">
        <v>16</v>
      </c>
      <c r="E1808" t="s">
        <v>17</v>
      </c>
      <c r="F1808" t="s">
        <v>18</v>
      </c>
      <c r="G1808" t="s">
        <v>107</v>
      </c>
      <c r="H1808">
        <v>486</v>
      </c>
      <c r="I1808">
        <v>20</v>
      </c>
      <c r="J1808">
        <v>0</v>
      </c>
      <c r="K1808" t="s">
        <v>29</v>
      </c>
      <c r="L1808">
        <v>27</v>
      </c>
      <c r="M1808" t="s">
        <v>21</v>
      </c>
    </row>
    <row r="1809" spans="1:13" x14ac:dyDescent="0.35">
      <c r="A1809" t="s">
        <v>2589</v>
      </c>
      <c r="B1809" t="s">
        <v>368</v>
      </c>
      <c r="C1809" t="s">
        <v>569</v>
      </c>
      <c r="D1809" t="s">
        <v>25</v>
      </c>
      <c r="E1809" t="s">
        <v>34</v>
      </c>
      <c r="F1809" t="s">
        <v>27</v>
      </c>
      <c r="G1809" t="s">
        <v>49</v>
      </c>
      <c r="H1809">
        <v>666</v>
      </c>
      <c r="I1809">
        <v>20</v>
      </c>
      <c r="J1809">
        <v>50</v>
      </c>
      <c r="K1809" t="s">
        <v>29</v>
      </c>
      <c r="L1809">
        <v>34</v>
      </c>
      <c r="M1809" t="s">
        <v>21</v>
      </c>
    </row>
    <row r="1810" spans="1:13" x14ac:dyDescent="0.35">
      <c r="A1810" t="s">
        <v>2590</v>
      </c>
      <c r="B1810" t="s">
        <v>600</v>
      </c>
      <c r="C1810" t="s">
        <v>2397</v>
      </c>
      <c r="D1810" t="s">
        <v>16</v>
      </c>
      <c r="E1810" t="s">
        <v>89</v>
      </c>
      <c r="F1810" t="s">
        <v>18</v>
      </c>
      <c r="G1810" t="s">
        <v>28</v>
      </c>
      <c r="H1810">
        <v>790</v>
      </c>
      <c r="I1810">
        <v>20</v>
      </c>
      <c r="J1810">
        <v>50</v>
      </c>
      <c r="K1810" t="s">
        <v>36</v>
      </c>
      <c r="L1810">
        <v>21</v>
      </c>
      <c r="M1810" t="s">
        <v>21</v>
      </c>
    </row>
    <row r="1811" spans="1:13" x14ac:dyDescent="0.35">
      <c r="A1811" t="s">
        <v>2591</v>
      </c>
      <c r="B1811" t="s">
        <v>105</v>
      </c>
      <c r="C1811" t="s">
        <v>235</v>
      </c>
      <c r="D1811" t="s">
        <v>25</v>
      </c>
      <c r="E1811" t="s">
        <v>34</v>
      </c>
      <c r="F1811" t="s">
        <v>27</v>
      </c>
      <c r="G1811" t="s">
        <v>176</v>
      </c>
      <c r="H1811">
        <v>210</v>
      </c>
      <c r="I1811">
        <v>20</v>
      </c>
      <c r="J1811">
        <v>20</v>
      </c>
      <c r="K1811" t="s">
        <v>29</v>
      </c>
      <c r="L1811">
        <v>45</v>
      </c>
      <c r="M1811" t="s">
        <v>21</v>
      </c>
    </row>
    <row r="1812" spans="1:13" x14ac:dyDescent="0.35">
      <c r="A1812" t="s">
        <v>2592</v>
      </c>
      <c r="B1812" t="s">
        <v>247</v>
      </c>
      <c r="C1812" t="s">
        <v>414</v>
      </c>
      <c r="D1812" t="s">
        <v>46</v>
      </c>
      <c r="E1812" t="s">
        <v>148</v>
      </c>
      <c r="F1812" t="s">
        <v>27</v>
      </c>
      <c r="G1812" t="s">
        <v>19</v>
      </c>
      <c r="H1812">
        <v>765</v>
      </c>
      <c r="I1812">
        <v>40</v>
      </c>
      <c r="J1812">
        <v>100</v>
      </c>
      <c r="K1812" t="s">
        <v>29</v>
      </c>
      <c r="L1812">
        <v>22</v>
      </c>
      <c r="M1812" t="s">
        <v>21</v>
      </c>
    </row>
    <row r="1813" spans="1:13" x14ac:dyDescent="0.35">
      <c r="A1813" t="s">
        <v>2593</v>
      </c>
      <c r="B1813" t="s">
        <v>154</v>
      </c>
      <c r="C1813" t="s">
        <v>726</v>
      </c>
      <c r="D1813" t="s">
        <v>16</v>
      </c>
      <c r="E1813" t="s">
        <v>131</v>
      </c>
      <c r="F1813" t="s">
        <v>55</v>
      </c>
      <c r="G1813" t="s">
        <v>107</v>
      </c>
      <c r="H1813">
        <v>668</v>
      </c>
      <c r="I1813">
        <v>50</v>
      </c>
      <c r="J1813">
        <v>20</v>
      </c>
      <c r="K1813" t="s">
        <v>29</v>
      </c>
      <c r="L1813">
        <v>46</v>
      </c>
      <c r="M1813" t="s">
        <v>21</v>
      </c>
    </row>
    <row r="1814" spans="1:13" x14ac:dyDescent="0.35">
      <c r="A1814" t="s">
        <v>2594</v>
      </c>
      <c r="B1814" t="s">
        <v>154</v>
      </c>
      <c r="C1814" t="s">
        <v>45</v>
      </c>
      <c r="D1814" t="s">
        <v>40</v>
      </c>
      <c r="E1814" t="s">
        <v>67</v>
      </c>
      <c r="F1814" t="s">
        <v>48</v>
      </c>
      <c r="G1814" t="s">
        <v>176</v>
      </c>
      <c r="H1814">
        <v>493</v>
      </c>
      <c r="I1814">
        <v>20</v>
      </c>
      <c r="J1814">
        <v>0</v>
      </c>
      <c r="K1814" t="s">
        <v>20</v>
      </c>
      <c r="L1814">
        <v>34</v>
      </c>
      <c r="M1814" t="s">
        <v>21</v>
      </c>
    </row>
    <row r="1815" spans="1:13" x14ac:dyDescent="0.35">
      <c r="A1815" t="s">
        <v>2595</v>
      </c>
      <c r="B1815" t="s">
        <v>87</v>
      </c>
      <c r="C1815" t="s">
        <v>922</v>
      </c>
      <c r="D1815" t="s">
        <v>40</v>
      </c>
      <c r="E1815" t="s">
        <v>41</v>
      </c>
      <c r="F1815" t="s">
        <v>27</v>
      </c>
      <c r="G1815" t="s">
        <v>35</v>
      </c>
      <c r="H1815">
        <v>304</v>
      </c>
      <c r="I1815">
        <v>20</v>
      </c>
      <c r="J1815">
        <v>50</v>
      </c>
      <c r="K1815" t="s">
        <v>20</v>
      </c>
      <c r="L1815">
        <v>55</v>
      </c>
      <c r="M1815" t="s">
        <v>21</v>
      </c>
    </row>
    <row r="1816" spans="1:13" x14ac:dyDescent="0.35">
      <c r="A1816" t="s">
        <v>2596</v>
      </c>
      <c r="B1816" t="s">
        <v>580</v>
      </c>
      <c r="C1816" t="s">
        <v>1990</v>
      </c>
      <c r="D1816" t="s">
        <v>25</v>
      </c>
      <c r="E1816" t="s">
        <v>78</v>
      </c>
      <c r="F1816" t="s">
        <v>48</v>
      </c>
      <c r="G1816" t="s">
        <v>19</v>
      </c>
      <c r="H1816">
        <v>465</v>
      </c>
      <c r="I1816">
        <v>50</v>
      </c>
      <c r="J1816">
        <v>30</v>
      </c>
      <c r="K1816" t="s">
        <v>36</v>
      </c>
      <c r="L1816">
        <v>45</v>
      </c>
      <c r="M1816" t="s">
        <v>21</v>
      </c>
    </row>
    <row r="1817" spans="1:13" x14ac:dyDescent="0.35">
      <c r="A1817" t="s">
        <v>2597</v>
      </c>
      <c r="B1817" t="s">
        <v>223</v>
      </c>
      <c r="C1817" t="s">
        <v>895</v>
      </c>
      <c r="D1817" t="s">
        <v>25</v>
      </c>
      <c r="E1817" t="s">
        <v>34</v>
      </c>
      <c r="F1817" t="s">
        <v>27</v>
      </c>
      <c r="G1817" t="s">
        <v>176</v>
      </c>
      <c r="H1817">
        <v>186</v>
      </c>
      <c r="I1817">
        <v>40</v>
      </c>
      <c r="J1817">
        <v>50</v>
      </c>
      <c r="K1817" t="s">
        <v>36</v>
      </c>
      <c r="L1817">
        <v>39</v>
      </c>
      <c r="M1817" t="s">
        <v>21</v>
      </c>
    </row>
    <row r="1818" spans="1:13" x14ac:dyDescent="0.35">
      <c r="A1818" t="s">
        <v>2598</v>
      </c>
      <c r="B1818" t="s">
        <v>57</v>
      </c>
      <c r="C1818" t="s">
        <v>824</v>
      </c>
      <c r="D1818" t="s">
        <v>53</v>
      </c>
      <c r="E1818" t="s">
        <v>152</v>
      </c>
      <c r="F1818" t="s">
        <v>18</v>
      </c>
      <c r="G1818" t="s">
        <v>28</v>
      </c>
      <c r="H1818">
        <v>289</v>
      </c>
      <c r="I1818">
        <v>30</v>
      </c>
      <c r="J1818">
        <v>20</v>
      </c>
      <c r="K1818" t="s">
        <v>20</v>
      </c>
      <c r="L1818">
        <v>45</v>
      </c>
      <c r="M1818" t="s">
        <v>21</v>
      </c>
    </row>
    <row r="1819" spans="1:13" x14ac:dyDescent="0.35">
      <c r="A1819" t="s">
        <v>2599</v>
      </c>
      <c r="B1819" t="s">
        <v>326</v>
      </c>
      <c r="C1819" t="s">
        <v>1077</v>
      </c>
      <c r="D1819" t="s">
        <v>25</v>
      </c>
      <c r="E1819" t="s">
        <v>26</v>
      </c>
      <c r="F1819" t="s">
        <v>27</v>
      </c>
      <c r="G1819" t="s">
        <v>49</v>
      </c>
      <c r="H1819">
        <v>297</v>
      </c>
      <c r="I1819">
        <v>30</v>
      </c>
      <c r="J1819">
        <v>0</v>
      </c>
      <c r="K1819" t="s">
        <v>20</v>
      </c>
      <c r="L1819">
        <v>33</v>
      </c>
      <c r="M1819" t="s">
        <v>21</v>
      </c>
    </row>
    <row r="1820" spans="1:13" x14ac:dyDescent="0.35">
      <c r="A1820" t="s">
        <v>2600</v>
      </c>
      <c r="B1820" t="s">
        <v>310</v>
      </c>
      <c r="C1820" t="s">
        <v>2601</v>
      </c>
      <c r="D1820" t="s">
        <v>46</v>
      </c>
      <c r="E1820" t="s">
        <v>148</v>
      </c>
      <c r="F1820" t="s">
        <v>27</v>
      </c>
      <c r="G1820" t="s">
        <v>19</v>
      </c>
      <c r="H1820">
        <v>730</v>
      </c>
      <c r="I1820">
        <v>50</v>
      </c>
      <c r="J1820">
        <v>20</v>
      </c>
      <c r="K1820" t="s">
        <v>20</v>
      </c>
      <c r="L1820">
        <v>56</v>
      </c>
      <c r="M1820" t="s">
        <v>21</v>
      </c>
    </row>
    <row r="1821" spans="1:13" x14ac:dyDescent="0.35">
      <c r="A1821" t="s">
        <v>2602</v>
      </c>
      <c r="B1821" t="s">
        <v>568</v>
      </c>
      <c r="C1821" t="s">
        <v>1939</v>
      </c>
      <c r="D1821" t="s">
        <v>46</v>
      </c>
      <c r="E1821" t="s">
        <v>148</v>
      </c>
      <c r="F1821" t="s">
        <v>27</v>
      </c>
      <c r="G1821" t="s">
        <v>42</v>
      </c>
      <c r="H1821">
        <v>574</v>
      </c>
      <c r="I1821">
        <v>40</v>
      </c>
      <c r="J1821">
        <v>30</v>
      </c>
      <c r="K1821" t="s">
        <v>20</v>
      </c>
      <c r="L1821">
        <v>33</v>
      </c>
      <c r="M1821" t="s">
        <v>21</v>
      </c>
    </row>
    <row r="1822" spans="1:13" x14ac:dyDescent="0.35">
      <c r="A1822" t="s">
        <v>2603</v>
      </c>
      <c r="B1822" t="s">
        <v>388</v>
      </c>
      <c r="C1822" t="s">
        <v>366</v>
      </c>
      <c r="D1822" t="s">
        <v>53</v>
      </c>
      <c r="E1822" t="s">
        <v>84</v>
      </c>
      <c r="F1822" t="s">
        <v>85</v>
      </c>
      <c r="G1822" t="s">
        <v>28</v>
      </c>
      <c r="H1822">
        <v>568</v>
      </c>
      <c r="I1822">
        <v>50</v>
      </c>
      <c r="J1822">
        <v>100</v>
      </c>
      <c r="K1822" t="s">
        <v>20</v>
      </c>
      <c r="L1822">
        <v>44</v>
      </c>
      <c r="M1822" t="s">
        <v>21</v>
      </c>
    </row>
    <row r="1823" spans="1:13" x14ac:dyDescent="0.35">
      <c r="A1823" t="s">
        <v>2604</v>
      </c>
      <c r="B1823" t="s">
        <v>454</v>
      </c>
      <c r="C1823" t="s">
        <v>311</v>
      </c>
      <c r="D1823" t="s">
        <v>53</v>
      </c>
      <c r="E1823" t="s">
        <v>152</v>
      </c>
      <c r="F1823" t="s">
        <v>18</v>
      </c>
      <c r="G1823" t="s">
        <v>28</v>
      </c>
      <c r="H1823">
        <v>586</v>
      </c>
      <c r="I1823">
        <v>40</v>
      </c>
      <c r="J1823">
        <v>30</v>
      </c>
      <c r="K1823" t="s">
        <v>29</v>
      </c>
      <c r="L1823">
        <v>49</v>
      </c>
      <c r="M1823" t="s">
        <v>21</v>
      </c>
    </row>
    <row r="1824" spans="1:13" x14ac:dyDescent="0.35">
      <c r="A1824" t="s">
        <v>2605</v>
      </c>
      <c r="B1824" t="s">
        <v>526</v>
      </c>
      <c r="C1824" t="s">
        <v>1138</v>
      </c>
      <c r="D1824" t="s">
        <v>53</v>
      </c>
      <c r="E1824" t="s">
        <v>84</v>
      </c>
      <c r="F1824" t="s">
        <v>85</v>
      </c>
      <c r="G1824" t="s">
        <v>42</v>
      </c>
      <c r="H1824">
        <v>358</v>
      </c>
      <c r="I1824">
        <v>40</v>
      </c>
      <c r="J1824">
        <v>30</v>
      </c>
      <c r="K1824" t="s">
        <v>20</v>
      </c>
      <c r="L1824">
        <v>38</v>
      </c>
      <c r="M1824" t="s">
        <v>21</v>
      </c>
    </row>
    <row r="1825" spans="1:13" x14ac:dyDescent="0.35">
      <c r="A1825" t="s">
        <v>2606</v>
      </c>
      <c r="B1825" t="s">
        <v>454</v>
      </c>
      <c r="C1825" t="s">
        <v>2607</v>
      </c>
      <c r="D1825" t="s">
        <v>16</v>
      </c>
      <c r="E1825" t="s">
        <v>17</v>
      </c>
      <c r="F1825" t="s">
        <v>18</v>
      </c>
      <c r="G1825" t="s">
        <v>35</v>
      </c>
      <c r="H1825">
        <v>411</v>
      </c>
      <c r="I1825">
        <v>20</v>
      </c>
      <c r="J1825">
        <v>50</v>
      </c>
      <c r="K1825" t="s">
        <v>20</v>
      </c>
      <c r="L1825">
        <v>41</v>
      </c>
      <c r="M1825" t="s">
        <v>21</v>
      </c>
    </row>
    <row r="1826" spans="1:13" x14ac:dyDescent="0.35">
      <c r="A1826" t="s">
        <v>2608</v>
      </c>
      <c r="B1826" t="s">
        <v>61</v>
      </c>
      <c r="C1826" t="s">
        <v>437</v>
      </c>
      <c r="D1826" t="s">
        <v>16</v>
      </c>
      <c r="E1826" t="s">
        <v>17</v>
      </c>
      <c r="F1826" t="s">
        <v>18</v>
      </c>
      <c r="G1826" t="s">
        <v>63</v>
      </c>
      <c r="H1826">
        <v>558</v>
      </c>
      <c r="I1826">
        <v>20</v>
      </c>
      <c r="J1826">
        <v>30</v>
      </c>
      <c r="K1826" t="s">
        <v>36</v>
      </c>
      <c r="L1826">
        <v>25</v>
      </c>
      <c r="M1826" t="s">
        <v>21</v>
      </c>
    </row>
    <row r="1827" spans="1:13" x14ac:dyDescent="0.35">
      <c r="A1827" t="s">
        <v>2609</v>
      </c>
      <c r="B1827" t="s">
        <v>300</v>
      </c>
      <c r="C1827" t="s">
        <v>2529</v>
      </c>
      <c r="D1827" t="s">
        <v>16</v>
      </c>
      <c r="E1827" t="s">
        <v>17</v>
      </c>
      <c r="F1827" t="s">
        <v>18</v>
      </c>
      <c r="G1827" t="s">
        <v>107</v>
      </c>
      <c r="H1827">
        <v>527</v>
      </c>
      <c r="I1827">
        <v>50</v>
      </c>
      <c r="J1827">
        <v>100</v>
      </c>
      <c r="K1827" t="s">
        <v>36</v>
      </c>
      <c r="L1827">
        <v>35</v>
      </c>
      <c r="M1827" t="s">
        <v>21</v>
      </c>
    </row>
    <row r="1828" spans="1:13" x14ac:dyDescent="0.35">
      <c r="A1828" t="s">
        <v>2610</v>
      </c>
      <c r="B1828" t="s">
        <v>32</v>
      </c>
      <c r="C1828" t="s">
        <v>2611</v>
      </c>
      <c r="D1828" t="s">
        <v>25</v>
      </c>
      <c r="E1828" t="s">
        <v>34</v>
      </c>
      <c r="F1828" t="s">
        <v>27</v>
      </c>
      <c r="G1828" t="s">
        <v>35</v>
      </c>
      <c r="H1828">
        <v>680</v>
      </c>
      <c r="I1828">
        <v>50</v>
      </c>
      <c r="J1828">
        <v>100</v>
      </c>
      <c r="K1828" t="s">
        <v>36</v>
      </c>
      <c r="L1828">
        <v>53</v>
      </c>
      <c r="M1828" t="s">
        <v>21</v>
      </c>
    </row>
    <row r="1829" spans="1:13" x14ac:dyDescent="0.35">
      <c r="A1829" t="s">
        <v>2612</v>
      </c>
      <c r="B1829" t="s">
        <v>186</v>
      </c>
      <c r="C1829" t="s">
        <v>263</v>
      </c>
      <c r="D1829" t="s">
        <v>53</v>
      </c>
      <c r="E1829" t="s">
        <v>84</v>
      </c>
      <c r="F1829" t="s">
        <v>85</v>
      </c>
      <c r="G1829" t="s">
        <v>63</v>
      </c>
      <c r="H1829">
        <v>292</v>
      </c>
      <c r="I1829">
        <v>50</v>
      </c>
      <c r="J1829">
        <v>100</v>
      </c>
      <c r="K1829" t="s">
        <v>29</v>
      </c>
      <c r="L1829">
        <v>44</v>
      </c>
      <c r="M1829" t="s">
        <v>21</v>
      </c>
    </row>
    <row r="1830" spans="1:13" x14ac:dyDescent="0.35">
      <c r="A1830" t="s">
        <v>2613</v>
      </c>
      <c r="B1830" t="s">
        <v>326</v>
      </c>
      <c r="C1830" t="s">
        <v>439</v>
      </c>
      <c r="D1830" t="s">
        <v>25</v>
      </c>
      <c r="E1830" t="s">
        <v>78</v>
      </c>
      <c r="F1830" t="s">
        <v>48</v>
      </c>
      <c r="G1830" t="s">
        <v>176</v>
      </c>
      <c r="H1830">
        <v>452</v>
      </c>
      <c r="I1830">
        <v>40</v>
      </c>
      <c r="J1830">
        <v>30</v>
      </c>
      <c r="K1830" t="s">
        <v>29</v>
      </c>
      <c r="L1830">
        <v>54</v>
      </c>
      <c r="M1830" t="s">
        <v>21</v>
      </c>
    </row>
    <row r="1831" spans="1:13" x14ac:dyDescent="0.35">
      <c r="A1831" t="s">
        <v>2614</v>
      </c>
      <c r="B1831" t="s">
        <v>109</v>
      </c>
      <c r="C1831" t="s">
        <v>1675</v>
      </c>
      <c r="D1831" t="s">
        <v>53</v>
      </c>
      <c r="E1831" t="s">
        <v>84</v>
      </c>
      <c r="F1831" t="s">
        <v>85</v>
      </c>
      <c r="G1831" t="s">
        <v>59</v>
      </c>
      <c r="H1831">
        <v>511</v>
      </c>
      <c r="I1831">
        <v>50</v>
      </c>
      <c r="J1831">
        <v>50</v>
      </c>
      <c r="K1831" t="s">
        <v>36</v>
      </c>
      <c r="L1831">
        <v>55</v>
      </c>
      <c r="M1831" t="s">
        <v>21</v>
      </c>
    </row>
    <row r="1832" spans="1:13" x14ac:dyDescent="0.35">
      <c r="A1832" t="s">
        <v>2615</v>
      </c>
      <c r="B1832" t="s">
        <v>271</v>
      </c>
      <c r="C1832" t="s">
        <v>2485</v>
      </c>
      <c r="D1832" t="s">
        <v>53</v>
      </c>
      <c r="E1832" t="s">
        <v>152</v>
      </c>
      <c r="F1832" t="s">
        <v>18</v>
      </c>
      <c r="G1832" t="s">
        <v>107</v>
      </c>
      <c r="H1832">
        <v>768</v>
      </c>
      <c r="I1832">
        <v>30</v>
      </c>
      <c r="J1832">
        <v>0</v>
      </c>
      <c r="K1832" t="s">
        <v>36</v>
      </c>
      <c r="L1832">
        <v>41</v>
      </c>
      <c r="M1832" t="s">
        <v>21</v>
      </c>
    </row>
    <row r="1833" spans="1:13" x14ac:dyDescent="0.35">
      <c r="A1833" t="s">
        <v>2616</v>
      </c>
      <c r="B1833" t="s">
        <v>167</v>
      </c>
      <c r="C1833" t="s">
        <v>172</v>
      </c>
      <c r="D1833" t="s">
        <v>16</v>
      </c>
      <c r="E1833" t="s">
        <v>17</v>
      </c>
      <c r="F1833" t="s">
        <v>18</v>
      </c>
      <c r="G1833" t="s">
        <v>42</v>
      </c>
      <c r="H1833">
        <v>771</v>
      </c>
      <c r="I1833">
        <v>20</v>
      </c>
      <c r="J1833">
        <v>100</v>
      </c>
      <c r="K1833" t="s">
        <v>36</v>
      </c>
      <c r="L1833">
        <v>48</v>
      </c>
      <c r="M1833" t="s">
        <v>30</v>
      </c>
    </row>
    <row r="1834" spans="1:13" x14ac:dyDescent="0.35">
      <c r="A1834" t="s">
        <v>2617</v>
      </c>
      <c r="B1834" t="s">
        <v>413</v>
      </c>
      <c r="C1834" t="s">
        <v>193</v>
      </c>
      <c r="D1834" t="s">
        <v>16</v>
      </c>
      <c r="E1834" t="s">
        <v>17</v>
      </c>
      <c r="F1834" t="s">
        <v>18</v>
      </c>
      <c r="G1834" t="s">
        <v>63</v>
      </c>
      <c r="H1834">
        <v>543</v>
      </c>
      <c r="I1834">
        <v>40</v>
      </c>
      <c r="J1834">
        <v>0</v>
      </c>
      <c r="K1834" t="s">
        <v>36</v>
      </c>
      <c r="L1834">
        <v>27</v>
      </c>
      <c r="M1834" t="s">
        <v>21</v>
      </c>
    </row>
    <row r="1835" spans="1:13" x14ac:dyDescent="0.35">
      <c r="A1835" t="s">
        <v>2618</v>
      </c>
      <c r="B1835" t="s">
        <v>121</v>
      </c>
      <c r="C1835" t="s">
        <v>343</v>
      </c>
      <c r="D1835" t="s">
        <v>25</v>
      </c>
      <c r="E1835" t="s">
        <v>26</v>
      </c>
      <c r="F1835" t="s">
        <v>27</v>
      </c>
      <c r="G1835" t="s">
        <v>107</v>
      </c>
      <c r="H1835">
        <v>164</v>
      </c>
      <c r="I1835">
        <v>20</v>
      </c>
      <c r="J1835">
        <v>100</v>
      </c>
      <c r="K1835" t="s">
        <v>29</v>
      </c>
      <c r="L1835">
        <v>48</v>
      </c>
      <c r="M1835" t="s">
        <v>21</v>
      </c>
    </row>
    <row r="1836" spans="1:13" x14ac:dyDescent="0.35">
      <c r="A1836" t="s">
        <v>2619</v>
      </c>
      <c r="B1836" t="s">
        <v>218</v>
      </c>
      <c r="C1836" t="s">
        <v>1931</v>
      </c>
      <c r="D1836" t="s">
        <v>53</v>
      </c>
      <c r="E1836" t="s">
        <v>54</v>
      </c>
      <c r="F1836" t="s">
        <v>55</v>
      </c>
      <c r="G1836" t="s">
        <v>49</v>
      </c>
      <c r="H1836">
        <v>485</v>
      </c>
      <c r="I1836">
        <v>50</v>
      </c>
      <c r="J1836">
        <v>30</v>
      </c>
      <c r="K1836" t="s">
        <v>29</v>
      </c>
      <c r="L1836">
        <v>42</v>
      </c>
      <c r="M1836" t="s">
        <v>21</v>
      </c>
    </row>
    <row r="1837" spans="1:13" x14ac:dyDescent="0.35">
      <c r="A1837" t="s">
        <v>2620</v>
      </c>
      <c r="B1837" t="s">
        <v>339</v>
      </c>
      <c r="C1837" t="s">
        <v>1344</v>
      </c>
      <c r="D1837" t="s">
        <v>53</v>
      </c>
      <c r="E1837" t="s">
        <v>152</v>
      </c>
      <c r="F1837" t="s">
        <v>18</v>
      </c>
      <c r="G1837" t="s">
        <v>63</v>
      </c>
      <c r="H1837">
        <v>470</v>
      </c>
      <c r="I1837">
        <v>20</v>
      </c>
      <c r="J1837">
        <v>20</v>
      </c>
      <c r="K1837" t="s">
        <v>36</v>
      </c>
      <c r="L1837">
        <v>22</v>
      </c>
      <c r="M1837" t="s">
        <v>21</v>
      </c>
    </row>
    <row r="1838" spans="1:13" x14ac:dyDescent="0.35">
      <c r="A1838" t="s">
        <v>2621</v>
      </c>
      <c r="B1838" t="s">
        <v>87</v>
      </c>
      <c r="C1838" t="s">
        <v>2622</v>
      </c>
      <c r="D1838" t="s">
        <v>40</v>
      </c>
      <c r="E1838" t="s">
        <v>67</v>
      </c>
      <c r="F1838" t="s">
        <v>48</v>
      </c>
      <c r="G1838" t="s">
        <v>107</v>
      </c>
      <c r="H1838">
        <v>476</v>
      </c>
      <c r="I1838">
        <v>40</v>
      </c>
      <c r="J1838">
        <v>50</v>
      </c>
      <c r="K1838" t="s">
        <v>36</v>
      </c>
      <c r="L1838">
        <v>36</v>
      </c>
      <c r="M1838" t="s">
        <v>21</v>
      </c>
    </row>
    <row r="1839" spans="1:13" x14ac:dyDescent="0.35">
      <c r="A1839" t="s">
        <v>2623</v>
      </c>
      <c r="B1839" t="s">
        <v>23</v>
      </c>
      <c r="C1839" t="s">
        <v>2624</v>
      </c>
      <c r="D1839" t="s">
        <v>46</v>
      </c>
      <c r="E1839" t="s">
        <v>70</v>
      </c>
      <c r="F1839" t="s">
        <v>18</v>
      </c>
      <c r="G1839" t="s">
        <v>63</v>
      </c>
      <c r="H1839">
        <v>492</v>
      </c>
      <c r="I1839">
        <v>20</v>
      </c>
      <c r="J1839">
        <v>100</v>
      </c>
      <c r="K1839" t="s">
        <v>20</v>
      </c>
      <c r="L1839">
        <v>36</v>
      </c>
      <c r="M1839" t="s">
        <v>21</v>
      </c>
    </row>
    <row r="1840" spans="1:13" x14ac:dyDescent="0.35">
      <c r="A1840" t="s">
        <v>2625</v>
      </c>
      <c r="B1840" t="s">
        <v>273</v>
      </c>
      <c r="C1840" t="s">
        <v>427</v>
      </c>
      <c r="D1840" t="s">
        <v>40</v>
      </c>
      <c r="E1840" t="s">
        <v>41</v>
      </c>
      <c r="F1840" t="s">
        <v>27</v>
      </c>
      <c r="G1840" t="s">
        <v>59</v>
      </c>
      <c r="H1840">
        <v>295</v>
      </c>
      <c r="I1840">
        <v>30</v>
      </c>
      <c r="J1840">
        <v>50</v>
      </c>
      <c r="K1840" t="s">
        <v>20</v>
      </c>
      <c r="L1840">
        <v>48</v>
      </c>
      <c r="M1840" t="s">
        <v>21</v>
      </c>
    </row>
    <row r="1841" spans="1:13" x14ac:dyDescent="0.35">
      <c r="A1841" t="s">
        <v>2626</v>
      </c>
      <c r="B1841" t="s">
        <v>291</v>
      </c>
      <c r="C1841" t="s">
        <v>2259</v>
      </c>
      <c r="D1841" t="s">
        <v>46</v>
      </c>
      <c r="E1841" t="s">
        <v>47</v>
      </c>
      <c r="F1841" t="s">
        <v>48</v>
      </c>
      <c r="G1841" t="s">
        <v>107</v>
      </c>
      <c r="H1841">
        <v>453</v>
      </c>
      <c r="I1841">
        <v>20</v>
      </c>
      <c r="J1841">
        <v>30</v>
      </c>
      <c r="K1841" t="s">
        <v>20</v>
      </c>
      <c r="L1841">
        <v>59</v>
      </c>
      <c r="M1841" t="s">
        <v>21</v>
      </c>
    </row>
    <row r="1842" spans="1:13" x14ac:dyDescent="0.35">
      <c r="A1842" t="s">
        <v>2627</v>
      </c>
      <c r="B1842" t="s">
        <v>51</v>
      </c>
      <c r="C1842" t="s">
        <v>163</v>
      </c>
      <c r="D1842" t="s">
        <v>25</v>
      </c>
      <c r="E1842" t="s">
        <v>26</v>
      </c>
      <c r="F1842" t="s">
        <v>27</v>
      </c>
      <c r="G1842" t="s">
        <v>107</v>
      </c>
      <c r="H1842">
        <v>215</v>
      </c>
      <c r="I1842">
        <v>50</v>
      </c>
      <c r="J1842">
        <v>30</v>
      </c>
      <c r="K1842" t="s">
        <v>29</v>
      </c>
      <c r="L1842">
        <v>52</v>
      </c>
      <c r="M1842" t="s">
        <v>21</v>
      </c>
    </row>
    <row r="1843" spans="1:13" x14ac:dyDescent="0.35">
      <c r="A1843" t="s">
        <v>2628</v>
      </c>
      <c r="B1843" t="s">
        <v>32</v>
      </c>
      <c r="C1843" t="s">
        <v>1441</v>
      </c>
      <c r="D1843" t="s">
        <v>53</v>
      </c>
      <c r="E1843" t="s">
        <v>54</v>
      </c>
      <c r="F1843" t="s">
        <v>55</v>
      </c>
      <c r="G1843" t="s">
        <v>74</v>
      </c>
      <c r="H1843">
        <v>512</v>
      </c>
      <c r="I1843">
        <v>20</v>
      </c>
      <c r="J1843">
        <v>30</v>
      </c>
      <c r="K1843" t="s">
        <v>36</v>
      </c>
      <c r="L1843">
        <v>25</v>
      </c>
      <c r="M1843" t="s">
        <v>21</v>
      </c>
    </row>
    <row r="1844" spans="1:13" x14ac:dyDescent="0.35">
      <c r="A1844" t="s">
        <v>2629</v>
      </c>
      <c r="B1844" t="s">
        <v>133</v>
      </c>
      <c r="C1844" t="s">
        <v>2293</v>
      </c>
      <c r="D1844" t="s">
        <v>46</v>
      </c>
      <c r="E1844" t="s">
        <v>70</v>
      </c>
      <c r="F1844" t="s">
        <v>18</v>
      </c>
      <c r="G1844" t="s">
        <v>28</v>
      </c>
      <c r="H1844">
        <v>228</v>
      </c>
      <c r="I1844">
        <v>20</v>
      </c>
      <c r="J1844">
        <v>20</v>
      </c>
      <c r="K1844" t="s">
        <v>20</v>
      </c>
      <c r="L1844">
        <v>26</v>
      </c>
      <c r="M1844" t="s">
        <v>21</v>
      </c>
    </row>
    <row r="1845" spans="1:13" x14ac:dyDescent="0.35">
      <c r="A1845" t="s">
        <v>2630</v>
      </c>
      <c r="B1845" t="s">
        <v>61</v>
      </c>
      <c r="C1845" t="s">
        <v>789</v>
      </c>
      <c r="D1845" t="s">
        <v>16</v>
      </c>
      <c r="E1845" t="s">
        <v>17</v>
      </c>
      <c r="F1845" t="s">
        <v>18</v>
      </c>
      <c r="G1845" t="s">
        <v>28</v>
      </c>
      <c r="H1845">
        <v>457</v>
      </c>
      <c r="I1845">
        <v>40</v>
      </c>
      <c r="J1845">
        <v>100</v>
      </c>
      <c r="K1845" t="s">
        <v>36</v>
      </c>
      <c r="L1845">
        <v>58</v>
      </c>
      <c r="M1845" t="s">
        <v>21</v>
      </c>
    </row>
    <row r="1846" spans="1:13" x14ac:dyDescent="0.35">
      <c r="A1846" t="s">
        <v>2631</v>
      </c>
      <c r="B1846" t="s">
        <v>568</v>
      </c>
      <c r="C1846" t="s">
        <v>430</v>
      </c>
      <c r="D1846" t="s">
        <v>25</v>
      </c>
      <c r="E1846" t="s">
        <v>78</v>
      </c>
      <c r="F1846" t="s">
        <v>48</v>
      </c>
      <c r="G1846" t="s">
        <v>28</v>
      </c>
      <c r="H1846">
        <v>230</v>
      </c>
      <c r="I1846">
        <v>50</v>
      </c>
      <c r="J1846">
        <v>0</v>
      </c>
      <c r="K1846" t="s">
        <v>29</v>
      </c>
      <c r="L1846">
        <v>56</v>
      </c>
      <c r="M1846" t="s">
        <v>21</v>
      </c>
    </row>
    <row r="1847" spans="1:13" x14ac:dyDescent="0.35">
      <c r="A1847" t="s">
        <v>2632</v>
      </c>
      <c r="B1847" t="s">
        <v>102</v>
      </c>
      <c r="C1847" t="s">
        <v>1024</v>
      </c>
      <c r="D1847" t="s">
        <v>53</v>
      </c>
      <c r="E1847" t="s">
        <v>54</v>
      </c>
      <c r="F1847" t="s">
        <v>55</v>
      </c>
      <c r="G1847" t="s">
        <v>49</v>
      </c>
      <c r="H1847">
        <v>659</v>
      </c>
      <c r="I1847">
        <v>20</v>
      </c>
      <c r="J1847">
        <v>30</v>
      </c>
      <c r="K1847" t="s">
        <v>20</v>
      </c>
      <c r="L1847">
        <v>25</v>
      </c>
      <c r="M1847" t="s">
        <v>21</v>
      </c>
    </row>
    <row r="1848" spans="1:13" x14ac:dyDescent="0.35">
      <c r="A1848" t="s">
        <v>2633</v>
      </c>
      <c r="B1848" t="s">
        <v>241</v>
      </c>
      <c r="C1848" t="s">
        <v>315</v>
      </c>
      <c r="D1848" t="s">
        <v>16</v>
      </c>
      <c r="E1848" t="s">
        <v>131</v>
      </c>
      <c r="F1848" t="s">
        <v>55</v>
      </c>
      <c r="G1848" t="s">
        <v>42</v>
      </c>
      <c r="H1848">
        <v>447</v>
      </c>
      <c r="I1848">
        <v>30</v>
      </c>
      <c r="J1848">
        <v>100</v>
      </c>
      <c r="K1848" t="s">
        <v>20</v>
      </c>
      <c r="L1848">
        <v>32</v>
      </c>
      <c r="M1848" t="s">
        <v>21</v>
      </c>
    </row>
    <row r="1849" spans="1:13" x14ac:dyDescent="0.35">
      <c r="A1849" t="s">
        <v>2634</v>
      </c>
      <c r="B1849" t="s">
        <v>178</v>
      </c>
      <c r="C1849" t="s">
        <v>789</v>
      </c>
      <c r="D1849" t="s">
        <v>16</v>
      </c>
      <c r="E1849" t="s">
        <v>89</v>
      </c>
      <c r="F1849" t="s">
        <v>18</v>
      </c>
      <c r="G1849" t="s">
        <v>28</v>
      </c>
      <c r="H1849">
        <v>420</v>
      </c>
      <c r="I1849">
        <v>40</v>
      </c>
      <c r="J1849">
        <v>30</v>
      </c>
      <c r="K1849" t="s">
        <v>29</v>
      </c>
      <c r="L1849">
        <v>23</v>
      </c>
      <c r="M1849" t="s">
        <v>21</v>
      </c>
    </row>
    <row r="1850" spans="1:13" x14ac:dyDescent="0.35">
      <c r="A1850" t="s">
        <v>2635</v>
      </c>
      <c r="B1850" t="s">
        <v>286</v>
      </c>
      <c r="C1850" t="s">
        <v>779</v>
      </c>
      <c r="D1850" t="s">
        <v>25</v>
      </c>
      <c r="E1850" t="s">
        <v>26</v>
      </c>
      <c r="F1850" t="s">
        <v>27</v>
      </c>
      <c r="G1850" t="s">
        <v>107</v>
      </c>
      <c r="H1850">
        <v>798</v>
      </c>
      <c r="I1850">
        <v>30</v>
      </c>
      <c r="J1850">
        <v>20</v>
      </c>
      <c r="K1850" t="s">
        <v>29</v>
      </c>
      <c r="L1850">
        <v>36</v>
      </c>
      <c r="M1850" t="s">
        <v>21</v>
      </c>
    </row>
    <row r="1851" spans="1:13" x14ac:dyDescent="0.35">
      <c r="A1851" t="s">
        <v>2636</v>
      </c>
      <c r="B1851" t="s">
        <v>241</v>
      </c>
      <c r="C1851" t="s">
        <v>1061</v>
      </c>
      <c r="D1851" t="s">
        <v>25</v>
      </c>
      <c r="E1851" t="s">
        <v>34</v>
      </c>
      <c r="F1851" t="s">
        <v>27</v>
      </c>
      <c r="G1851" t="s">
        <v>59</v>
      </c>
      <c r="H1851">
        <v>466</v>
      </c>
      <c r="I1851">
        <v>40</v>
      </c>
      <c r="J1851">
        <v>100</v>
      </c>
      <c r="K1851" t="s">
        <v>36</v>
      </c>
      <c r="L1851">
        <v>39</v>
      </c>
      <c r="M1851" t="s">
        <v>21</v>
      </c>
    </row>
    <row r="1852" spans="1:13" x14ac:dyDescent="0.35">
      <c r="A1852" t="s">
        <v>2637</v>
      </c>
      <c r="B1852" t="s">
        <v>541</v>
      </c>
      <c r="C1852" t="s">
        <v>1432</v>
      </c>
      <c r="D1852" t="s">
        <v>46</v>
      </c>
      <c r="E1852" t="s">
        <v>148</v>
      </c>
      <c r="F1852" t="s">
        <v>27</v>
      </c>
      <c r="G1852" t="s">
        <v>176</v>
      </c>
      <c r="H1852">
        <v>608</v>
      </c>
      <c r="I1852">
        <v>50</v>
      </c>
      <c r="J1852">
        <v>20</v>
      </c>
      <c r="K1852" t="s">
        <v>20</v>
      </c>
      <c r="L1852">
        <v>37</v>
      </c>
      <c r="M1852" t="s">
        <v>21</v>
      </c>
    </row>
    <row r="1853" spans="1:13" x14ac:dyDescent="0.35">
      <c r="A1853" t="s">
        <v>2638</v>
      </c>
      <c r="B1853" t="s">
        <v>252</v>
      </c>
      <c r="C1853" t="s">
        <v>1779</v>
      </c>
      <c r="D1853" t="s">
        <v>40</v>
      </c>
      <c r="E1853" t="s">
        <v>41</v>
      </c>
      <c r="F1853" t="s">
        <v>27</v>
      </c>
      <c r="G1853" t="s">
        <v>59</v>
      </c>
      <c r="H1853">
        <v>291</v>
      </c>
      <c r="I1853">
        <v>40</v>
      </c>
      <c r="J1853">
        <v>0</v>
      </c>
      <c r="K1853" t="s">
        <v>29</v>
      </c>
      <c r="L1853">
        <v>31</v>
      </c>
      <c r="M1853" t="s">
        <v>21</v>
      </c>
    </row>
    <row r="1854" spans="1:13" x14ac:dyDescent="0.35">
      <c r="A1854" t="s">
        <v>2639</v>
      </c>
      <c r="B1854" t="s">
        <v>99</v>
      </c>
      <c r="C1854" t="s">
        <v>2640</v>
      </c>
      <c r="D1854" t="s">
        <v>46</v>
      </c>
      <c r="E1854" t="s">
        <v>148</v>
      </c>
      <c r="F1854" t="s">
        <v>27</v>
      </c>
      <c r="G1854" t="s">
        <v>74</v>
      </c>
      <c r="H1854">
        <v>358</v>
      </c>
      <c r="I1854">
        <v>20</v>
      </c>
      <c r="J1854">
        <v>100</v>
      </c>
      <c r="K1854" t="s">
        <v>29</v>
      </c>
      <c r="L1854">
        <v>51</v>
      </c>
      <c r="M1854" t="s">
        <v>21</v>
      </c>
    </row>
    <row r="1855" spans="1:13" x14ac:dyDescent="0.35">
      <c r="A1855" t="s">
        <v>2641</v>
      </c>
      <c r="B1855" t="s">
        <v>113</v>
      </c>
      <c r="C1855" t="s">
        <v>1495</v>
      </c>
      <c r="D1855" t="s">
        <v>25</v>
      </c>
      <c r="E1855" t="s">
        <v>78</v>
      </c>
      <c r="F1855" t="s">
        <v>48</v>
      </c>
      <c r="G1855" t="s">
        <v>59</v>
      </c>
      <c r="H1855">
        <v>545</v>
      </c>
      <c r="I1855">
        <v>30</v>
      </c>
      <c r="J1855">
        <v>100</v>
      </c>
      <c r="K1855" t="s">
        <v>29</v>
      </c>
      <c r="L1855">
        <v>44</v>
      </c>
      <c r="M1855" t="s">
        <v>21</v>
      </c>
    </row>
    <row r="1856" spans="1:13" x14ac:dyDescent="0.35">
      <c r="A1856" t="s">
        <v>2642</v>
      </c>
      <c r="B1856" t="s">
        <v>154</v>
      </c>
      <c r="C1856" t="s">
        <v>195</v>
      </c>
      <c r="D1856" t="s">
        <v>53</v>
      </c>
      <c r="E1856" t="s">
        <v>84</v>
      </c>
      <c r="F1856" t="s">
        <v>85</v>
      </c>
      <c r="G1856" t="s">
        <v>107</v>
      </c>
      <c r="H1856">
        <v>529</v>
      </c>
      <c r="I1856">
        <v>30</v>
      </c>
      <c r="J1856">
        <v>30</v>
      </c>
      <c r="K1856" t="s">
        <v>20</v>
      </c>
      <c r="L1856">
        <v>21</v>
      </c>
      <c r="M1856" t="s">
        <v>21</v>
      </c>
    </row>
    <row r="1857" spans="1:13" x14ac:dyDescent="0.35">
      <c r="A1857" t="s">
        <v>2643</v>
      </c>
      <c r="B1857" t="s">
        <v>178</v>
      </c>
      <c r="C1857" t="s">
        <v>1098</v>
      </c>
      <c r="D1857" t="s">
        <v>25</v>
      </c>
      <c r="E1857" t="s">
        <v>26</v>
      </c>
      <c r="F1857" t="s">
        <v>27</v>
      </c>
      <c r="G1857" t="s">
        <v>42</v>
      </c>
      <c r="H1857">
        <v>225</v>
      </c>
      <c r="I1857">
        <v>30</v>
      </c>
      <c r="J1857">
        <v>0</v>
      </c>
      <c r="K1857" t="s">
        <v>36</v>
      </c>
      <c r="L1857">
        <v>46</v>
      </c>
      <c r="M1857" t="s">
        <v>21</v>
      </c>
    </row>
    <row r="1858" spans="1:13" x14ac:dyDescent="0.35">
      <c r="A1858" t="s">
        <v>2644</v>
      </c>
      <c r="B1858" t="s">
        <v>174</v>
      </c>
      <c r="C1858" t="s">
        <v>2460</v>
      </c>
      <c r="D1858" t="s">
        <v>25</v>
      </c>
      <c r="E1858" t="s">
        <v>78</v>
      </c>
      <c r="F1858" t="s">
        <v>48</v>
      </c>
      <c r="G1858" t="s">
        <v>107</v>
      </c>
      <c r="H1858">
        <v>775</v>
      </c>
      <c r="I1858">
        <v>20</v>
      </c>
      <c r="J1858">
        <v>50</v>
      </c>
      <c r="K1858" t="s">
        <v>29</v>
      </c>
      <c r="L1858">
        <v>55</v>
      </c>
      <c r="M1858" t="s">
        <v>21</v>
      </c>
    </row>
    <row r="1859" spans="1:13" x14ac:dyDescent="0.35">
      <c r="A1859" t="s">
        <v>2645</v>
      </c>
      <c r="B1859" t="s">
        <v>174</v>
      </c>
      <c r="C1859" t="s">
        <v>1561</v>
      </c>
      <c r="D1859" t="s">
        <v>53</v>
      </c>
      <c r="E1859" t="s">
        <v>84</v>
      </c>
      <c r="F1859" t="s">
        <v>85</v>
      </c>
      <c r="G1859" t="s">
        <v>42</v>
      </c>
      <c r="H1859">
        <v>744</v>
      </c>
      <c r="I1859">
        <v>20</v>
      </c>
      <c r="J1859">
        <v>50</v>
      </c>
      <c r="K1859" t="s">
        <v>20</v>
      </c>
      <c r="L1859">
        <v>44</v>
      </c>
      <c r="M1859" t="s">
        <v>21</v>
      </c>
    </row>
    <row r="1860" spans="1:13" x14ac:dyDescent="0.35">
      <c r="A1860" t="s">
        <v>2646</v>
      </c>
      <c r="B1860" t="s">
        <v>51</v>
      </c>
      <c r="C1860" t="s">
        <v>2532</v>
      </c>
      <c r="D1860" t="s">
        <v>46</v>
      </c>
      <c r="E1860" t="s">
        <v>148</v>
      </c>
      <c r="F1860" t="s">
        <v>27</v>
      </c>
      <c r="G1860" t="s">
        <v>28</v>
      </c>
      <c r="H1860">
        <v>769</v>
      </c>
      <c r="I1860">
        <v>40</v>
      </c>
      <c r="J1860">
        <v>0</v>
      </c>
      <c r="K1860" t="s">
        <v>29</v>
      </c>
      <c r="L1860">
        <v>59</v>
      </c>
      <c r="M1860" t="s">
        <v>21</v>
      </c>
    </row>
    <row r="1861" spans="1:13" x14ac:dyDescent="0.35">
      <c r="A1861" t="s">
        <v>2647</v>
      </c>
      <c r="B1861" t="s">
        <v>329</v>
      </c>
      <c r="C1861" t="s">
        <v>553</v>
      </c>
      <c r="D1861" t="s">
        <v>40</v>
      </c>
      <c r="E1861" t="s">
        <v>67</v>
      </c>
      <c r="F1861" t="s">
        <v>48</v>
      </c>
      <c r="G1861" t="s">
        <v>42</v>
      </c>
      <c r="H1861">
        <v>592</v>
      </c>
      <c r="I1861">
        <v>30</v>
      </c>
      <c r="J1861">
        <v>0</v>
      </c>
      <c r="K1861" t="s">
        <v>20</v>
      </c>
      <c r="L1861">
        <v>29</v>
      </c>
      <c r="M1861" t="s">
        <v>21</v>
      </c>
    </row>
    <row r="1862" spans="1:13" x14ac:dyDescent="0.35">
      <c r="A1862" t="s">
        <v>2648</v>
      </c>
      <c r="B1862" t="s">
        <v>150</v>
      </c>
      <c r="C1862" t="s">
        <v>710</v>
      </c>
      <c r="D1862" t="s">
        <v>53</v>
      </c>
      <c r="E1862" t="s">
        <v>54</v>
      </c>
      <c r="F1862" t="s">
        <v>55</v>
      </c>
      <c r="G1862" t="s">
        <v>74</v>
      </c>
      <c r="H1862">
        <v>567</v>
      </c>
      <c r="I1862">
        <v>40</v>
      </c>
      <c r="J1862">
        <v>100</v>
      </c>
      <c r="K1862" t="s">
        <v>36</v>
      </c>
      <c r="L1862">
        <v>46</v>
      </c>
      <c r="M1862" t="s">
        <v>21</v>
      </c>
    </row>
    <row r="1863" spans="1:13" x14ac:dyDescent="0.35">
      <c r="A1863" t="s">
        <v>2649</v>
      </c>
      <c r="B1863" t="s">
        <v>76</v>
      </c>
      <c r="C1863" t="s">
        <v>414</v>
      </c>
      <c r="D1863" t="s">
        <v>53</v>
      </c>
      <c r="E1863" t="s">
        <v>54</v>
      </c>
      <c r="F1863" t="s">
        <v>55</v>
      </c>
      <c r="G1863" t="s">
        <v>107</v>
      </c>
      <c r="H1863">
        <v>368</v>
      </c>
      <c r="I1863">
        <v>20</v>
      </c>
      <c r="J1863">
        <v>0</v>
      </c>
      <c r="K1863" t="s">
        <v>36</v>
      </c>
      <c r="L1863">
        <v>45</v>
      </c>
      <c r="M1863" t="s">
        <v>21</v>
      </c>
    </row>
    <row r="1864" spans="1:13" x14ac:dyDescent="0.35">
      <c r="A1864" t="s">
        <v>2650</v>
      </c>
      <c r="B1864" t="s">
        <v>113</v>
      </c>
      <c r="C1864" t="s">
        <v>2446</v>
      </c>
      <c r="D1864" t="s">
        <v>25</v>
      </c>
      <c r="E1864" t="s">
        <v>34</v>
      </c>
      <c r="F1864" t="s">
        <v>27</v>
      </c>
      <c r="G1864" t="s">
        <v>35</v>
      </c>
      <c r="H1864">
        <v>486</v>
      </c>
      <c r="I1864">
        <v>30</v>
      </c>
      <c r="J1864">
        <v>0</v>
      </c>
      <c r="K1864" t="s">
        <v>36</v>
      </c>
      <c r="L1864">
        <v>58</v>
      </c>
      <c r="M1864" t="s">
        <v>21</v>
      </c>
    </row>
    <row r="1865" spans="1:13" x14ac:dyDescent="0.35">
      <c r="A1865" t="s">
        <v>2651</v>
      </c>
      <c r="B1865" t="s">
        <v>244</v>
      </c>
      <c r="C1865" t="s">
        <v>455</v>
      </c>
      <c r="D1865" t="s">
        <v>16</v>
      </c>
      <c r="E1865" t="s">
        <v>131</v>
      </c>
      <c r="F1865" t="s">
        <v>55</v>
      </c>
      <c r="G1865" t="s">
        <v>63</v>
      </c>
      <c r="H1865">
        <v>782</v>
      </c>
      <c r="I1865">
        <v>50</v>
      </c>
      <c r="J1865">
        <v>20</v>
      </c>
      <c r="K1865" t="s">
        <v>20</v>
      </c>
      <c r="L1865">
        <v>58</v>
      </c>
      <c r="M1865" t="s">
        <v>21</v>
      </c>
    </row>
    <row r="1866" spans="1:13" x14ac:dyDescent="0.35">
      <c r="A1866" t="s">
        <v>2652</v>
      </c>
      <c r="B1866" t="s">
        <v>413</v>
      </c>
      <c r="C1866" t="s">
        <v>1179</v>
      </c>
      <c r="D1866" t="s">
        <v>25</v>
      </c>
      <c r="E1866" t="s">
        <v>34</v>
      </c>
      <c r="F1866" t="s">
        <v>27</v>
      </c>
      <c r="G1866" t="s">
        <v>107</v>
      </c>
      <c r="H1866">
        <v>175</v>
      </c>
      <c r="I1866">
        <v>40</v>
      </c>
      <c r="J1866">
        <v>100</v>
      </c>
      <c r="K1866" t="s">
        <v>20</v>
      </c>
      <c r="L1866">
        <v>46</v>
      </c>
      <c r="M1866" t="s">
        <v>21</v>
      </c>
    </row>
    <row r="1867" spans="1:13" x14ac:dyDescent="0.35">
      <c r="A1867" t="s">
        <v>2653</v>
      </c>
      <c r="B1867" t="s">
        <v>38</v>
      </c>
      <c r="C1867" t="s">
        <v>799</v>
      </c>
      <c r="D1867" t="s">
        <v>25</v>
      </c>
      <c r="E1867" t="s">
        <v>26</v>
      </c>
      <c r="F1867" t="s">
        <v>27</v>
      </c>
      <c r="G1867" t="s">
        <v>74</v>
      </c>
      <c r="H1867">
        <v>364</v>
      </c>
      <c r="I1867">
        <v>30</v>
      </c>
      <c r="J1867">
        <v>20</v>
      </c>
      <c r="K1867" t="s">
        <v>20</v>
      </c>
      <c r="L1867">
        <v>43</v>
      </c>
      <c r="M1867" t="s">
        <v>30</v>
      </c>
    </row>
    <row r="1868" spans="1:13" x14ac:dyDescent="0.35">
      <c r="A1868" t="s">
        <v>2654</v>
      </c>
      <c r="B1868" t="s">
        <v>102</v>
      </c>
      <c r="C1868" t="s">
        <v>1318</v>
      </c>
      <c r="D1868" t="s">
        <v>40</v>
      </c>
      <c r="E1868" t="s">
        <v>111</v>
      </c>
      <c r="F1868" t="s">
        <v>18</v>
      </c>
      <c r="G1868" t="s">
        <v>107</v>
      </c>
      <c r="H1868">
        <v>195</v>
      </c>
      <c r="I1868">
        <v>30</v>
      </c>
      <c r="J1868">
        <v>0</v>
      </c>
      <c r="K1868" t="s">
        <v>20</v>
      </c>
      <c r="L1868">
        <v>44</v>
      </c>
      <c r="M1868" t="s">
        <v>21</v>
      </c>
    </row>
    <row r="1869" spans="1:13" x14ac:dyDescent="0.35">
      <c r="A1869" t="s">
        <v>2655</v>
      </c>
      <c r="B1869" t="s">
        <v>473</v>
      </c>
      <c r="C1869" t="s">
        <v>1024</v>
      </c>
      <c r="D1869" t="s">
        <v>40</v>
      </c>
      <c r="E1869" t="s">
        <v>41</v>
      </c>
      <c r="F1869" t="s">
        <v>27</v>
      </c>
      <c r="G1869" t="s">
        <v>49</v>
      </c>
      <c r="H1869">
        <v>297</v>
      </c>
      <c r="I1869">
        <v>20</v>
      </c>
      <c r="J1869">
        <v>30</v>
      </c>
      <c r="K1869" t="s">
        <v>36</v>
      </c>
      <c r="L1869">
        <v>29</v>
      </c>
      <c r="M1869" t="s">
        <v>21</v>
      </c>
    </row>
    <row r="1870" spans="1:13" x14ac:dyDescent="0.35">
      <c r="A1870" t="s">
        <v>2656</v>
      </c>
      <c r="B1870" t="s">
        <v>416</v>
      </c>
      <c r="C1870" t="s">
        <v>315</v>
      </c>
      <c r="D1870" t="s">
        <v>53</v>
      </c>
      <c r="E1870" t="s">
        <v>54</v>
      </c>
      <c r="F1870" t="s">
        <v>55</v>
      </c>
      <c r="G1870" t="s">
        <v>28</v>
      </c>
      <c r="H1870">
        <v>644</v>
      </c>
      <c r="I1870">
        <v>20</v>
      </c>
      <c r="J1870">
        <v>0</v>
      </c>
      <c r="K1870" t="s">
        <v>36</v>
      </c>
      <c r="L1870">
        <v>30</v>
      </c>
      <c r="M1870" t="s">
        <v>21</v>
      </c>
    </row>
    <row r="1871" spans="1:13" x14ac:dyDescent="0.35">
      <c r="A1871" t="s">
        <v>2657</v>
      </c>
      <c r="B1871" t="s">
        <v>57</v>
      </c>
      <c r="C1871" t="s">
        <v>216</v>
      </c>
      <c r="D1871" t="s">
        <v>40</v>
      </c>
      <c r="E1871" t="s">
        <v>111</v>
      </c>
      <c r="F1871" t="s">
        <v>18</v>
      </c>
      <c r="G1871" t="s">
        <v>42</v>
      </c>
      <c r="H1871">
        <v>764</v>
      </c>
      <c r="I1871">
        <v>20</v>
      </c>
      <c r="J1871">
        <v>30</v>
      </c>
      <c r="K1871" t="s">
        <v>29</v>
      </c>
      <c r="L1871">
        <v>41</v>
      </c>
      <c r="M1871" t="s">
        <v>21</v>
      </c>
    </row>
    <row r="1872" spans="1:13" x14ac:dyDescent="0.35">
      <c r="A1872" t="s">
        <v>2658</v>
      </c>
      <c r="B1872" t="s">
        <v>99</v>
      </c>
      <c r="C1872" t="s">
        <v>1877</v>
      </c>
      <c r="D1872" t="s">
        <v>40</v>
      </c>
      <c r="E1872" t="s">
        <v>41</v>
      </c>
      <c r="F1872" t="s">
        <v>27</v>
      </c>
      <c r="G1872" t="s">
        <v>42</v>
      </c>
      <c r="H1872">
        <v>378</v>
      </c>
      <c r="I1872">
        <v>20</v>
      </c>
      <c r="J1872">
        <v>20</v>
      </c>
      <c r="K1872" t="s">
        <v>20</v>
      </c>
      <c r="L1872">
        <v>44</v>
      </c>
      <c r="M1872" t="s">
        <v>21</v>
      </c>
    </row>
    <row r="1873" spans="1:13" x14ac:dyDescent="0.35">
      <c r="A1873" t="s">
        <v>2659</v>
      </c>
      <c r="B1873" t="s">
        <v>432</v>
      </c>
      <c r="C1873" t="s">
        <v>1269</v>
      </c>
      <c r="D1873" t="s">
        <v>46</v>
      </c>
      <c r="E1873" t="s">
        <v>70</v>
      </c>
      <c r="F1873" t="s">
        <v>18</v>
      </c>
      <c r="G1873" t="s">
        <v>74</v>
      </c>
      <c r="H1873">
        <v>282</v>
      </c>
      <c r="I1873">
        <v>40</v>
      </c>
      <c r="J1873">
        <v>100</v>
      </c>
      <c r="K1873" t="s">
        <v>20</v>
      </c>
      <c r="L1873">
        <v>38</v>
      </c>
      <c r="M1873" t="s">
        <v>21</v>
      </c>
    </row>
    <row r="1874" spans="1:13" x14ac:dyDescent="0.35">
      <c r="A1874" t="s">
        <v>2660</v>
      </c>
      <c r="B1874" t="s">
        <v>342</v>
      </c>
      <c r="C1874" t="s">
        <v>2529</v>
      </c>
      <c r="D1874" t="s">
        <v>25</v>
      </c>
      <c r="E1874" t="s">
        <v>78</v>
      </c>
      <c r="F1874" t="s">
        <v>48</v>
      </c>
      <c r="G1874" t="s">
        <v>176</v>
      </c>
      <c r="H1874">
        <v>420</v>
      </c>
      <c r="I1874">
        <v>20</v>
      </c>
      <c r="J1874">
        <v>100</v>
      </c>
      <c r="K1874" t="s">
        <v>29</v>
      </c>
      <c r="L1874">
        <v>23</v>
      </c>
      <c r="M1874" t="s">
        <v>21</v>
      </c>
    </row>
    <row r="1875" spans="1:13" x14ac:dyDescent="0.35">
      <c r="A1875" t="s">
        <v>2661</v>
      </c>
      <c r="B1875" t="s">
        <v>295</v>
      </c>
      <c r="C1875" t="s">
        <v>589</v>
      </c>
      <c r="D1875" t="s">
        <v>16</v>
      </c>
      <c r="E1875" t="s">
        <v>131</v>
      </c>
      <c r="F1875" t="s">
        <v>55</v>
      </c>
      <c r="G1875" t="s">
        <v>19</v>
      </c>
      <c r="H1875">
        <v>522</v>
      </c>
      <c r="I1875">
        <v>20</v>
      </c>
      <c r="J1875">
        <v>50</v>
      </c>
      <c r="K1875" t="s">
        <v>20</v>
      </c>
      <c r="L1875">
        <v>24</v>
      </c>
      <c r="M1875" t="s">
        <v>21</v>
      </c>
    </row>
    <row r="1876" spans="1:13" x14ac:dyDescent="0.35">
      <c r="A1876" t="s">
        <v>2662</v>
      </c>
      <c r="B1876" t="s">
        <v>69</v>
      </c>
      <c r="C1876" t="s">
        <v>474</v>
      </c>
      <c r="D1876" t="s">
        <v>46</v>
      </c>
      <c r="E1876" t="s">
        <v>47</v>
      </c>
      <c r="F1876" t="s">
        <v>48</v>
      </c>
      <c r="G1876" t="s">
        <v>28</v>
      </c>
      <c r="H1876">
        <v>207</v>
      </c>
      <c r="I1876">
        <v>20</v>
      </c>
      <c r="J1876">
        <v>100</v>
      </c>
      <c r="K1876" t="s">
        <v>36</v>
      </c>
      <c r="L1876">
        <v>33</v>
      </c>
      <c r="M1876" t="s">
        <v>21</v>
      </c>
    </row>
    <row r="1877" spans="1:13" x14ac:dyDescent="0.35">
      <c r="A1877" t="s">
        <v>2663</v>
      </c>
      <c r="B1877" t="s">
        <v>65</v>
      </c>
      <c r="C1877" t="s">
        <v>197</v>
      </c>
      <c r="D1877" t="s">
        <v>16</v>
      </c>
      <c r="E1877" t="s">
        <v>131</v>
      </c>
      <c r="F1877" t="s">
        <v>55</v>
      </c>
      <c r="G1877" t="s">
        <v>49</v>
      </c>
      <c r="H1877">
        <v>583</v>
      </c>
      <c r="I1877">
        <v>40</v>
      </c>
      <c r="J1877">
        <v>100</v>
      </c>
      <c r="K1877" t="s">
        <v>29</v>
      </c>
      <c r="L1877">
        <v>39</v>
      </c>
      <c r="M1877" t="s">
        <v>21</v>
      </c>
    </row>
    <row r="1878" spans="1:13" x14ac:dyDescent="0.35">
      <c r="A1878" t="s">
        <v>2664</v>
      </c>
      <c r="B1878" t="s">
        <v>413</v>
      </c>
      <c r="C1878" t="s">
        <v>394</v>
      </c>
      <c r="D1878" t="s">
        <v>53</v>
      </c>
      <c r="E1878" t="s">
        <v>54</v>
      </c>
      <c r="F1878" t="s">
        <v>55</v>
      </c>
      <c r="G1878" t="s">
        <v>19</v>
      </c>
      <c r="H1878">
        <v>163</v>
      </c>
      <c r="I1878">
        <v>30</v>
      </c>
      <c r="J1878">
        <v>100</v>
      </c>
      <c r="K1878" t="s">
        <v>29</v>
      </c>
      <c r="L1878">
        <v>24</v>
      </c>
      <c r="M1878" t="s">
        <v>21</v>
      </c>
    </row>
    <row r="1879" spans="1:13" x14ac:dyDescent="0.35">
      <c r="A1879" t="s">
        <v>2665</v>
      </c>
      <c r="B1879" t="s">
        <v>541</v>
      </c>
      <c r="C1879" t="s">
        <v>1381</v>
      </c>
      <c r="D1879" t="s">
        <v>53</v>
      </c>
      <c r="E1879" t="s">
        <v>84</v>
      </c>
      <c r="F1879" t="s">
        <v>85</v>
      </c>
      <c r="G1879" t="s">
        <v>74</v>
      </c>
      <c r="H1879">
        <v>553</v>
      </c>
      <c r="I1879">
        <v>20</v>
      </c>
      <c r="J1879">
        <v>20</v>
      </c>
      <c r="K1879" t="s">
        <v>29</v>
      </c>
      <c r="L1879">
        <v>22</v>
      </c>
      <c r="M1879" t="s">
        <v>21</v>
      </c>
    </row>
    <row r="1880" spans="1:13" x14ac:dyDescent="0.35">
      <c r="A1880" t="s">
        <v>2666</v>
      </c>
      <c r="B1880" t="s">
        <v>121</v>
      </c>
      <c r="C1880" t="s">
        <v>686</v>
      </c>
      <c r="D1880" t="s">
        <v>53</v>
      </c>
      <c r="E1880" t="s">
        <v>152</v>
      </c>
      <c r="F1880" t="s">
        <v>18</v>
      </c>
      <c r="G1880" t="s">
        <v>59</v>
      </c>
      <c r="H1880">
        <v>199</v>
      </c>
      <c r="I1880">
        <v>30</v>
      </c>
      <c r="J1880">
        <v>30</v>
      </c>
      <c r="K1880" t="s">
        <v>36</v>
      </c>
      <c r="L1880">
        <v>43</v>
      </c>
      <c r="M1880" t="s">
        <v>21</v>
      </c>
    </row>
    <row r="1881" spans="1:13" x14ac:dyDescent="0.35">
      <c r="A1881" t="s">
        <v>2667</v>
      </c>
      <c r="B1881" t="s">
        <v>476</v>
      </c>
      <c r="C1881" t="s">
        <v>816</v>
      </c>
      <c r="D1881" t="s">
        <v>53</v>
      </c>
      <c r="E1881" t="s">
        <v>152</v>
      </c>
      <c r="F1881" t="s">
        <v>18</v>
      </c>
      <c r="G1881" t="s">
        <v>42</v>
      </c>
      <c r="H1881">
        <v>293</v>
      </c>
      <c r="I1881">
        <v>40</v>
      </c>
      <c r="J1881">
        <v>30</v>
      </c>
      <c r="K1881" t="s">
        <v>20</v>
      </c>
      <c r="L1881">
        <v>51</v>
      </c>
      <c r="M1881" t="s">
        <v>21</v>
      </c>
    </row>
    <row r="1882" spans="1:13" x14ac:dyDescent="0.35">
      <c r="A1882" t="s">
        <v>2668</v>
      </c>
      <c r="B1882" t="s">
        <v>199</v>
      </c>
      <c r="C1882" t="s">
        <v>2669</v>
      </c>
      <c r="D1882" t="s">
        <v>25</v>
      </c>
      <c r="E1882" t="s">
        <v>26</v>
      </c>
      <c r="F1882" t="s">
        <v>27</v>
      </c>
      <c r="G1882" t="s">
        <v>74</v>
      </c>
      <c r="H1882">
        <v>226</v>
      </c>
      <c r="I1882">
        <v>20</v>
      </c>
      <c r="J1882">
        <v>50</v>
      </c>
      <c r="K1882" t="s">
        <v>36</v>
      </c>
      <c r="L1882">
        <v>33</v>
      </c>
      <c r="M1882" t="s">
        <v>21</v>
      </c>
    </row>
    <row r="1883" spans="1:13" x14ac:dyDescent="0.35">
      <c r="A1883" t="s">
        <v>2670</v>
      </c>
      <c r="B1883" t="s">
        <v>99</v>
      </c>
      <c r="C1883" t="s">
        <v>377</v>
      </c>
      <c r="D1883" t="s">
        <v>16</v>
      </c>
      <c r="E1883" t="s">
        <v>131</v>
      </c>
      <c r="F1883" t="s">
        <v>55</v>
      </c>
      <c r="G1883" t="s">
        <v>176</v>
      </c>
      <c r="H1883">
        <v>747</v>
      </c>
      <c r="I1883">
        <v>20</v>
      </c>
      <c r="J1883">
        <v>100</v>
      </c>
      <c r="K1883" t="s">
        <v>29</v>
      </c>
      <c r="L1883">
        <v>39</v>
      </c>
      <c r="M1883" t="s">
        <v>21</v>
      </c>
    </row>
    <row r="1884" spans="1:13" x14ac:dyDescent="0.35">
      <c r="A1884" t="s">
        <v>2671</v>
      </c>
      <c r="B1884" t="s">
        <v>388</v>
      </c>
      <c r="C1884" t="s">
        <v>2672</v>
      </c>
      <c r="D1884" t="s">
        <v>16</v>
      </c>
      <c r="E1884" t="s">
        <v>89</v>
      </c>
      <c r="F1884" t="s">
        <v>18</v>
      </c>
      <c r="G1884" t="s">
        <v>63</v>
      </c>
      <c r="H1884">
        <v>340</v>
      </c>
      <c r="I1884">
        <v>50</v>
      </c>
      <c r="J1884">
        <v>100</v>
      </c>
      <c r="K1884" t="s">
        <v>20</v>
      </c>
      <c r="L1884">
        <v>38</v>
      </c>
      <c r="M1884" t="s">
        <v>21</v>
      </c>
    </row>
    <row r="1885" spans="1:13" x14ac:dyDescent="0.35">
      <c r="A1885" t="s">
        <v>2673</v>
      </c>
      <c r="B1885" t="s">
        <v>109</v>
      </c>
      <c r="C1885" t="s">
        <v>1297</v>
      </c>
      <c r="D1885" t="s">
        <v>40</v>
      </c>
      <c r="E1885" t="s">
        <v>67</v>
      </c>
      <c r="F1885" t="s">
        <v>48</v>
      </c>
      <c r="G1885" t="s">
        <v>74</v>
      </c>
      <c r="H1885">
        <v>209</v>
      </c>
      <c r="I1885">
        <v>50</v>
      </c>
      <c r="J1885">
        <v>50</v>
      </c>
      <c r="K1885" t="s">
        <v>29</v>
      </c>
      <c r="L1885">
        <v>47</v>
      </c>
      <c r="M1885" t="s">
        <v>30</v>
      </c>
    </row>
    <row r="1886" spans="1:13" x14ac:dyDescent="0.35">
      <c r="A1886" t="s">
        <v>2674</v>
      </c>
      <c r="B1886" t="s">
        <v>61</v>
      </c>
      <c r="C1886" t="s">
        <v>391</v>
      </c>
      <c r="D1886" t="s">
        <v>16</v>
      </c>
      <c r="E1886" t="s">
        <v>131</v>
      </c>
      <c r="F1886" t="s">
        <v>55</v>
      </c>
      <c r="G1886" t="s">
        <v>59</v>
      </c>
      <c r="H1886">
        <v>507</v>
      </c>
      <c r="I1886">
        <v>40</v>
      </c>
      <c r="J1886">
        <v>50</v>
      </c>
      <c r="K1886" t="s">
        <v>36</v>
      </c>
      <c r="L1886">
        <v>26</v>
      </c>
      <c r="M1886" t="s">
        <v>21</v>
      </c>
    </row>
    <row r="1887" spans="1:13" x14ac:dyDescent="0.35">
      <c r="A1887" t="s">
        <v>2675</v>
      </c>
      <c r="B1887" t="s">
        <v>295</v>
      </c>
      <c r="C1887" t="s">
        <v>646</v>
      </c>
      <c r="D1887" t="s">
        <v>53</v>
      </c>
      <c r="E1887" t="s">
        <v>152</v>
      </c>
      <c r="F1887" t="s">
        <v>18</v>
      </c>
      <c r="G1887" t="s">
        <v>107</v>
      </c>
      <c r="H1887">
        <v>337</v>
      </c>
      <c r="I1887">
        <v>50</v>
      </c>
      <c r="J1887">
        <v>30</v>
      </c>
      <c r="K1887" t="s">
        <v>20</v>
      </c>
      <c r="L1887">
        <v>26</v>
      </c>
      <c r="M1887" t="s">
        <v>21</v>
      </c>
    </row>
    <row r="1888" spans="1:13" x14ac:dyDescent="0.35">
      <c r="A1888" t="s">
        <v>2676</v>
      </c>
      <c r="B1888" t="s">
        <v>102</v>
      </c>
      <c r="C1888" t="s">
        <v>320</v>
      </c>
      <c r="D1888" t="s">
        <v>53</v>
      </c>
      <c r="E1888" t="s">
        <v>152</v>
      </c>
      <c r="F1888" t="s">
        <v>18</v>
      </c>
      <c r="G1888" t="s">
        <v>74</v>
      </c>
      <c r="H1888">
        <v>491</v>
      </c>
      <c r="I1888">
        <v>50</v>
      </c>
      <c r="J1888">
        <v>100</v>
      </c>
      <c r="K1888" t="s">
        <v>29</v>
      </c>
      <c r="L1888">
        <v>41</v>
      </c>
      <c r="M1888" t="s">
        <v>21</v>
      </c>
    </row>
    <row r="1889" spans="1:13" x14ac:dyDescent="0.35">
      <c r="A1889" t="s">
        <v>2677</v>
      </c>
      <c r="B1889" t="s">
        <v>199</v>
      </c>
      <c r="C1889" t="s">
        <v>690</v>
      </c>
      <c r="D1889" t="s">
        <v>46</v>
      </c>
      <c r="E1889" t="s">
        <v>148</v>
      </c>
      <c r="F1889" t="s">
        <v>27</v>
      </c>
      <c r="G1889" t="s">
        <v>35</v>
      </c>
      <c r="H1889">
        <v>609</v>
      </c>
      <c r="I1889">
        <v>30</v>
      </c>
      <c r="J1889">
        <v>20</v>
      </c>
      <c r="K1889" t="s">
        <v>36</v>
      </c>
      <c r="L1889">
        <v>59</v>
      </c>
      <c r="M1889" t="s">
        <v>21</v>
      </c>
    </row>
    <row r="1890" spans="1:13" x14ac:dyDescent="0.35">
      <c r="A1890" t="s">
        <v>2678</v>
      </c>
      <c r="B1890" t="s">
        <v>297</v>
      </c>
      <c r="C1890" t="s">
        <v>871</v>
      </c>
      <c r="D1890" t="s">
        <v>25</v>
      </c>
      <c r="E1890" t="s">
        <v>78</v>
      </c>
      <c r="F1890" t="s">
        <v>48</v>
      </c>
      <c r="G1890" t="s">
        <v>35</v>
      </c>
      <c r="H1890">
        <v>322</v>
      </c>
      <c r="I1890">
        <v>20</v>
      </c>
      <c r="J1890">
        <v>0</v>
      </c>
      <c r="K1890" t="s">
        <v>29</v>
      </c>
      <c r="L1890">
        <v>28</v>
      </c>
      <c r="M1890" t="s">
        <v>21</v>
      </c>
    </row>
    <row r="1891" spans="1:13" x14ac:dyDescent="0.35">
      <c r="A1891" t="s">
        <v>2679</v>
      </c>
      <c r="B1891" t="s">
        <v>267</v>
      </c>
      <c r="C1891" t="s">
        <v>715</v>
      </c>
      <c r="D1891" t="s">
        <v>40</v>
      </c>
      <c r="E1891" t="s">
        <v>111</v>
      </c>
      <c r="F1891" t="s">
        <v>18</v>
      </c>
      <c r="G1891" t="s">
        <v>63</v>
      </c>
      <c r="H1891">
        <v>749</v>
      </c>
      <c r="I1891">
        <v>40</v>
      </c>
      <c r="J1891">
        <v>30</v>
      </c>
      <c r="K1891" t="s">
        <v>29</v>
      </c>
      <c r="L1891">
        <v>56</v>
      </c>
      <c r="M1891" t="s">
        <v>21</v>
      </c>
    </row>
    <row r="1892" spans="1:13" x14ac:dyDescent="0.35">
      <c r="A1892" t="s">
        <v>2680</v>
      </c>
      <c r="B1892" t="s">
        <v>280</v>
      </c>
      <c r="C1892" t="s">
        <v>165</v>
      </c>
      <c r="D1892" t="s">
        <v>46</v>
      </c>
      <c r="E1892" t="s">
        <v>148</v>
      </c>
      <c r="F1892" t="s">
        <v>27</v>
      </c>
      <c r="G1892" t="s">
        <v>74</v>
      </c>
      <c r="H1892">
        <v>726</v>
      </c>
      <c r="I1892">
        <v>20</v>
      </c>
      <c r="J1892">
        <v>0</v>
      </c>
      <c r="K1892" t="s">
        <v>20</v>
      </c>
      <c r="L1892">
        <v>39</v>
      </c>
      <c r="M1892" t="s">
        <v>21</v>
      </c>
    </row>
    <row r="1893" spans="1:13" x14ac:dyDescent="0.35">
      <c r="A1893" t="s">
        <v>2681</v>
      </c>
      <c r="B1893" t="s">
        <v>76</v>
      </c>
      <c r="C1893" t="s">
        <v>1344</v>
      </c>
      <c r="D1893" t="s">
        <v>16</v>
      </c>
      <c r="E1893" t="s">
        <v>17</v>
      </c>
      <c r="F1893" t="s">
        <v>18</v>
      </c>
      <c r="G1893" t="s">
        <v>28</v>
      </c>
      <c r="H1893">
        <v>785</v>
      </c>
      <c r="I1893">
        <v>40</v>
      </c>
      <c r="J1893">
        <v>100</v>
      </c>
      <c r="K1893" t="s">
        <v>29</v>
      </c>
      <c r="L1893">
        <v>21</v>
      </c>
      <c r="M1893" t="s">
        <v>21</v>
      </c>
    </row>
    <row r="1894" spans="1:13" x14ac:dyDescent="0.35">
      <c r="A1894" t="s">
        <v>2682</v>
      </c>
      <c r="B1894" t="s">
        <v>273</v>
      </c>
      <c r="C1894" t="s">
        <v>799</v>
      </c>
      <c r="D1894" t="s">
        <v>16</v>
      </c>
      <c r="E1894" t="s">
        <v>89</v>
      </c>
      <c r="F1894" t="s">
        <v>18</v>
      </c>
      <c r="G1894" t="s">
        <v>63</v>
      </c>
      <c r="H1894">
        <v>417</v>
      </c>
      <c r="I1894">
        <v>40</v>
      </c>
      <c r="J1894">
        <v>100</v>
      </c>
      <c r="K1894" t="s">
        <v>29</v>
      </c>
      <c r="L1894">
        <v>24</v>
      </c>
      <c r="M1894" t="s">
        <v>21</v>
      </c>
    </row>
    <row r="1895" spans="1:13" x14ac:dyDescent="0.35">
      <c r="A1895" t="s">
        <v>2683</v>
      </c>
      <c r="B1895" t="s">
        <v>154</v>
      </c>
      <c r="C1895" t="s">
        <v>1534</v>
      </c>
      <c r="D1895" t="s">
        <v>40</v>
      </c>
      <c r="E1895" t="s">
        <v>41</v>
      </c>
      <c r="F1895" t="s">
        <v>27</v>
      </c>
      <c r="G1895" t="s">
        <v>63</v>
      </c>
      <c r="H1895">
        <v>470</v>
      </c>
      <c r="I1895">
        <v>50</v>
      </c>
      <c r="J1895">
        <v>100</v>
      </c>
      <c r="K1895" t="s">
        <v>36</v>
      </c>
      <c r="L1895">
        <v>47</v>
      </c>
      <c r="M1895" t="s">
        <v>21</v>
      </c>
    </row>
    <row r="1896" spans="1:13" x14ac:dyDescent="0.35">
      <c r="A1896" t="s">
        <v>2684</v>
      </c>
      <c r="B1896" t="s">
        <v>199</v>
      </c>
      <c r="C1896" t="s">
        <v>1804</v>
      </c>
      <c r="D1896" t="s">
        <v>16</v>
      </c>
      <c r="E1896" t="s">
        <v>131</v>
      </c>
      <c r="F1896" t="s">
        <v>55</v>
      </c>
      <c r="G1896" t="s">
        <v>42</v>
      </c>
      <c r="H1896">
        <v>600</v>
      </c>
      <c r="I1896">
        <v>30</v>
      </c>
      <c r="J1896">
        <v>30</v>
      </c>
      <c r="K1896" t="s">
        <v>20</v>
      </c>
      <c r="L1896">
        <v>38</v>
      </c>
      <c r="M1896" t="s">
        <v>21</v>
      </c>
    </row>
    <row r="1897" spans="1:13" x14ac:dyDescent="0.35">
      <c r="A1897" t="s">
        <v>2685</v>
      </c>
      <c r="B1897" t="s">
        <v>91</v>
      </c>
      <c r="C1897" t="s">
        <v>539</v>
      </c>
      <c r="D1897" t="s">
        <v>46</v>
      </c>
      <c r="E1897" t="s">
        <v>70</v>
      </c>
      <c r="F1897" t="s">
        <v>18</v>
      </c>
      <c r="G1897" t="s">
        <v>59</v>
      </c>
      <c r="H1897">
        <v>569</v>
      </c>
      <c r="I1897">
        <v>30</v>
      </c>
      <c r="J1897">
        <v>0</v>
      </c>
      <c r="K1897" t="s">
        <v>29</v>
      </c>
      <c r="L1897">
        <v>56</v>
      </c>
      <c r="M1897" t="s">
        <v>21</v>
      </c>
    </row>
    <row r="1898" spans="1:13" x14ac:dyDescent="0.35">
      <c r="A1898" t="s">
        <v>2686</v>
      </c>
      <c r="B1898" t="s">
        <v>280</v>
      </c>
      <c r="C1898" t="s">
        <v>991</v>
      </c>
      <c r="D1898" t="s">
        <v>40</v>
      </c>
      <c r="E1898" t="s">
        <v>41</v>
      </c>
      <c r="F1898" t="s">
        <v>27</v>
      </c>
      <c r="G1898" t="s">
        <v>74</v>
      </c>
      <c r="H1898">
        <v>681</v>
      </c>
      <c r="I1898">
        <v>30</v>
      </c>
      <c r="J1898">
        <v>20</v>
      </c>
      <c r="K1898" t="s">
        <v>36</v>
      </c>
      <c r="L1898">
        <v>56</v>
      </c>
      <c r="M1898" t="s">
        <v>21</v>
      </c>
    </row>
    <row r="1899" spans="1:13" x14ac:dyDescent="0.35">
      <c r="A1899" t="s">
        <v>2687</v>
      </c>
      <c r="B1899" t="s">
        <v>297</v>
      </c>
      <c r="C1899" t="s">
        <v>1224</v>
      </c>
      <c r="D1899" t="s">
        <v>53</v>
      </c>
      <c r="E1899" t="s">
        <v>84</v>
      </c>
      <c r="F1899" t="s">
        <v>85</v>
      </c>
      <c r="G1899" t="s">
        <v>63</v>
      </c>
      <c r="H1899">
        <v>586</v>
      </c>
      <c r="I1899">
        <v>30</v>
      </c>
      <c r="J1899">
        <v>0</v>
      </c>
      <c r="K1899" t="s">
        <v>20</v>
      </c>
      <c r="L1899">
        <v>46</v>
      </c>
      <c r="M1899" t="s">
        <v>21</v>
      </c>
    </row>
    <row r="1900" spans="1:13" x14ac:dyDescent="0.35">
      <c r="A1900" t="s">
        <v>2688</v>
      </c>
      <c r="B1900" t="s">
        <v>57</v>
      </c>
      <c r="C1900" t="s">
        <v>952</v>
      </c>
      <c r="D1900" t="s">
        <v>16</v>
      </c>
      <c r="E1900" t="s">
        <v>131</v>
      </c>
      <c r="F1900" t="s">
        <v>55</v>
      </c>
      <c r="G1900" t="s">
        <v>49</v>
      </c>
      <c r="H1900">
        <v>280</v>
      </c>
      <c r="I1900">
        <v>40</v>
      </c>
      <c r="J1900">
        <v>100</v>
      </c>
      <c r="K1900" t="s">
        <v>36</v>
      </c>
      <c r="L1900">
        <v>41</v>
      </c>
      <c r="M1900" t="s">
        <v>30</v>
      </c>
    </row>
    <row r="1901" spans="1:13" x14ac:dyDescent="0.35">
      <c r="A1901" t="s">
        <v>2689</v>
      </c>
      <c r="B1901" t="s">
        <v>186</v>
      </c>
      <c r="C1901" t="s">
        <v>1218</v>
      </c>
      <c r="D1901" t="s">
        <v>40</v>
      </c>
      <c r="E1901" t="s">
        <v>111</v>
      </c>
      <c r="F1901" t="s">
        <v>18</v>
      </c>
      <c r="G1901" t="s">
        <v>176</v>
      </c>
      <c r="H1901">
        <v>338</v>
      </c>
      <c r="I1901">
        <v>20</v>
      </c>
      <c r="J1901">
        <v>20</v>
      </c>
      <c r="K1901" t="s">
        <v>29</v>
      </c>
      <c r="L1901">
        <v>48</v>
      </c>
      <c r="M1901" t="s">
        <v>21</v>
      </c>
    </row>
    <row r="1902" spans="1:13" x14ac:dyDescent="0.35">
      <c r="A1902" t="s">
        <v>2690</v>
      </c>
      <c r="B1902" t="s">
        <v>449</v>
      </c>
      <c r="C1902" t="s">
        <v>849</v>
      </c>
      <c r="D1902" t="s">
        <v>46</v>
      </c>
      <c r="E1902" t="s">
        <v>148</v>
      </c>
      <c r="F1902" t="s">
        <v>27</v>
      </c>
      <c r="G1902" t="s">
        <v>19</v>
      </c>
      <c r="H1902">
        <v>553</v>
      </c>
      <c r="I1902">
        <v>30</v>
      </c>
      <c r="J1902">
        <v>100</v>
      </c>
      <c r="K1902" t="s">
        <v>36</v>
      </c>
      <c r="L1902">
        <v>36</v>
      </c>
      <c r="M1902" t="s">
        <v>21</v>
      </c>
    </row>
    <row r="1903" spans="1:13" x14ac:dyDescent="0.35">
      <c r="A1903" t="s">
        <v>2691</v>
      </c>
      <c r="B1903" t="s">
        <v>600</v>
      </c>
      <c r="C1903" t="s">
        <v>227</v>
      </c>
      <c r="D1903" t="s">
        <v>46</v>
      </c>
      <c r="E1903" t="s">
        <v>47</v>
      </c>
      <c r="F1903" t="s">
        <v>48</v>
      </c>
      <c r="G1903" t="s">
        <v>35</v>
      </c>
      <c r="H1903">
        <v>501</v>
      </c>
      <c r="I1903">
        <v>50</v>
      </c>
      <c r="J1903">
        <v>0</v>
      </c>
      <c r="K1903" t="s">
        <v>29</v>
      </c>
      <c r="L1903">
        <v>45</v>
      </c>
      <c r="M1903" t="s">
        <v>21</v>
      </c>
    </row>
    <row r="1904" spans="1:13" x14ac:dyDescent="0.35">
      <c r="A1904" t="s">
        <v>2692</v>
      </c>
      <c r="B1904" t="s">
        <v>226</v>
      </c>
      <c r="C1904" t="s">
        <v>1675</v>
      </c>
      <c r="D1904" t="s">
        <v>16</v>
      </c>
      <c r="E1904" t="s">
        <v>17</v>
      </c>
      <c r="F1904" t="s">
        <v>18</v>
      </c>
      <c r="G1904" t="s">
        <v>59</v>
      </c>
      <c r="H1904">
        <v>577</v>
      </c>
      <c r="I1904">
        <v>40</v>
      </c>
      <c r="J1904">
        <v>30</v>
      </c>
      <c r="K1904" t="s">
        <v>20</v>
      </c>
      <c r="L1904">
        <v>34</v>
      </c>
      <c r="M1904" t="s">
        <v>21</v>
      </c>
    </row>
    <row r="1905" spans="1:13" x14ac:dyDescent="0.35">
      <c r="A1905" t="s">
        <v>2693</v>
      </c>
      <c r="B1905" t="s">
        <v>226</v>
      </c>
      <c r="C1905" t="s">
        <v>73</v>
      </c>
      <c r="D1905" t="s">
        <v>40</v>
      </c>
      <c r="E1905" t="s">
        <v>41</v>
      </c>
      <c r="F1905" t="s">
        <v>27</v>
      </c>
      <c r="G1905" t="s">
        <v>63</v>
      </c>
      <c r="H1905">
        <v>617</v>
      </c>
      <c r="I1905">
        <v>40</v>
      </c>
      <c r="J1905">
        <v>20</v>
      </c>
      <c r="K1905" t="s">
        <v>29</v>
      </c>
      <c r="L1905">
        <v>22</v>
      </c>
      <c r="M1905" t="s">
        <v>21</v>
      </c>
    </row>
    <row r="1906" spans="1:13" x14ac:dyDescent="0.35">
      <c r="A1906" t="s">
        <v>2694</v>
      </c>
      <c r="B1906" t="s">
        <v>454</v>
      </c>
      <c r="C1906" t="s">
        <v>1194</v>
      </c>
      <c r="D1906" t="s">
        <v>16</v>
      </c>
      <c r="E1906" t="s">
        <v>131</v>
      </c>
      <c r="F1906" t="s">
        <v>55</v>
      </c>
      <c r="G1906" t="s">
        <v>59</v>
      </c>
      <c r="H1906">
        <v>750</v>
      </c>
      <c r="I1906">
        <v>20</v>
      </c>
      <c r="J1906">
        <v>30</v>
      </c>
      <c r="K1906" t="s">
        <v>20</v>
      </c>
      <c r="L1906">
        <v>60</v>
      </c>
      <c r="M1906" t="s">
        <v>21</v>
      </c>
    </row>
    <row r="1907" spans="1:13" x14ac:dyDescent="0.35">
      <c r="A1907" t="s">
        <v>2695</v>
      </c>
      <c r="B1907" t="s">
        <v>526</v>
      </c>
      <c r="C1907" t="s">
        <v>39</v>
      </c>
      <c r="D1907" t="s">
        <v>53</v>
      </c>
      <c r="E1907" t="s">
        <v>84</v>
      </c>
      <c r="F1907" t="s">
        <v>85</v>
      </c>
      <c r="G1907" t="s">
        <v>63</v>
      </c>
      <c r="H1907">
        <v>606</v>
      </c>
      <c r="I1907">
        <v>20</v>
      </c>
      <c r="J1907">
        <v>50</v>
      </c>
      <c r="K1907" t="s">
        <v>20</v>
      </c>
      <c r="L1907">
        <v>42</v>
      </c>
      <c r="M1907" t="s">
        <v>21</v>
      </c>
    </row>
    <row r="1908" spans="1:13" x14ac:dyDescent="0.35">
      <c r="A1908" t="s">
        <v>2696</v>
      </c>
      <c r="B1908" t="s">
        <v>252</v>
      </c>
      <c r="C1908" t="s">
        <v>1071</v>
      </c>
      <c r="D1908" t="s">
        <v>53</v>
      </c>
      <c r="E1908" t="s">
        <v>84</v>
      </c>
      <c r="F1908" t="s">
        <v>85</v>
      </c>
      <c r="G1908" t="s">
        <v>49</v>
      </c>
      <c r="H1908">
        <v>613</v>
      </c>
      <c r="I1908">
        <v>50</v>
      </c>
      <c r="J1908">
        <v>20</v>
      </c>
      <c r="K1908" t="s">
        <v>29</v>
      </c>
      <c r="L1908">
        <v>34</v>
      </c>
      <c r="M1908" t="s">
        <v>21</v>
      </c>
    </row>
    <row r="1909" spans="1:13" x14ac:dyDescent="0.35">
      <c r="A1909" t="s">
        <v>2697</v>
      </c>
      <c r="B1909" t="s">
        <v>541</v>
      </c>
      <c r="C1909" t="s">
        <v>728</v>
      </c>
      <c r="D1909" t="s">
        <v>16</v>
      </c>
      <c r="E1909" t="s">
        <v>17</v>
      </c>
      <c r="F1909" t="s">
        <v>18</v>
      </c>
      <c r="G1909" t="s">
        <v>28</v>
      </c>
      <c r="H1909">
        <v>486</v>
      </c>
      <c r="I1909">
        <v>40</v>
      </c>
      <c r="J1909">
        <v>50</v>
      </c>
      <c r="K1909" t="s">
        <v>29</v>
      </c>
      <c r="L1909">
        <v>47</v>
      </c>
      <c r="M1909" t="s">
        <v>21</v>
      </c>
    </row>
    <row r="1910" spans="1:13" x14ac:dyDescent="0.35">
      <c r="A1910" t="s">
        <v>2698</v>
      </c>
      <c r="B1910" t="s">
        <v>473</v>
      </c>
      <c r="C1910" t="s">
        <v>276</v>
      </c>
      <c r="D1910" t="s">
        <v>40</v>
      </c>
      <c r="E1910" t="s">
        <v>67</v>
      </c>
      <c r="F1910" t="s">
        <v>48</v>
      </c>
      <c r="G1910" t="s">
        <v>49</v>
      </c>
      <c r="H1910">
        <v>652</v>
      </c>
      <c r="I1910">
        <v>40</v>
      </c>
      <c r="J1910">
        <v>20</v>
      </c>
      <c r="K1910" t="s">
        <v>36</v>
      </c>
      <c r="L1910">
        <v>23</v>
      </c>
      <c r="M1910" t="s">
        <v>21</v>
      </c>
    </row>
    <row r="1911" spans="1:13" x14ac:dyDescent="0.35">
      <c r="A1911" t="s">
        <v>2699</v>
      </c>
      <c r="B1911" t="s">
        <v>286</v>
      </c>
      <c r="C1911" t="s">
        <v>239</v>
      </c>
      <c r="D1911" t="s">
        <v>16</v>
      </c>
      <c r="E1911" t="s">
        <v>131</v>
      </c>
      <c r="F1911" t="s">
        <v>55</v>
      </c>
      <c r="G1911" t="s">
        <v>74</v>
      </c>
      <c r="H1911">
        <v>668</v>
      </c>
      <c r="I1911">
        <v>30</v>
      </c>
      <c r="J1911">
        <v>30</v>
      </c>
      <c r="K1911" t="s">
        <v>36</v>
      </c>
      <c r="L1911">
        <v>35</v>
      </c>
      <c r="M1911" t="s">
        <v>21</v>
      </c>
    </row>
    <row r="1912" spans="1:13" x14ac:dyDescent="0.35">
      <c r="A1912" t="s">
        <v>2700</v>
      </c>
      <c r="B1912" t="s">
        <v>167</v>
      </c>
      <c r="C1912" t="s">
        <v>724</v>
      </c>
      <c r="D1912" t="s">
        <v>16</v>
      </c>
      <c r="E1912" t="s">
        <v>89</v>
      </c>
      <c r="F1912" t="s">
        <v>18</v>
      </c>
      <c r="G1912" t="s">
        <v>176</v>
      </c>
      <c r="H1912">
        <v>375</v>
      </c>
      <c r="I1912">
        <v>40</v>
      </c>
      <c r="J1912">
        <v>0</v>
      </c>
      <c r="K1912" t="s">
        <v>20</v>
      </c>
      <c r="L1912">
        <v>39</v>
      </c>
      <c r="M1912" t="s">
        <v>21</v>
      </c>
    </row>
    <row r="1913" spans="1:13" x14ac:dyDescent="0.35">
      <c r="A1913" t="s">
        <v>2701</v>
      </c>
      <c r="B1913" t="s">
        <v>181</v>
      </c>
      <c r="C1913" t="s">
        <v>1114</v>
      </c>
      <c r="D1913" t="s">
        <v>53</v>
      </c>
      <c r="E1913" t="s">
        <v>54</v>
      </c>
      <c r="F1913" t="s">
        <v>55</v>
      </c>
      <c r="G1913" t="s">
        <v>35</v>
      </c>
      <c r="H1913">
        <v>389</v>
      </c>
      <c r="I1913">
        <v>20</v>
      </c>
      <c r="J1913">
        <v>0</v>
      </c>
      <c r="K1913" t="s">
        <v>36</v>
      </c>
      <c r="L1913">
        <v>44</v>
      </c>
      <c r="M1913" t="s">
        <v>21</v>
      </c>
    </row>
    <row r="1914" spans="1:13" x14ac:dyDescent="0.35">
      <c r="A1914" t="s">
        <v>2702</v>
      </c>
      <c r="B1914" t="s">
        <v>154</v>
      </c>
      <c r="C1914" t="s">
        <v>1697</v>
      </c>
      <c r="D1914" t="s">
        <v>46</v>
      </c>
      <c r="E1914" t="s">
        <v>148</v>
      </c>
      <c r="F1914" t="s">
        <v>27</v>
      </c>
      <c r="G1914" t="s">
        <v>35</v>
      </c>
      <c r="H1914">
        <v>562</v>
      </c>
      <c r="I1914">
        <v>50</v>
      </c>
      <c r="J1914">
        <v>20</v>
      </c>
      <c r="K1914" t="s">
        <v>36</v>
      </c>
      <c r="L1914">
        <v>25</v>
      </c>
      <c r="M1914" t="s">
        <v>21</v>
      </c>
    </row>
    <row r="1915" spans="1:13" x14ac:dyDescent="0.35">
      <c r="A1915" t="s">
        <v>2703</v>
      </c>
      <c r="B1915" t="s">
        <v>329</v>
      </c>
      <c r="C1915" t="s">
        <v>1162</v>
      </c>
      <c r="D1915" t="s">
        <v>46</v>
      </c>
      <c r="E1915" t="s">
        <v>70</v>
      </c>
      <c r="F1915" t="s">
        <v>18</v>
      </c>
      <c r="G1915" t="s">
        <v>35</v>
      </c>
      <c r="H1915">
        <v>406</v>
      </c>
      <c r="I1915">
        <v>30</v>
      </c>
      <c r="J1915">
        <v>20</v>
      </c>
      <c r="K1915" t="s">
        <v>36</v>
      </c>
      <c r="L1915">
        <v>60</v>
      </c>
      <c r="M1915" t="s">
        <v>21</v>
      </c>
    </row>
    <row r="1916" spans="1:13" x14ac:dyDescent="0.35">
      <c r="A1916" t="s">
        <v>2704</v>
      </c>
      <c r="B1916" t="s">
        <v>143</v>
      </c>
      <c r="C1916" t="s">
        <v>2705</v>
      </c>
      <c r="D1916" t="s">
        <v>53</v>
      </c>
      <c r="E1916" t="s">
        <v>152</v>
      </c>
      <c r="F1916" t="s">
        <v>18</v>
      </c>
      <c r="G1916" t="s">
        <v>19</v>
      </c>
      <c r="H1916">
        <v>329</v>
      </c>
      <c r="I1916">
        <v>30</v>
      </c>
      <c r="J1916">
        <v>0</v>
      </c>
      <c r="K1916" t="s">
        <v>20</v>
      </c>
      <c r="L1916">
        <v>59</v>
      </c>
      <c r="M1916" t="s">
        <v>21</v>
      </c>
    </row>
    <row r="1917" spans="1:13" x14ac:dyDescent="0.35">
      <c r="A1917" t="s">
        <v>2706</v>
      </c>
      <c r="B1917" t="s">
        <v>91</v>
      </c>
      <c r="C1917" t="s">
        <v>854</v>
      </c>
      <c r="D1917" t="s">
        <v>16</v>
      </c>
      <c r="E1917" t="s">
        <v>89</v>
      </c>
      <c r="F1917" t="s">
        <v>18</v>
      </c>
      <c r="G1917" t="s">
        <v>59</v>
      </c>
      <c r="H1917">
        <v>748</v>
      </c>
      <c r="I1917">
        <v>30</v>
      </c>
      <c r="J1917">
        <v>50</v>
      </c>
      <c r="K1917" t="s">
        <v>20</v>
      </c>
      <c r="L1917">
        <v>29</v>
      </c>
      <c r="M1917" t="s">
        <v>21</v>
      </c>
    </row>
    <row r="1918" spans="1:13" x14ac:dyDescent="0.35">
      <c r="A1918" t="s">
        <v>2707</v>
      </c>
      <c r="B1918" t="s">
        <v>388</v>
      </c>
      <c r="C1918" t="s">
        <v>1206</v>
      </c>
      <c r="D1918" t="s">
        <v>16</v>
      </c>
      <c r="E1918" t="s">
        <v>89</v>
      </c>
      <c r="F1918" t="s">
        <v>18</v>
      </c>
      <c r="G1918" t="s">
        <v>28</v>
      </c>
      <c r="H1918">
        <v>279</v>
      </c>
      <c r="I1918">
        <v>40</v>
      </c>
      <c r="J1918">
        <v>50</v>
      </c>
      <c r="K1918" t="s">
        <v>29</v>
      </c>
      <c r="L1918">
        <v>31</v>
      </c>
      <c r="M1918" t="s">
        <v>21</v>
      </c>
    </row>
    <row r="1919" spans="1:13" x14ac:dyDescent="0.35">
      <c r="A1919" t="s">
        <v>2708</v>
      </c>
      <c r="B1919" t="s">
        <v>223</v>
      </c>
      <c r="C1919" t="s">
        <v>313</v>
      </c>
      <c r="D1919" t="s">
        <v>16</v>
      </c>
      <c r="E1919" t="s">
        <v>89</v>
      </c>
      <c r="F1919" t="s">
        <v>18</v>
      </c>
      <c r="G1919" t="s">
        <v>42</v>
      </c>
      <c r="H1919">
        <v>716</v>
      </c>
      <c r="I1919">
        <v>50</v>
      </c>
      <c r="J1919">
        <v>0</v>
      </c>
      <c r="K1919" t="s">
        <v>36</v>
      </c>
      <c r="L1919">
        <v>56</v>
      </c>
      <c r="M1919" t="s">
        <v>21</v>
      </c>
    </row>
    <row r="1920" spans="1:13" x14ac:dyDescent="0.35">
      <c r="A1920" t="s">
        <v>2709</v>
      </c>
      <c r="B1920" t="s">
        <v>65</v>
      </c>
      <c r="C1920" t="s">
        <v>391</v>
      </c>
      <c r="D1920" t="s">
        <v>16</v>
      </c>
      <c r="E1920" t="s">
        <v>17</v>
      </c>
      <c r="F1920" t="s">
        <v>18</v>
      </c>
      <c r="G1920" t="s">
        <v>49</v>
      </c>
      <c r="H1920">
        <v>573</v>
      </c>
      <c r="I1920">
        <v>30</v>
      </c>
      <c r="J1920">
        <v>30</v>
      </c>
      <c r="K1920" t="s">
        <v>20</v>
      </c>
      <c r="L1920">
        <v>39</v>
      </c>
      <c r="M1920" t="s">
        <v>21</v>
      </c>
    </row>
    <row r="1921" spans="1:13" x14ac:dyDescent="0.35">
      <c r="A1921" t="s">
        <v>2710</v>
      </c>
      <c r="B1921" t="s">
        <v>398</v>
      </c>
      <c r="C1921" t="s">
        <v>469</v>
      </c>
      <c r="D1921" t="s">
        <v>46</v>
      </c>
      <c r="E1921" t="s">
        <v>70</v>
      </c>
      <c r="F1921" t="s">
        <v>18</v>
      </c>
      <c r="G1921" t="s">
        <v>42</v>
      </c>
      <c r="H1921">
        <v>800</v>
      </c>
      <c r="I1921">
        <v>20</v>
      </c>
      <c r="J1921">
        <v>100</v>
      </c>
      <c r="K1921" t="s">
        <v>20</v>
      </c>
      <c r="L1921">
        <v>30</v>
      </c>
      <c r="M1921" t="s">
        <v>21</v>
      </c>
    </row>
    <row r="1922" spans="1:13" x14ac:dyDescent="0.35">
      <c r="A1922" t="s">
        <v>2711</v>
      </c>
      <c r="B1922" t="s">
        <v>657</v>
      </c>
      <c r="C1922" t="s">
        <v>1457</v>
      </c>
      <c r="D1922" t="s">
        <v>53</v>
      </c>
      <c r="E1922" t="s">
        <v>84</v>
      </c>
      <c r="F1922" t="s">
        <v>85</v>
      </c>
      <c r="G1922" t="s">
        <v>35</v>
      </c>
      <c r="H1922">
        <v>448</v>
      </c>
      <c r="I1922">
        <v>20</v>
      </c>
      <c r="J1922">
        <v>100</v>
      </c>
      <c r="K1922" t="s">
        <v>20</v>
      </c>
      <c r="L1922">
        <v>40</v>
      </c>
      <c r="M1922" t="s">
        <v>21</v>
      </c>
    </row>
    <row r="1923" spans="1:13" x14ac:dyDescent="0.35">
      <c r="A1923" t="s">
        <v>2712</v>
      </c>
      <c r="B1923" t="s">
        <v>102</v>
      </c>
      <c r="C1923" t="s">
        <v>2713</v>
      </c>
      <c r="D1923" t="s">
        <v>40</v>
      </c>
      <c r="E1923" t="s">
        <v>111</v>
      </c>
      <c r="F1923" t="s">
        <v>18</v>
      </c>
      <c r="G1923" t="s">
        <v>19</v>
      </c>
      <c r="H1923">
        <v>778</v>
      </c>
      <c r="I1923">
        <v>40</v>
      </c>
      <c r="J1923">
        <v>20</v>
      </c>
      <c r="K1923" t="s">
        <v>29</v>
      </c>
      <c r="L1923">
        <v>42</v>
      </c>
      <c r="M1923" t="s">
        <v>21</v>
      </c>
    </row>
    <row r="1924" spans="1:13" x14ac:dyDescent="0.35">
      <c r="A1924" t="s">
        <v>2714</v>
      </c>
      <c r="B1924" t="s">
        <v>310</v>
      </c>
      <c r="C1924" t="s">
        <v>1931</v>
      </c>
      <c r="D1924" t="s">
        <v>16</v>
      </c>
      <c r="E1924" t="s">
        <v>89</v>
      </c>
      <c r="F1924" t="s">
        <v>18</v>
      </c>
      <c r="G1924" t="s">
        <v>35</v>
      </c>
      <c r="H1924">
        <v>413</v>
      </c>
      <c r="I1924">
        <v>40</v>
      </c>
      <c r="J1924">
        <v>50</v>
      </c>
      <c r="K1924" t="s">
        <v>29</v>
      </c>
      <c r="L1924">
        <v>53</v>
      </c>
      <c r="M1924" t="s">
        <v>21</v>
      </c>
    </row>
    <row r="1925" spans="1:13" x14ac:dyDescent="0.35">
      <c r="A1925" t="s">
        <v>2715</v>
      </c>
      <c r="B1925" t="s">
        <v>87</v>
      </c>
      <c r="C1925" t="s">
        <v>592</v>
      </c>
      <c r="D1925" t="s">
        <v>25</v>
      </c>
      <c r="E1925" t="s">
        <v>26</v>
      </c>
      <c r="F1925" t="s">
        <v>27</v>
      </c>
      <c r="G1925" t="s">
        <v>35</v>
      </c>
      <c r="H1925">
        <v>676</v>
      </c>
      <c r="I1925">
        <v>20</v>
      </c>
      <c r="J1925">
        <v>0</v>
      </c>
      <c r="K1925" t="s">
        <v>29</v>
      </c>
      <c r="L1925">
        <v>54</v>
      </c>
      <c r="M1925" t="s">
        <v>21</v>
      </c>
    </row>
    <row r="1926" spans="1:13" x14ac:dyDescent="0.35">
      <c r="A1926" t="s">
        <v>2716</v>
      </c>
      <c r="B1926" t="s">
        <v>280</v>
      </c>
      <c r="C1926" t="s">
        <v>452</v>
      </c>
      <c r="D1926" t="s">
        <v>40</v>
      </c>
      <c r="E1926" t="s">
        <v>111</v>
      </c>
      <c r="F1926" t="s">
        <v>18</v>
      </c>
      <c r="G1926" t="s">
        <v>42</v>
      </c>
      <c r="H1926">
        <v>554</v>
      </c>
      <c r="I1926">
        <v>20</v>
      </c>
      <c r="J1926">
        <v>100</v>
      </c>
      <c r="K1926" t="s">
        <v>36</v>
      </c>
      <c r="L1926">
        <v>28</v>
      </c>
      <c r="M1926" t="s">
        <v>21</v>
      </c>
    </row>
    <row r="1927" spans="1:13" x14ac:dyDescent="0.35">
      <c r="A1927" t="s">
        <v>2717</v>
      </c>
      <c r="B1927" t="s">
        <v>454</v>
      </c>
      <c r="C1927" t="s">
        <v>616</v>
      </c>
      <c r="D1927" t="s">
        <v>25</v>
      </c>
      <c r="E1927" t="s">
        <v>34</v>
      </c>
      <c r="F1927" t="s">
        <v>27</v>
      </c>
      <c r="G1927" t="s">
        <v>19</v>
      </c>
      <c r="H1927">
        <v>506</v>
      </c>
      <c r="I1927">
        <v>20</v>
      </c>
      <c r="J1927">
        <v>30</v>
      </c>
      <c r="K1927" t="s">
        <v>36</v>
      </c>
      <c r="L1927">
        <v>46</v>
      </c>
      <c r="M1927" t="s">
        <v>21</v>
      </c>
    </row>
    <row r="1928" spans="1:13" x14ac:dyDescent="0.35">
      <c r="A1928" t="s">
        <v>2718</v>
      </c>
      <c r="B1928" t="s">
        <v>526</v>
      </c>
      <c r="C1928" t="s">
        <v>1857</v>
      </c>
      <c r="D1928" t="s">
        <v>46</v>
      </c>
      <c r="E1928" t="s">
        <v>47</v>
      </c>
      <c r="F1928" t="s">
        <v>48</v>
      </c>
      <c r="G1928" t="s">
        <v>107</v>
      </c>
      <c r="H1928">
        <v>294</v>
      </c>
      <c r="I1928">
        <v>40</v>
      </c>
      <c r="J1928">
        <v>0</v>
      </c>
      <c r="K1928" t="s">
        <v>36</v>
      </c>
      <c r="L1928">
        <v>30</v>
      </c>
      <c r="M1928" t="s">
        <v>21</v>
      </c>
    </row>
    <row r="1929" spans="1:13" x14ac:dyDescent="0.35">
      <c r="A1929" t="s">
        <v>2719</v>
      </c>
      <c r="B1929" t="s">
        <v>322</v>
      </c>
      <c r="C1929" t="s">
        <v>231</v>
      </c>
      <c r="D1929" t="s">
        <v>53</v>
      </c>
      <c r="E1929" t="s">
        <v>152</v>
      </c>
      <c r="F1929" t="s">
        <v>18</v>
      </c>
      <c r="G1929" t="s">
        <v>28</v>
      </c>
      <c r="H1929">
        <v>520</v>
      </c>
      <c r="I1929">
        <v>40</v>
      </c>
      <c r="J1929">
        <v>20</v>
      </c>
      <c r="K1929" t="s">
        <v>20</v>
      </c>
      <c r="L1929">
        <v>58</v>
      </c>
      <c r="M1929" t="s">
        <v>21</v>
      </c>
    </row>
    <row r="1930" spans="1:13" x14ac:dyDescent="0.35">
      <c r="A1930" t="s">
        <v>2720</v>
      </c>
      <c r="B1930" t="s">
        <v>44</v>
      </c>
      <c r="C1930" t="s">
        <v>984</v>
      </c>
      <c r="D1930" t="s">
        <v>25</v>
      </c>
      <c r="E1930" t="s">
        <v>34</v>
      </c>
      <c r="F1930" t="s">
        <v>27</v>
      </c>
      <c r="G1930" t="s">
        <v>107</v>
      </c>
      <c r="H1930">
        <v>213</v>
      </c>
      <c r="I1930">
        <v>40</v>
      </c>
      <c r="J1930">
        <v>30</v>
      </c>
      <c r="K1930" t="s">
        <v>29</v>
      </c>
      <c r="L1930">
        <v>28</v>
      </c>
      <c r="M1930" t="s">
        <v>21</v>
      </c>
    </row>
    <row r="1931" spans="1:13" x14ac:dyDescent="0.35">
      <c r="A1931" t="s">
        <v>2721</v>
      </c>
      <c r="B1931" t="s">
        <v>218</v>
      </c>
      <c r="C1931" t="s">
        <v>879</v>
      </c>
      <c r="D1931" t="s">
        <v>46</v>
      </c>
      <c r="E1931" t="s">
        <v>148</v>
      </c>
      <c r="F1931" t="s">
        <v>27</v>
      </c>
      <c r="G1931" t="s">
        <v>49</v>
      </c>
      <c r="H1931">
        <v>368</v>
      </c>
      <c r="I1931">
        <v>30</v>
      </c>
      <c r="J1931">
        <v>50</v>
      </c>
      <c r="K1931" t="s">
        <v>20</v>
      </c>
      <c r="L1931">
        <v>42</v>
      </c>
      <c r="M1931" t="s">
        <v>21</v>
      </c>
    </row>
    <row r="1932" spans="1:13" x14ac:dyDescent="0.35">
      <c r="A1932" t="s">
        <v>2722</v>
      </c>
      <c r="B1932" t="s">
        <v>476</v>
      </c>
      <c r="C1932" t="s">
        <v>644</v>
      </c>
      <c r="D1932" t="s">
        <v>16</v>
      </c>
      <c r="E1932" t="s">
        <v>89</v>
      </c>
      <c r="F1932" t="s">
        <v>18</v>
      </c>
      <c r="G1932" t="s">
        <v>49</v>
      </c>
      <c r="H1932">
        <v>168</v>
      </c>
      <c r="I1932">
        <v>20</v>
      </c>
      <c r="J1932">
        <v>0</v>
      </c>
      <c r="K1932" t="s">
        <v>20</v>
      </c>
      <c r="L1932">
        <v>47</v>
      </c>
      <c r="M1932" t="s">
        <v>21</v>
      </c>
    </row>
    <row r="1933" spans="1:13" x14ac:dyDescent="0.35">
      <c r="A1933" t="s">
        <v>2723</v>
      </c>
      <c r="B1933" t="s">
        <v>121</v>
      </c>
      <c r="C1933" t="s">
        <v>527</v>
      </c>
      <c r="D1933" t="s">
        <v>25</v>
      </c>
      <c r="E1933" t="s">
        <v>34</v>
      </c>
      <c r="F1933" t="s">
        <v>27</v>
      </c>
      <c r="G1933" t="s">
        <v>19</v>
      </c>
      <c r="H1933">
        <v>341</v>
      </c>
      <c r="I1933">
        <v>50</v>
      </c>
      <c r="J1933">
        <v>50</v>
      </c>
      <c r="K1933" t="s">
        <v>36</v>
      </c>
      <c r="L1933">
        <v>22</v>
      </c>
      <c r="M1933" t="s">
        <v>21</v>
      </c>
    </row>
    <row r="1934" spans="1:13" x14ac:dyDescent="0.35">
      <c r="A1934" t="s">
        <v>2724</v>
      </c>
      <c r="B1934" t="s">
        <v>342</v>
      </c>
      <c r="C1934" t="s">
        <v>1423</v>
      </c>
      <c r="D1934" t="s">
        <v>53</v>
      </c>
      <c r="E1934" t="s">
        <v>84</v>
      </c>
      <c r="F1934" t="s">
        <v>85</v>
      </c>
      <c r="G1934" t="s">
        <v>28</v>
      </c>
      <c r="H1934">
        <v>426</v>
      </c>
      <c r="I1934">
        <v>40</v>
      </c>
      <c r="J1934">
        <v>30</v>
      </c>
      <c r="K1934" t="s">
        <v>20</v>
      </c>
      <c r="L1934">
        <v>56</v>
      </c>
      <c r="M1934" t="s">
        <v>21</v>
      </c>
    </row>
    <row r="1935" spans="1:13" x14ac:dyDescent="0.35">
      <c r="A1935" t="s">
        <v>2725</v>
      </c>
      <c r="B1935" t="s">
        <v>96</v>
      </c>
      <c r="C1935" t="s">
        <v>1702</v>
      </c>
      <c r="D1935" t="s">
        <v>53</v>
      </c>
      <c r="E1935" t="s">
        <v>84</v>
      </c>
      <c r="F1935" t="s">
        <v>85</v>
      </c>
      <c r="G1935" t="s">
        <v>176</v>
      </c>
      <c r="H1935">
        <v>598</v>
      </c>
      <c r="I1935">
        <v>30</v>
      </c>
      <c r="J1935">
        <v>20</v>
      </c>
      <c r="K1935" t="s">
        <v>20</v>
      </c>
      <c r="L1935">
        <v>58</v>
      </c>
      <c r="M1935" t="s">
        <v>21</v>
      </c>
    </row>
    <row r="1936" spans="1:13" x14ac:dyDescent="0.35">
      <c r="A1936" t="s">
        <v>2726</v>
      </c>
      <c r="B1936" t="s">
        <v>454</v>
      </c>
      <c r="C1936" t="s">
        <v>708</v>
      </c>
      <c r="D1936" t="s">
        <v>25</v>
      </c>
      <c r="E1936" t="s">
        <v>34</v>
      </c>
      <c r="F1936" t="s">
        <v>27</v>
      </c>
      <c r="G1936" t="s">
        <v>19</v>
      </c>
      <c r="H1936">
        <v>212</v>
      </c>
      <c r="I1936">
        <v>40</v>
      </c>
      <c r="J1936">
        <v>0</v>
      </c>
      <c r="K1936" t="s">
        <v>36</v>
      </c>
      <c r="L1936">
        <v>30</v>
      </c>
      <c r="M1936" t="s">
        <v>30</v>
      </c>
    </row>
    <row r="1937" spans="1:13" x14ac:dyDescent="0.35">
      <c r="A1937" t="s">
        <v>2727</v>
      </c>
      <c r="B1937" t="s">
        <v>526</v>
      </c>
      <c r="C1937" t="s">
        <v>233</v>
      </c>
      <c r="D1937" t="s">
        <v>46</v>
      </c>
      <c r="E1937" t="s">
        <v>148</v>
      </c>
      <c r="F1937" t="s">
        <v>27</v>
      </c>
      <c r="G1937" t="s">
        <v>74</v>
      </c>
      <c r="H1937">
        <v>165</v>
      </c>
      <c r="I1937">
        <v>40</v>
      </c>
      <c r="J1937">
        <v>20</v>
      </c>
      <c r="K1937" t="s">
        <v>36</v>
      </c>
      <c r="L1937">
        <v>39</v>
      </c>
      <c r="M1937" t="s">
        <v>21</v>
      </c>
    </row>
    <row r="1938" spans="1:13" x14ac:dyDescent="0.35">
      <c r="A1938" t="s">
        <v>2728</v>
      </c>
      <c r="B1938" t="s">
        <v>297</v>
      </c>
      <c r="C1938" t="s">
        <v>1445</v>
      </c>
      <c r="D1938" t="s">
        <v>25</v>
      </c>
      <c r="E1938" t="s">
        <v>78</v>
      </c>
      <c r="F1938" t="s">
        <v>48</v>
      </c>
      <c r="G1938" t="s">
        <v>176</v>
      </c>
      <c r="H1938">
        <v>769</v>
      </c>
      <c r="I1938">
        <v>50</v>
      </c>
      <c r="J1938">
        <v>50</v>
      </c>
      <c r="K1938" t="s">
        <v>36</v>
      </c>
      <c r="L1938">
        <v>58</v>
      </c>
      <c r="M1938" t="s">
        <v>30</v>
      </c>
    </row>
    <row r="1939" spans="1:13" x14ac:dyDescent="0.35">
      <c r="A1939" t="s">
        <v>2729</v>
      </c>
      <c r="B1939" t="s">
        <v>91</v>
      </c>
      <c r="C1939" t="s">
        <v>382</v>
      </c>
      <c r="D1939" t="s">
        <v>40</v>
      </c>
      <c r="E1939" t="s">
        <v>111</v>
      </c>
      <c r="F1939" t="s">
        <v>18</v>
      </c>
      <c r="G1939" t="s">
        <v>49</v>
      </c>
      <c r="H1939">
        <v>601</v>
      </c>
      <c r="I1939">
        <v>50</v>
      </c>
      <c r="J1939">
        <v>100</v>
      </c>
      <c r="K1939" t="s">
        <v>36</v>
      </c>
      <c r="L1939">
        <v>43</v>
      </c>
      <c r="M1939" t="s">
        <v>21</v>
      </c>
    </row>
    <row r="1940" spans="1:13" x14ac:dyDescent="0.35">
      <c r="A1940" t="s">
        <v>2730</v>
      </c>
      <c r="B1940" t="s">
        <v>143</v>
      </c>
      <c r="C1940" t="s">
        <v>1573</v>
      </c>
      <c r="D1940" t="s">
        <v>40</v>
      </c>
      <c r="E1940" t="s">
        <v>111</v>
      </c>
      <c r="F1940" t="s">
        <v>18</v>
      </c>
      <c r="G1940" t="s">
        <v>28</v>
      </c>
      <c r="H1940">
        <v>651</v>
      </c>
      <c r="I1940">
        <v>30</v>
      </c>
      <c r="J1940">
        <v>100</v>
      </c>
      <c r="K1940" t="s">
        <v>29</v>
      </c>
      <c r="L1940">
        <v>21</v>
      </c>
      <c r="M1940" t="s">
        <v>21</v>
      </c>
    </row>
    <row r="1941" spans="1:13" x14ac:dyDescent="0.35">
      <c r="A1941" t="s">
        <v>2731</v>
      </c>
      <c r="B1941" t="s">
        <v>368</v>
      </c>
      <c r="C1941" t="s">
        <v>385</v>
      </c>
      <c r="D1941" t="s">
        <v>16</v>
      </c>
      <c r="E1941" t="s">
        <v>131</v>
      </c>
      <c r="F1941" t="s">
        <v>55</v>
      </c>
      <c r="G1941" t="s">
        <v>74</v>
      </c>
      <c r="H1941">
        <v>329</v>
      </c>
      <c r="I1941">
        <v>20</v>
      </c>
      <c r="J1941">
        <v>50</v>
      </c>
      <c r="K1941" t="s">
        <v>36</v>
      </c>
      <c r="L1941">
        <v>50</v>
      </c>
      <c r="M1941" t="s">
        <v>21</v>
      </c>
    </row>
    <row r="1942" spans="1:13" x14ac:dyDescent="0.35">
      <c r="A1942" t="s">
        <v>2732</v>
      </c>
      <c r="B1942" t="s">
        <v>295</v>
      </c>
      <c r="C1942" t="s">
        <v>1593</v>
      </c>
      <c r="D1942" t="s">
        <v>46</v>
      </c>
      <c r="E1942" t="s">
        <v>70</v>
      </c>
      <c r="F1942" t="s">
        <v>18</v>
      </c>
      <c r="G1942" t="s">
        <v>74</v>
      </c>
      <c r="H1942">
        <v>542</v>
      </c>
      <c r="I1942">
        <v>50</v>
      </c>
      <c r="J1942">
        <v>100</v>
      </c>
      <c r="K1942" t="s">
        <v>29</v>
      </c>
      <c r="L1942">
        <v>30</v>
      </c>
      <c r="M1942" t="s">
        <v>21</v>
      </c>
    </row>
    <row r="1943" spans="1:13" x14ac:dyDescent="0.35">
      <c r="A1943" t="s">
        <v>2733</v>
      </c>
      <c r="B1943" t="s">
        <v>476</v>
      </c>
      <c r="C1943" t="s">
        <v>553</v>
      </c>
      <c r="D1943" t="s">
        <v>16</v>
      </c>
      <c r="E1943" t="s">
        <v>89</v>
      </c>
      <c r="F1943" t="s">
        <v>18</v>
      </c>
      <c r="G1943" t="s">
        <v>28</v>
      </c>
      <c r="H1943">
        <v>304</v>
      </c>
      <c r="I1943">
        <v>50</v>
      </c>
      <c r="J1943">
        <v>0</v>
      </c>
      <c r="K1943" t="s">
        <v>20</v>
      </c>
      <c r="L1943">
        <v>37</v>
      </c>
      <c r="M1943" t="s">
        <v>21</v>
      </c>
    </row>
    <row r="1944" spans="1:13" x14ac:dyDescent="0.35">
      <c r="A1944" t="s">
        <v>2734</v>
      </c>
      <c r="B1944" t="s">
        <v>102</v>
      </c>
      <c r="C1944" t="s">
        <v>1322</v>
      </c>
      <c r="D1944" t="s">
        <v>16</v>
      </c>
      <c r="E1944" t="s">
        <v>131</v>
      </c>
      <c r="F1944" t="s">
        <v>55</v>
      </c>
      <c r="G1944" t="s">
        <v>19</v>
      </c>
      <c r="H1944">
        <v>780</v>
      </c>
      <c r="I1944">
        <v>20</v>
      </c>
      <c r="J1944">
        <v>30</v>
      </c>
      <c r="K1944" t="s">
        <v>29</v>
      </c>
      <c r="L1944">
        <v>57</v>
      </c>
      <c r="M1944" t="s">
        <v>21</v>
      </c>
    </row>
    <row r="1945" spans="1:13" x14ac:dyDescent="0.35">
      <c r="A1945" t="s">
        <v>2735</v>
      </c>
      <c r="B1945" t="s">
        <v>102</v>
      </c>
      <c r="C1945" t="s">
        <v>2736</v>
      </c>
      <c r="D1945" t="s">
        <v>25</v>
      </c>
      <c r="E1945" t="s">
        <v>26</v>
      </c>
      <c r="F1945" t="s">
        <v>27</v>
      </c>
      <c r="G1945" t="s">
        <v>28</v>
      </c>
      <c r="H1945">
        <v>707</v>
      </c>
      <c r="I1945">
        <v>50</v>
      </c>
      <c r="J1945">
        <v>20</v>
      </c>
      <c r="K1945" t="s">
        <v>20</v>
      </c>
      <c r="L1945">
        <v>33</v>
      </c>
      <c r="M1945" t="s">
        <v>21</v>
      </c>
    </row>
    <row r="1946" spans="1:13" x14ac:dyDescent="0.35">
      <c r="A1946" t="s">
        <v>2737</v>
      </c>
      <c r="B1946" t="s">
        <v>454</v>
      </c>
      <c r="C1946" t="s">
        <v>1061</v>
      </c>
      <c r="D1946" t="s">
        <v>25</v>
      </c>
      <c r="E1946" t="s">
        <v>78</v>
      </c>
      <c r="F1946" t="s">
        <v>48</v>
      </c>
      <c r="G1946" t="s">
        <v>28</v>
      </c>
      <c r="H1946">
        <v>483</v>
      </c>
      <c r="I1946">
        <v>40</v>
      </c>
      <c r="J1946">
        <v>0</v>
      </c>
      <c r="K1946" t="s">
        <v>29</v>
      </c>
      <c r="L1946">
        <v>58</v>
      </c>
      <c r="M1946" t="s">
        <v>21</v>
      </c>
    </row>
    <row r="1947" spans="1:13" x14ac:dyDescent="0.35">
      <c r="A1947" t="s">
        <v>2738</v>
      </c>
      <c r="B1947" t="s">
        <v>136</v>
      </c>
      <c r="C1947" t="s">
        <v>385</v>
      </c>
      <c r="D1947" t="s">
        <v>46</v>
      </c>
      <c r="E1947" t="s">
        <v>47</v>
      </c>
      <c r="F1947" t="s">
        <v>48</v>
      </c>
      <c r="G1947" t="s">
        <v>63</v>
      </c>
      <c r="H1947">
        <v>774</v>
      </c>
      <c r="I1947">
        <v>30</v>
      </c>
      <c r="J1947">
        <v>20</v>
      </c>
      <c r="K1947" t="s">
        <v>36</v>
      </c>
      <c r="L1947">
        <v>26</v>
      </c>
      <c r="M1947" t="s">
        <v>21</v>
      </c>
    </row>
    <row r="1948" spans="1:13" x14ac:dyDescent="0.35">
      <c r="A1948" t="s">
        <v>2739</v>
      </c>
      <c r="B1948" t="s">
        <v>580</v>
      </c>
      <c r="C1948" t="s">
        <v>614</v>
      </c>
      <c r="D1948" t="s">
        <v>40</v>
      </c>
      <c r="E1948" t="s">
        <v>41</v>
      </c>
      <c r="F1948" t="s">
        <v>27</v>
      </c>
      <c r="G1948" t="s">
        <v>63</v>
      </c>
      <c r="H1948">
        <v>688</v>
      </c>
      <c r="I1948">
        <v>20</v>
      </c>
      <c r="J1948">
        <v>0</v>
      </c>
      <c r="K1948" t="s">
        <v>20</v>
      </c>
      <c r="L1948">
        <v>47</v>
      </c>
      <c r="M1948" t="s">
        <v>21</v>
      </c>
    </row>
    <row r="1949" spans="1:13" x14ac:dyDescent="0.35">
      <c r="A1949" t="s">
        <v>2740</v>
      </c>
      <c r="B1949" t="s">
        <v>91</v>
      </c>
      <c r="C1949" t="s">
        <v>659</v>
      </c>
      <c r="D1949" t="s">
        <v>40</v>
      </c>
      <c r="E1949" t="s">
        <v>67</v>
      </c>
      <c r="F1949" t="s">
        <v>48</v>
      </c>
      <c r="G1949" t="s">
        <v>28</v>
      </c>
      <c r="H1949">
        <v>282</v>
      </c>
      <c r="I1949">
        <v>50</v>
      </c>
      <c r="J1949">
        <v>50</v>
      </c>
      <c r="K1949" t="s">
        <v>36</v>
      </c>
      <c r="L1949">
        <v>58</v>
      </c>
      <c r="M1949" t="s">
        <v>21</v>
      </c>
    </row>
    <row r="1950" spans="1:13" x14ac:dyDescent="0.35">
      <c r="A1950" t="s">
        <v>2741</v>
      </c>
      <c r="B1950" t="s">
        <v>23</v>
      </c>
      <c r="C1950" t="s">
        <v>818</v>
      </c>
      <c r="D1950" t="s">
        <v>25</v>
      </c>
      <c r="E1950" t="s">
        <v>78</v>
      </c>
      <c r="F1950" t="s">
        <v>48</v>
      </c>
      <c r="G1950" t="s">
        <v>63</v>
      </c>
      <c r="H1950">
        <v>649</v>
      </c>
      <c r="I1950">
        <v>50</v>
      </c>
      <c r="J1950">
        <v>30</v>
      </c>
      <c r="K1950" t="s">
        <v>29</v>
      </c>
      <c r="L1950">
        <v>51</v>
      </c>
      <c r="M1950" t="s">
        <v>21</v>
      </c>
    </row>
    <row r="1951" spans="1:13" x14ac:dyDescent="0.35">
      <c r="A1951" t="s">
        <v>2742</v>
      </c>
      <c r="B1951" t="s">
        <v>513</v>
      </c>
      <c r="C1951" t="s">
        <v>1521</v>
      </c>
      <c r="D1951" t="s">
        <v>46</v>
      </c>
      <c r="E1951" t="s">
        <v>148</v>
      </c>
      <c r="F1951" t="s">
        <v>27</v>
      </c>
      <c r="G1951" t="s">
        <v>42</v>
      </c>
      <c r="H1951">
        <v>385</v>
      </c>
      <c r="I1951">
        <v>20</v>
      </c>
      <c r="J1951">
        <v>20</v>
      </c>
      <c r="K1951" t="s">
        <v>36</v>
      </c>
      <c r="L1951">
        <v>32</v>
      </c>
      <c r="M1951" t="s">
        <v>21</v>
      </c>
    </row>
    <row r="1952" spans="1:13" x14ac:dyDescent="0.35">
      <c r="A1952" t="s">
        <v>2743</v>
      </c>
      <c r="B1952" t="s">
        <v>435</v>
      </c>
      <c r="C1952" t="s">
        <v>1720</v>
      </c>
      <c r="D1952" t="s">
        <v>25</v>
      </c>
      <c r="E1952" t="s">
        <v>78</v>
      </c>
      <c r="F1952" t="s">
        <v>48</v>
      </c>
      <c r="G1952" t="s">
        <v>59</v>
      </c>
      <c r="H1952">
        <v>696</v>
      </c>
      <c r="I1952">
        <v>20</v>
      </c>
      <c r="J1952">
        <v>100</v>
      </c>
      <c r="K1952" t="s">
        <v>20</v>
      </c>
      <c r="L1952">
        <v>47</v>
      </c>
      <c r="M1952" t="s">
        <v>21</v>
      </c>
    </row>
    <row r="1953" spans="1:13" x14ac:dyDescent="0.35">
      <c r="A1953" t="s">
        <v>2744</v>
      </c>
      <c r="B1953" t="s">
        <v>247</v>
      </c>
      <c r="C1953" t="s">
        <v>2705</v>
      </c>
      <c r="D1953" t="s">
        <v>40</v>
      </c>
      <c r="E1953" t="s">
        <v>67</v>
      </c>
      <c r="F1953" t="s">
        <v>48</v>
      </c>
      <c r="G1953" t="s">
        <v>42</v>
      </c>
      <c r="H1953">
        <v>452</v>
      </c>
      <c r="I1953">
        <v>20</v>
      </c>
      <c r="J1953">
        <v>30</v>
      </c>
      <c r="K1953" t="s">
        <v>20</v>
      </c>
      <c r="L1953">
        <v>33</v>
      </c>
      <c r="M1953" t="s">
        <v>21</v>
      </c>
    </row>
    <row r="1954" spans="1:13" x14ac:dyDescent="0.35">
      <c r="A1954" t="s">
        <v>2745</v>
      </c>
      <c r="B1954" t="s">
        <v>398</v>
      </c>
      <c r="C1954" t="s">
        <v>1677</v>
      </c>
      <c r="D1954" t="s">
        <v>46</v>
      </c>
      <c r="E1954" t="s">
        <v>148</v>
      </c>
      <c r="F1954" t="s">
        <v>27</v>
      </c>
      <c r="G1954" t="s">
        <v>176</v>
      </c>
      <c r="H1954">
        <v>729</v>
      </c>
      <c r="I1954">
        <v>50</v>
      </c>
      <c r="J1954">
        <v>0</v>
      </c>
      <c r="K1954" t="s">
        <v>36</v>
      </c>
      <c r="L1954">
        <v>23</v>
      </c>
      <c r="M1954" t="s">
        <v>21</v>
      </c>
    </row>
    <row r="1955" spans="1:13" x14ac:dyDescent="0.35">
      <c r="A1955" t="s">
        <v>2746</v>
      </c>
      <c r="B1955" t="s">
        <v>291</v>
      </c>
      <c r="C1955" t="s">
        <v>942</v>
      </c>
      <c r="D1955" t="s">
        <v>16</v>
      </c>
      <c r="E1955" t="s">
        <v>131</v>
      </c>
      <c r="F1955" t="s">
        <v>55</v>
      </c>
      <c r="G1955" t="s">
        <v>19</v>
      </c>
      <c r="H1955">
        <v>220</v>
      </c>
      <c r="I1955">
        <v>40</v>
      </c>
      <c r="J1955">
        <v>0</v>
      </c>
      <c r="K1955" t="s">
        <v>36</v>
      </c>
      <c r="L1955">
        <v>24</v>
      </c>
      <c r="M1955" t="s">
        <v>21</v>
      </c>
    </row>
    <row r="1956" spans="1:13" x14ac:dyDescent="0.35">
      <c r="A1956" t="s">
        <v>2747</v>
      </c>
      <c r="B1956" t="s">
        <v>72</v>
      </c>
      <c r="C1956" t="s">
        <v>2527</v>
      </c>
      <c r="D1956" t="s">
        <v>46</v>
      </c>
      <c r="E1956" t="s">
        <v>47</v>
      </c>
      <c r="F1956" t="s">
        <v>48</v>
      </c>
      <c r="G1956" t="s">
        <v>59</v>
      </c>
      <c r="H1956">
        <v>790</v>
      </c>
      <c r="I1956">
        <v>30</v>
      </c>
      <c r="J1956">
        <v>20</v>
      </c>
      <c r="K1956" t="s">
        <v>20</v>
      </c>
      <c r="L1956">
        <v>30</v>
      </c>
      <c r="M1956" t="s">
        <v>21</v>
      </c>
    </row>
    <row r="1957" spans="1:13" x14ac:dyDescent="0.35">
      <c r="A1957" t="s">
        <v>2748</v>
      </c>
      <c r="B1957" t="s">
        <v>449</v>
      </c>
      <c r="C1957" t="s">
        <v>147</v>
      </c>
      <c r="D1957" t="s">
        <v>46</v>
      </c>
      <c r="E1957" t="s">
        <v>70</v>
      </c>
      <c r="F1957" t="s">
        <v>18</v>
      </c>
      <c r="G1957" t="s">
        <v>35</v>
      </c>
      <c r="H1957">
        <v>666</v>
      </c>
      <c r="I1957">
        <v>40</v>
      </c>
      <c r="J1957">
        <v>20</v>
      </c>
      <c r="K1957" t="s">
        <v>20</v>
      </c>
      <c r="L1957">
        <v>54</v>
      </c>
      <c r="M1957" t="s">
        <v>21</v>
      </c>
    </row>
    <row r="1958" spans="1:13" x14ac:dyDescent="0.35">
      <c r="A1958" t="s">
        <v>2749</v>
      </c>
      <c r="B1958" t="s">
        <v>541</v>
      </c>
      <c r="C1958" t="s">
        <v>942</v>
      </c>
      <c r="D1958" t="s">
        <v>46</v>
      </c>
      <c r="E1958" t="s">
        <v>148</v>
      </c>
      <c r="F1958" t="s">
        <v>27</v>
      </c>
      <c r="G1958" t="s">
        <v>74</v>
      </c>
      <c r="H1958">
        <v>782</v>
      </c>
      <c r="I1958">
        <v>30</v>
      </c>
      <c r="J1958">
        <v>50</v>
      </c>
      <c r="K1958" t="s">
        <v>36</v>
      </c>
      <c r="L1958">
        <v>59</v>
      </c>
      <c r="M1958" t="s">
        <v>30</v>
      </c>
    </row>
    <row r="1959" spans="1:13" x14ac:dyDescent="0.35">
      <c r="A1959" t="s">
        <v>2750</v>
      </c>
      <c r="B1959" t="s">
        <v>388</v>
      </c>
      <c r="C1959" t="s">
        <v>289</v>
      </c>
      <c r="D1959" t="s">
        <v>25</v>
      </c>
      <c r="E1959" t="s">
        <v>78</v>
      </c>
      <c r="F1959" t="s">
        <v>48</v>
      </c>
      <c r="G1959" t="s">
        <v>49</v>
      </c>
      <c r="H1959">
        <v>440</v>
      </c>
      <c r="I1959">
        <v>40</v>
      </c>
      <c r="J1959">
        <v>50</v>
      </c>
      <c r="K1959" t="s">
        <v>36</v>
      </c>
      <c r="L1959">
        <v>40</v>
      </c>
      <c r="M1959" t="s">
        <v>21</v>
      </c>
    </row>
    <row r="1960" spans="1:13" x14ac:dyDescent="0.35">
      <c r="A1960" t="s">
        <v>2751</v>
      </c>
      <c r="B1960" t="s">
        <v>113</v>
      </c>
      <c r="C1960" t="s">
        <v>1024</v>
      </c>
      <c r="D1960" t="s">
        <v>40</v>
      </c>
      <c r="E1960" t="s">
        <v>41</v>
      </c>
      <c r="F1960" t="s">
        <v>27</v>
      </c>
      <c r="G1960" t="s">
        <v>176</v>
      </c>
      <c r="H1960">
        <v>722</v>
      </c>
      <c r="I1960">
        <v>50</v>
      </c>
      <c r="J1960">
        <v>30</v>
      </c>
      <c r="K1960" t="s">
        <v>36</v>
      </c>
      <c r="L1960">
        <v>26</v>
      </c>
      <c r="M1960" t="s">
        <v>21</v>
      </c>
    </row>
    <row r="1961" spans="1:13" x14ac:dyDescent="0.35">
      <c r="A1961" t="s">
        <v>2752</v>
      </c>
      <c r="B1961" t="s">
        <v>252</v>
      </c>
      <c r="C1961" t="s">
        <v>2062</v>
      </c>
      <c r="D1961" t="s">
        <v>25</v>
      </c>
      <c r="E1961" t="s">
        <v>34</v>
      </c>
      <c r="F1961" t="s">
        <v>27</v>
      </c>
      <c r="G1961" t="s">
        <v>74</v>
      </c>
      <c r="H1961">
        <v>584</v>
      </c>
      <c r="I1961">
        <v>40</v>
      </c>
      <c r="J1961">
        <v>30</v>
      </c>
      <c r="K1961" t="s">
        <v>20</v>
      </c>
      <c r="L1961">
        <v>23</v>
      </c>
      <c r="M1961" t="s">
        <v>21</v>
      </c>
    </row>
    <row r="1962" spans="1:13" x14ac:dyDescent="0.35">
      <c r="A1962" t="s">
        <v>2753</v>
      </c>
      <c r="B1962" t="s">
        <v>129</v>
      </c>
      <c r="C1962" t="s">
        <v>1675</v>
      </c>
      <c r="D1962" t="s">
        <v>53</v>
      </c>
      <c r="E1962" t="s">
        <v>84</v>
      </c>
      <c r="F1962" t="s">
        <v>85</v>
      </c>
      <c r="G1962" t="s">
        <v>74</v>
      </c>
      <c r="H1962">
        <v>442</v>
      </c>
      <c r="I1962">
        <v>40</v>
      </c>
      <c r="J1962">
        <v>100</v>
      </c>
      <c r="K1962" t="s">
        <v>20</v>
      </c>
      <c r="L1962">
        <v>38</v>
      </c>
      <c r="M1962" t="s">
        <v>21</v>
      </c>
    </row>
    <row r="1963" spans="1:13" x14ac:dyDescent="0.35">
      <c r="A1963" t="s">
        <v>2754</v>
      </c>
      <c r="B1963" t="s">
        <v>44</v>
      </c>
      <c r="C1963" t="s">
        <v>944</v>
      </c>
      <c r="D1963" t="s">
        <v>53</v>
      </c>
      <c r="E1963" t="s">
        <v>152</v>
      </c>
      <c r="F1963" t="s">
        <v>18</v>
      </c>
      <c r="G1963" t="s">
        <v>176</v>
      </c>
      <c r="H1963">
        <v>201</v>
      </c>
      <c r="I1963">
        <v>30</v>
      </c>
      <c r="J1963">
        <v>30</v>
      </c>
      <c r="K1963" t="s">
        <v>36</v>
      </c>
      <c r="L1963">
        <v>49</v>
      </c>
      <c r="M1963" t="s">
        <v>21</v>
      </c>
    </row>
    <row r="1964" spans="1:13" x14ac:dyDescent="0.35">
      <c r="A1964" t="s">
        <v>2755</v>
      </c>
      <c r="B1964" t="s">
        <v>80</v>
      </c>
      <c r="C1964" t="s">
        <v>1434</v>
      </c>
      <c r="D1964" t="s">
        <v>46</v>
      </c>
      <c r="E1964" t="s">
        <v>47</v>
      </c>
      <c r="F1964" t="s">
        <v>48</v>
      </c>
      <c r="G1964" t="s">
        <v>49</v>
      </c>
      <c r="H1964">
        <v>699</v>
      </c>
      <c r="I1964">
        <v>30</v>
      </c>
      <c r="J1964">
        <v>100</v>
      </c>
      <c r="K1964" t="s">
        <v>20</v>
      </c>
      <c r="L1964">
        <v>37</v>
      </c>
      <c r="M1964" t="s">
        <v>21</v>
      </c>
    </row>
    <row r="1965" spans="1:13" x14ac:dyDescent="0.35">
      <c r="A1965" t="s">
        <v>2756</v>
      </c>
      <c r="B1965" t="s">
        <v>126</v>
      </c>
      <c r="C1965" t="s">
        <v>514</v>
      </c>
      <c r="D1965" t="s">
        <v>16</v>
      </c>
      <c r="E1965" t="s">
        <v>89</v>
      </c>
      <c r="F1965" t="s">
        <v>18</v>
      </c>
      <c r="G1965" t="s">
        <v>63</v>
      </c>
      <c r="H1965">
        <v>540</v>
      </c>
      <c r="I1965">
        <v>20</v>
      </c>
      <c r="J1965">
        <v>20</v>
      </c>
      <c r="K1965" t="s">
        <v>29</v>
      </c>
      <c r="L1965">
        <v>20</v>
      </c>
      <c r="M1965" t="s">
        <v>21</v>
      </c>
    </row>
    <row r="1966" spans="1:13" x14ac:dyDescent="0.35">
      <c r="A1966" t="s">
        <v>2757</v>
      </c>
      <c r="B1966" t="s">
        <v>657</v>
      </c>
      <c r="C1966" t="s">
        <v>66</v>
      </c>
      <c r="D1966" t="s">
        <v>53</v>
      </c>
      <c r="E1966" t="s">
        <v>152</v>
      </c>
      <c r="F1966" t="s">
        <v>18</v>
      </c>
      <c r="G1966" t="s">
        <v>63</v>
      </c>
      <c r="H1966">
        <v>433</v>
      </c>
      <c r="I1966">
        <v>50</v>
      </c>
      <c r="J1966">
        <v>20</v>
      </c>
      <c r="K1966" t="s">
        <v>29</v>
      </c>
      <c r="L1966">
        <v>30</v>
      </c>
      <c r="M1966" t="s">
        <v>21</v>
      </c>
    </row>
    <row r="1967" spans="1:13" x14ac:dyDescent="0.35">
      <c r="A1967" t="s">
        <v>2758</v>
      </c>
      <c r="B1967" t="s">
        <v>541</v>
      </c>
      <c r="C1967" t="s">
        <v>2759</v>
      </c>
      <c r="D1967" t="s">
        <v>16</v>
      </c>
      <c r="E1967" t="s">
        <v>131</v>
      </c>
      <c r="F1967" t="s">
        <v>55</v>
      </c>
      <c r="G1967" t="s">
        <v>28</v>
      </c>
      <c r="H1967">
        <v>779</v>
      </c>
      <c r="I1967">
        <v>40</v>
      </c>
      <c r="J1967">
        <v>30</v>
      </c>
      <c r="K1967" t="s">
        <v>29</v>
      </c>
      <c r="L1967">
        <v>32</v>
      </c>
      <c r="M1967" t="s">
        <v>21</v>
      </c>
    </row>
    <row r="1968" spans="1:13" x14ac:dyDescent="0.35">
      <c r="A1968" t="s">
        <v>2760</v>
      </c>
      <c r="B1968" t="s">
        <v>432</v>
      </c>
      <c r="C1968" t="s">
        <v>1194</v>
      </c>
      <c r="D1968" t="s">
        <v>16</v>
      </c>
      <c r="E1968" t="s">
        <v>89</v>
      </c>
      <c r="F1968" t="s">
        <v>18</v>
      </c>
      <c r="G1968" t="s">
        <v>42</v>
      </c>
      <c r="H1968">
        <v>455</v>
      </c>
      <c r="I1968">
        <v>50</v>
      </c>
      <c r="J1968">
        <v>20</v>
      </c>
      <c r="K1968" t="s">
        <v>20</v>
      </c>
      <c r="L1968">
        <v>43</v>
      </c>
      <c r="M1968" t="s">
        <v>21</v>
      </c>
    </row>
    <row r="1969" spans="1:13" x14ac:dyDescent="0.35">
      <c r="A1969" t="s">
        <v>2761</v>
      </c>
      <c r="B1969" t="s">
        <v>65</v>
      </c>
      <c r="C1969" t="s">
        <v>1280</v>
      </c>
      <c r="D1969" t="s">
        <v>25</v>
      </c>
      <c r="E1969" t="s">
        <v>26</v>
      </c>
      <c r="F1969" t="s">
        <v>27</v>
      </c>
      <c r="G1969" t="s">
        <v>49</v>
      </c>
      <c r="H1969">
        <v>664</v>
      </c>
      <c r="I1969">
        <v>40</v>
      </c>
      <c r="J1969">
        <v>30</v>
      </c>
      <c r="K1969" t="s">
        <v>36</v>
      </c>
      <c r="L1969">
        <v>46</v>
      </c>
      <c r="M1969" t="s">
        <v>21</v>
      </c>
    </row>
    <row r="1970" spans="1:13" x14ac:dyDescent="0.35">
      <c r="A1970" t="s">
        <v>2762</v>
      </c>
      <c r="B1970" t="s">
        <v>113</v>
      </c>
      <c r="C1970" t="s">
        <v>94</v>
      </c>
      <c r="D1970" t="s">
        <v>40</v>
      </c>
      <c r="E1970" t="s">
        <v>67</v>
      </c>
      <c r="F1970" t="s">
        <v>48</v>
      </c>
      <c r="G1970" t="s">
        <v>74</v>
      </c>
      <c r="H1970">
        <v>512</v>
      </c>
      <c r="I1970">
        <v>50</v>
      </c>
      <c r="J1970">
        <v>50</v>
      </c>
      <c r="K1970" t="s">
        <v>29</v>
      </c>
      <c r="L1970">
        <v>34</v>
      </c>
      <c r="M1970" t="s">
        <v>21</v>
      </c>
    </row>
    <row r="1971" spans="1:13" x14ac:dyDescent="0.35">
      <c r="A1971" t="s">
        <v>2763</v>
      </c>
      <c r="B1971" t="s">
        <v>300</v>
      </c>
      <c r="C1971" t="s">
        <v>2764</v>
      </c>
      <c r="D1971" t="s">
        <v>25</v>
      </c>
      <c r="E1971" t="s">
        <v>26</v>
      </c>
      <c r="F1971" t="s">
        <v>27</v>
      </c>
      <c r="G1971" t="s">
        <v>19</v>
      </c>
      <c r="H1971">
        <v>450</v>
      </c>
      <c r="I1971">
        <v>50</v>
      </c>
      <c r="J1971">
        <v>0</v>
      </c>
      <c r="K1971" t="s">
        <v>29</v>
      </c>
      <c r="L1971">
        <v>38</v>
      </c>
      <c r="M1971" t="s">
        <v>21</v>
      </c>
    </row>
    <row r="1972" spans="1:13" x14ac:dyDescent="0.35">
      <c r="A1972" t="s">
        <v>2765</v>
      </c>
      <c r="B1972" t="s">
        <v>305</v>
      </c>
      <c r="C1972" t="s">
        <v>1472</v>
      </c>
      <c r="D1972" t="s">
        <v>46</v>
      </c>
      <c r="E1972" t="s">
        <v>148</v>
      </c>
      <c r="F1972" t="s">
        <v>27</v>
      </c>
      <c r="G1972" t="s">
        <v>176</v>
      </c>
      <c r="H1972">
        <v>358</v>
      </c>
      <c r="I1972">
        <v>40</v>
      </c>
      <c r="J1972">
        <v>20</v>
      </c>
      <c r="K1972" t="s">
        <v>36</v>
      </c>
      <c r="L1972">
        <v>49</v>
      </c>
      <c r="M1972" t="s">
        <v>21</v>
      </c>
    </row>
    <row r="1973" spans="1:13" x14ac:dyDescent="0.35">
      <c r="A1973" t="s">
        <v>2766</v>
      </c>
      <c r="B1973" t="s">
        <v>252</v>
      </c>
      <c r="C1973" t="s">
        <v>2139</v>
      </c>
      <c r="D1973" t="s">
        <v>25</v>
      </c>
      <c r="E1973" t="s">
        <v>34</v>
      </c>
      <c r="F1973" t="s">
        <v>27</v>
      </c>
      <c r="G1973" t="s">
        <v>35</v>
      </c>
      <c r="H1973">
        <v>257</v>
      </c>
      <c r="I1973">
        <v>20</v>
      </c>
      <c r="J1973">
        <v>0</v>
      </c>
      <c r="K1973" t="s">
        <v>20</v>
      </c>
      <c r="L1973">
        <v>48</v>
      </c>
      <c r="M1973" t="s">
        <v>21</v>
      </c>
    </row>
    <row r="1974" spans="1:13" x14ac:dyDescent="0.35">
      <c r="A1974" t="s">
        <v>2767</v>
      </c>
      <c r="B1974" t="s">
        <v>178</v>
      </c>
      <c r="C1974" t="s">
        <v>1430</v>
      </c>
      <c r="D1974" t="s">
        <v>40</v>
      </c>
      <c r="E1974" t="s">
        <v>111</v>
      </c>
      <c r="F1974" t="s">
        <v>18</v>
      </c>
      <c r="G1974" t="s">
        <v>28</v>
      </c>
      <c r="H1974">
        <v>745</v>
      </c>
      <c r="I1974">
        <v>30</v>
      </c>
      <c r="J1974">
        <v>30</v>
      </c>
      <c r="K1974" t="s">
        <v>36</v>
      </c>
      <c r="L1974">
        <v>28</v>
      </c>
      <c r="M1974" t="s">
        <v>21</v>
      </c>
    </row>
    <row r="1975" spans="1:13" x14ac:dyDescent="0.35">
      <c r="A1975" t="s">
        <v>2768</v>
      </c>
      <c r="B1975" t="s">
        <v>541</v>
      </c>
      <c r="C1975" t="s">
        <v>2050</v>
      </c>
      <c r="D1975" t="s">
        <v>25</v>
      </c>
      <c r="E1975" t="s">
        <v>26</v>
      </c>
      <c r="F1975" t="s">
        <v>27</v>
      </c>
      <c r="G1975" t="s">
        <v>176</v>
      </c>
      <c r="H1975">
        <v>437</v>
      </c>
      <c r="I1975">
        <v>40</v>
      </c>
      <c r="J1975">
        <v>50</v>
      </c>
      <c r="K1975" t="s">
        <v>36</v>
      </c>
      <c r="L1975">
        <v>50</v>
      </c>
      <c r="M1975" t="s">
        <v>21</v>
      </c>
    </row>
    <row r="1976" spans="1:13" x14ac:dyDescent="0.35">
      <c r="A1976" t="s">
        <v>2769</v>
      </c>
      <c r="B1976" t="s">
        <v>154</v>
      </c>
      <c r="C1976" t="s">
        <v>810</v>
      </c>
      <c r="D1976" t="s">
        <v>46</v>
      </c>
      <c r="E1976" t="s">
        <v>47</v>
      </c>
      <c r="F1976" t="s">
        <v>48</v>
      </c>
      <c r="G1976" t="s">
        <v>35</v>
      </c>
      <c r="H1976">
        <v>666</v>
      </c>
      <c r="I1976">
        <v>50</v>
      </c>
      <c r="J1976">
        <v>100</v>
      </c>
      <c r="K1976" t="s">
        <v>29</v>
      </c>
      <c r="L1976">
        <v>34</v>
      </c>
      <c r="M1976" t="s">
        <v>21</v>
      </c>
    </row>
    <row r="1977" spans="1:13" x14ac:dyDescent="0.35">
      <c r="A1977" t="s">
        <v>2770</v>
      </c>
      <c r="B1977" t="s">
        <v>136</v>
      </c>
      <c r="C1977" t="s">
        <v>2771</v>
      </c>
      <c r="D1977" t="s">
        <v>40</v>
      </c>
      <c r="E1977" t="s">
        <v>67</v>
      </c>
      <c r="F1977" t="s">
        <v>48</v>
      </c>
      <c r="G1977" t="s">
        <v>176</v>
      </c>
      <c r="H1977">
        <v>518</v>
      </c>
      <c r="I1977">
        <v>20</v>
      </c>
      <c r="J1977">
        <v>50</v>
      </c>
      <c r="K1977" t="s">
        <v>20</v>
      </c>
      <c r="L1977">
        <v>47</v>
      </c>
      <c r="M1977" t="s">
        <v>21</v>
      </c>
    </row>
    <row r="1978" spans="1:13" x14ac:dyDescent="0.35">
      <c r="A1978" t="s">
        <v>2772</v>
      </c>
      <c r="B1978" t="s">
        <v>109</v>
      </c>
      <c r="C1978" t="s">
        <v>439</v>
      </c>
      <c r="D1978" t="s">
        <v>16</v>
      </c>
      <c r="E1978" t="s">
        <v>17</v>
      </c>
      <c r="F1978" t="s">
        <v>18</v>
      </c>
      <c r="G1978" t="s">
        <v>35</v>
      </c>
      <c r="H1978">
        <v>738</v>
      </c>
      <c r="I1978">
        <v>50</v>
      </c>
      <c r="J1978">
        <v>50</v>
      </c>
      <c r="K1978" t="s">
        <v>29</v>
      </c>
      <c r="L1978">
        <v>51</v>
      </c>
      <c r="M1978" t="s">
        <v>21</v>
      </c>
    </row>
    <row r="1979" spans="1:13" x14ac:dyDescent="0.35">
      <c r="A1979" t="s">
        <v>2773</v>
      </c>
      <c r="B1979" t="s">
        <v>223</v>
      </c>
      <c r="C1979" t="s">
        <v>2191</v>
      </c>
      <c r="D1979" t="s">
        <v>16</v>
      </c>
      <c r="E1979" t="s">
        <v>89</v>
      </c>
      <c r="F1979" t="s">
        <v>18</v>
      </c>
      <c r="G1979" t="s">
        <v>59</v>
      </c>
      <c r="H1979">
        <v>755</v>
      </c>
      <c r="I1979">
        <v>50</v>
      </c>
      <c r="J1979">
        <v>20</v>
      </c>
      <c r="K1979" t="s">
        <v>20</v>
      </c>
      <c r="L1979">
        <v>25</v>
      </c>
      <c r="M1979" t="s">
        <v>30</v>
      </c>
    </row>
    <row r="1980" spans="1:13" x14ac:dyDescent="0.35">
      <c r="A1980" t="s">
        <v>2774</v>
      </c>
      <c r="B1980" t="s">
        <v>65</v>
      </c>
      <c r="C1980" t="s">
        <v>610</v>
      </c>
      <c r="D1980" t="s">
        <v>53</v>
      </c>
      <c r="E1980" t="s">
        <v>84</v>
      </c>
      <c r="F1980" t="s">
        <v>85</v>
      </c>
      <c r="G1980" t="s">
        <v>42</v>
      </c>
      <c r="H1980">
        <v>316</v>
      </c>
      <c r="I1980">
        <v>50</v>
      </c>
      <c r="J1980">
        <v>30</v>
      </c>
      <c r="K1980" t="s">
        <v>20</v>
      </c>
      <c r="L1980">
        <v>35</v>
      </c>
      <c r="M1980" t="s">
        <v>21</v>
      </c>
    </row>
    <row r="1981" spans="1:13" x14ac:dyDescent="0.35">
      <c r="A1981" t="s">
        <v>2775</v>
      </c>
      <c r="B1981" t="s">
        <v>205</v>
      </c>
      <c r="C1981" t="s">
        <v>1461</v>
      </c>
      <c r="D1981" t="s">
        <v>53</v>
      </c>
      <c r="E1981" t="s">
        <v>84</v>
      </c>
      <c r="F1981" t="s">
        <v>85</v>
      </c>
      <c r="G1981" t="s">
        <v>176</v>
      </c>
      <c r="H1981">
        <v>313</v>
      </c>
      <c r="I1981">
        <v>40</v>
      </c>
      <c r="J1981">
        <v>30</v>
      </c>
      <c r="K1981" t="s">
        <v>20</v>
      </c>
      <c r="L1981">
        <v>54</v>
      </c>
      <c r="M1981" t="s">
        <v>21</v>
      </c>
    </row>
    <row r="1982" spans="1:13" x14ac:dyDescent="0.35">
      <c r="A1982" t="s">
        <v>2776</v>
      </c>
      <c r="B1982" t="s">
        <v>129</v>
      </c>
      <c r="C1982" t="s">
        <v>2777</v>
      </c>
      <c r="D1982" t="s">
        <v>25</v>
      </c>
      <c r="E1982" t="s">
        <v>34</v>
      </c>
      <c r="F1982" t="s">
        <v>27</v>
      </c>
      <c r="G1982" t="s">
        <v>176</v>
      </c>
      <c r="H1982">
        <v>497</v>
      </c>
      <c r="I1982">
        <v>20</v>
      </c>
      <c r="J1982">
        <v>20</v>
      </c>
      <c r="K1982" t="s">
        <v>36</v>
      </c>
      <c r="L1982">
        <v>55</v>
      </c>
      <c r="M1982" t="s">
        <v>21</v>
      </c>
    </row>
    <row r="1983" spans="1:13" x14ac:dyDescent="0.35">
      <c r="A1983" t="s">
        <v>2778</v>
      </c>
      <c r="B1983" t="s">
        <v>143</v>
      </c>
      <c r="C1983" t="s">
        <v>1453</v>
      </c>
      <c r="D1983" t="s">
        <v>46</v>
      </c>
      <c r="E1983" t="s">
        <v>70</v>
      </c>
      <c r="F1983" t="s">
        <v>18</v>
      </c>
      <c r="G1983" t="s">
        <v>107</v>
      </c>
      <c r="H1983">
        <v>449</v>
      </c>
      <c r="I1983">
        <v>50</v>
      </c>
      <c r="J1983">
        <v>100</v>
      </c>
      <c r="K1983" t="s">
        <v>20</v>
      </c>
      <c r="L1983">
        <v>21</v>
      </c>
      <c r="M1983" t="s">
        <v>21</v>
      </c>
    </row>
    <row r="1984" spans="1:13" x14ac:dyDescent="0.35">
      <c r="A1984" t="s">
        <v>2779</v>
      </c>
      <c r="B1984" t="s">
        <v>105</v>
      </c>
      <c r="C1984" t="s">
        <v>797</v>
      </c>
      <c r="D1984" t="s">
        <v>46</v>
      </c>
      <c r="E1984" t="s">
        <v>70</v>
      </c>
      <c r="F1984" t="s">
        <v>18</v>
      </c>
      <c r="G1984" t="s">
        <v>42</v>
      </c>
      <c r="H1984">
        <v>681</v>
      </c>
      <c r="I1984">
        <v>40</v>
      </c>
      <c r="J1984">
        <v>0</v>
      </c>
      <c r="K1984" t="s">
        <v>36</v>
      </c>
      <c r="L1984">
        <v>30</v>
      </c>
      <c r="M1984" t="s">
        <v>21</v>
      </c>
    </row>
    <row r="1985" spans="1:13" x14ac:dyDescent="0.35">
      <c r="A1985" t="s">
        <v>2780</v>
      </c>
      <c r="B1985" t="s">
        <v>449</v>
      </c>
      <c r="C1985" t="s">
        <v>330</v>
      </c>
      <c r="D1985" t="s">
        <v>46</v>
      </c>
      <c r="E1985" t="s">
        <v>47</v>
      </c>
      <c r="F1985" t="s">
        <v>48</v>
      </c>
      <c r="G1985" t="s">
        <v>42</v>
      </c>
      <c r="H1985">
        <v>203</v>
      </c>
      <c r="I1985">
        <v>40</v>
      </c>
      <c r="J1985">
        <v>0</v>
      </c>
      <c r="K1985" t="s">
        <v>29</v>
      </c>
      <c r="L1985">
        <v>43</v>
      </c>
      <c r="M1985" t="s">
        <v>30</v>
      </c>
    </row>
    <row r="1986" spans="1:13" x14ac:dyDescent="0.35">
      <c r="A1986" t="s">
        <v>2781</v>
      </c>
      <c r="B1986" t="s">
        <v>118</v>
      </c>
      <c r="C1986" t="s">
        <v>2157</v>
      </c>
      <c r="D1986" t="s">
        <v>46</v>
      </c>
      <c r="E1986" t="s">
        <v>148</v>
      </c>
      <c r="F1986" t="s">
        <v>27</v>
      </c>
      <c r="G1986" t="s">
        <v>49</v>
      </c>
      <c r="H1986">
        <v>467</v>
      </c>
      <c r="I1986">
        <v>50</v>
      </c>
      <c r="J1986">
        <v>100</v>
      </c>
      <c r="K1986" t="s">
        <v>29</v>
      </c>
      <c r="L1986">
        <v>41</v>
      </c>
      <c r="M1986" t="s">
        <v>21</v>
      </c>
    </row>
    <row r="1987" spans="1:13" x14ac:dyDescent="0.35">
      <c r="A1987" t="s">
        <v>2782</v>
      </c>
      <c r="B1987" t="s">
        <v>213</v>
      </c>
      <c r="C1987" t="s">
        <v>702</v>
      </c>
      <c r="D1987" t="s">
        <v>16</v>
      </c>
      <c r="E1987" t="s">
        <v>131</v>
      </c>
      <c r="F1987" t="s">
        <v>55</v>
      </c>
      <c r="G1987" t="s">
        <v>107</v>
      </c>
      <c r="H1987">
        <v>678</v>
      </c>
      <c r="I1987">
        <v>30</v>
      </c>
      <c r="J1987">
        <v>100</v>
      </c>
      <c r="K1987" t="s">
        <v>20</v>
      </c>
      <c r="L1987">
        <v>22</v>
      </c>
      <c r="M1987" t="s">
        <v>21</v>
      </c>
    </row>
    <row r="1988" spans="1:13" x14ac:dyDescent="0.35">
      <c r="A1988" t="s">
        <v>2783</v>
      </c>
      <c r="B1988" t="s">
        <v>109</v>
      </c>
      <c r="C1988" t="s">
        <v>684</v>
      </c>
      <c r="D1988" t="s">
        <v>40</v>
      </c>
      <c r="E1988" t="s">
        <v>67</v>
      </c>
      <c r="F1988" t="s">
        <v>48</v>
      </c>
      <c r="G1988" t="s">
        <v>107</v>
      </c>
      <c r="H1988">
        <v>524</v>
      </c>
      <c r="I1988">
        <v>20</v>
      </c>
      <c r="J1988">
        <v>50</v>
      </c>
      <c r="K1988" t="s">
        <v>20</v>
      </c>
      <c r="L1988">
        <v>48</v>
      </c>
      <c r="M1988" t="s">
        <v>21</v>
      </c>
    </row>
    <row r="1989" spans="1:13" x14ac:dyDescent="0.35">
      <c r="A1989" t="s">
        <v>2784</v>
      </c>
      <c r="B1989" t="s">
        <v>513</v>
      </c>
      <c r="C1989" t="s">
        <v>52</v>
      </c>
      <c r="D1989" t="s">
        <v>40</v>
      </c>
      <c r="E1989" t="s">
        <v>41</v>
      </c>
      <c r="F1989" t="s">
        <v>27</v>
      </c>
      <c r="G1989" t="s">
        <v>63</v>
      </c>
      <c r="H1989">
        <v>743</v>
      </c>
      <c r="I1989">
        <v>50</v>
      </c>
      <c r="J1989">
        <v>20</v>
      </c>
      <c r="K1989" t="s">
        <v>29</v>
      </c>
      <c r="L1989">
        <v>40</v>
      </c>
      <c r="M1989" t="s">
        <v>21</v>
      </c>
    </row>
    <row r="1990" spans="1:13" x14ac:dyDescent="0.35">
      <c r="A1990" t="s">
        <v>2785</v>
      </c>
      <c r="B1990" t="s">
        <v>181</v>
      </c>
      <c r="C1990" t="s">
        <v>175</v>
      </c>
      <c r="D1990" t="s">
        <v>53</v>
      </c>
      <c r="E1990" t="s">
        <v>152</v>
      </c>
      <c r="F1990" t="s">
        <v>18</v>
      </c>
      <c r="G1990" t="s">
        <v>176</v>
      </c>
      <c r="H1990">
        <v>229</v>
      </c>
      <c r="I1990">
        <v>50</v>
      </c>
      <c r="J1990">
        <v>50</v>
      </c>
      <c r="K1990" t="s">
        <v>20</v>
      </c>
      <c r="L1990">
        <v>60</v>
      </c>
      <c r="M1990" t="s">
        <v>21</v>
      </c>
    </row>
    <row r="1991" spans="1:13" x14ac:dyDescent="0.35">
      <c r="A1991" t="s">
        <v>2786</v>
      </c>
      <c r="B1991" t="s">
        <v>102</v>
      </c>
      <c r="C1991" t="s">
        <v>2622</v>
      </c>
      <c r="D1991" t="s">
        <v>25</v>
      </c>
      <c r="E1991" t="s">
        <v>78</v>
      </c>
      <c r="F1991" t="s">
        <v>48</v>
      </c>
      <c r="G1991" t="s">
        <v>74</v>
      </c>
      <c r="H1991">
        <v>266</v>
      </c>
      <c r="I1991">
        <v>40</v>
      </c>
      <c r="J1991">
        <v>20</v>
      </c>
      <c r="K1991" t="s">
        <v>36</v>
      </c>
      <c r="L1991">
        <v>24</v>
      </c>
      <c r="M1991" t="s">
        <v>21</v>
      </c>
    </row>
    <row r="1992" spans="1:13" x14ac:dyDescent="0.35">
      <c r="A1992" t="s">
        <v>2787</v>
      </c>
      <c r="B1992" t="s">
        <v>252</v>
      </c>
      <c r="C1992" t="s">
        <v>1675</v>
      </c>
      <c r="D1992" t="s">
        <v>46</v>
      </c>
      <c r="E1992" t="s">
        <v>47</v>
      </c>
      <c r="F1992" t="s">
        <v>48</v>
      </c>
      <c r="G1992" t="s">
        <v>74</v>
      </c>
      <c r="H1992">
        <v>347</v>
      </c>
      <c r="I1992">
        <v>50</v>
      </c>
      <c r="J1992">
        <v>0</v>
      </c>
      <c r="K1992" t="s">
        <v>20</v>
      </c>
      <c r="L1992">
        <v>55</v>
      </c>
      <c r="M1992" t="s">
        <v>21</v>
      </c>
    </row>
    <row r="1993" spans="1:13" x14ac:dyDescent="0.35">
      <c r="A1993" t="s">
        <v>2788</v>
      </c>
      <c r="B1993" t="s">
        <v>150</v>
      </c>
      <c r="C1993" t="s">
        <v>2511</v>
      </c>
      <c r="D1993" t="s">
        <v>40</v>
      </c>
      <c r="E1993" t="s">
        <v>41</v>
      </c>
      <c r="F1993" t="s">
        <v>27</v>
      </c>
      <c r="G1993" t="s">
        <v>107</v>
      </c>
      <c r="H1993">
        <v>219</v>
      </c>
      <c r="I1993">
        <v>30</v>
      </c>
      <c r="J1993">
        <v>100</v>
      </c>
      <c r="K1993" t="s">
        <v>29</v>
      </c>
      <c r="L1993">
        <v>60</v>
      </c>
      <c r="M1993" t="s">
        <v>21</v>
      </c>
    </row>
    <row r="1994" spans="1:13" x14ac:dyDescent="0.35">
      <c r="A1994" t="s">
        <v>2789</v>
      </c>
      <c r="B1994" t="s">
        <v>297</v>
      </c>
      <c r="C1994" t="s">
        <v>327</v>
      </c>
      <c r="D1994" t="s">
        <v>25</v>
      </c>
      <c r="E1994" t="s">
        <v>34</v>
      </c>
      <c r="F1994" t="s">
        <v>27</v>
      </c>
      <c r="G1994" t="s">
        <v>28</v>
      </c>
      <c r="H1994">
        <v>353</v>
      </c>
      <c r="I1994">
        <v>40</v>
      </c>
      <c r="J1994">
        <v>30</v>
      </c>
      <c r="K1994" t="s">
        <v>36</v>
      </c>
      <c r="L1994">
        <v>38</v>
      </c>
      <c r="M1994" t="s">
        <v>21</v>
      </c>
    </row>
    <row r="1995" spans="1:13" x14ac:dyDescent="0.35">
      <c r="A1995" t="s">
        <v>2790</v>
      </c>
      <c r="B1995" t="s">
        <v>133</v>
      </c>
      <c r="C1995" t="s">
        <v>690</v>
      </c>
      <c r="D1995" t="s">
        <v>16</v>
      </c>
      <c r="E1995" t="s">
        <v>17</v>
      </c>
      <c r="F1995" t="s">
        <v>18</v>
      </c>
      <c r="G1995" t="s">
        <v>74</v>
      </c>
      <c r="H1995">
        <v>800</v>
      </c>
      <c r="I1995">
        <v>50</v>
      </c>
      <c r="J1995">
        <v>20</v>
      </c>
      <c r="K1995" t="s">
        <v>36</v>
      </c>
      <c r="L1995">
        <v>44</v>
      </c>
      <c r="M1995" t="s">
        <v>21</v>
      </c>
    </row>
    <row r="1996" spans="1:13" x14ac:dyDescent="0.35">
      <c r="A1996" t="s">
        <v>2791</v>
      </c>
      <c r="B1996" t="s">
        <v>416</v>
      </c>
      <c r="C1996" t="s">
        <v>482</v>
      </c>
      <c r="D1996" t="s">
        <v>25</v>
      </c>
      <c r="E1996" t="s">
        <v>26</v>
      </c>
      <c r="F1996" t="s">
        <v>27</v>
      </c>
      <c r="G1996" t="s">
        <v>59</v>
      </c>
      <c r="H1996">
        <v>585</v>
      </c>
      <c r="I1996">
        <v>30</v>
      </c>
      <c r="J1996">
        <v>30</v>
      </c>
      <c r="K1996" t="s">
        <v>20</v>
      </c>
      <c r="L1996">
        <v>29</v>
      </c>
      <c r="M1996" t="s">
        <v>30</v>
      </c>
    </row>
    <row r="1997" spans="1:13" x14ac:dyDescent="0.35">
      <c r="A1997" t="s">
        <v>2792</v>
      </c>
      <c r="B1997" t="s">
        <v>96</v>
      </c>
      <c r="C1997" t="s">
        <v>1108</v>
      </c>
      <c r="D1997" t="s">
        <v>16</v>
      </c>
      <c r="E1997" t="s">
        <v>131</v>
      </c>
      <c r="F1997" t="s">
        <v>55</v>
      </c>
      <c r="G1997" t="s">
        <v>49</v>
      </c>
      <c r="H1997">
        <v>796</v>
      </c>
      <c r="I1997">
        <v>20</v>
      </c>
      <c r="J1997">
        <v>20</v>
      </c>
      <c r="K1997" t="s">
        <v>29</v>
      </c>
      <c r="L1997">
        <v>60</v>
      </c>
      <c r="M1997" t="s">
        <v>30</v>
      </c>
    </row>
    <row r="1998" spans="1:13" x14ac:dyDescent="0.35">
      <c r="A1998" t="s">
        <v>2793</v>
      </c>
      <c r="B1998" t="s">
        <v>388</v>
      </c>
      <c r="C1998" t="s">
        <v>979</v>
      </c>
      <c r="D1998" t="s">
        <v>25</v>
      </c>
      <c r="E1998" t="s">
        <v>78</v>
      </c>
      <c r="F1998" t="s">
        <v>48</v>
      </c>
      <c r="G1998" t="s">
        <v>35</v>
      </c>
      <c r="H1998">
        <v>567</v>
      </c>
      <c r="I1998">
        <v>40</v>
      </c>
      <c r="J1998">
        <v>30</v>
      </c>
      <c r="K1998" t="s">
        <v>29</v>
      </c>
      <c r="L1998">
        <v>44</v>
      </c>
      <c r="M1998" t="s">
        <v>21</v>
      </c>
    </row>
    <row r="1999" spans="1:13" x14ac:dyDescent="0.35">
      <c r="A1999" t="s">
        <v>2794</v>
      </c>
      <c r="B1999" t="s">
        <v>379</v>
      </c>
      <c r="C1999" t="s">
        <v>1378</v>
      </c>
      <c r="D1999" t="s">
        <v>16</v>
      </c>
      <c r="E1999" t="s">
        <v>89</v>
      </c>
      <c r="F1999" t="s">
        <v>18</v>
      </c>
      <c r="G1999" t="s">
        <v>63</v>
      </c>
      <c r="H1999">
        <v>780</v>
      </c>
      <c r="I1999">
        <v>30</v>
      </c>
      <c r="J1999">
        <v>0</v>
      </c>
      <c r="K1999" t="s">
        <v>36</v>
      </c>
      <c r="L1999">
        <v>20</v>
      </c>
      <c r="M1999" t="s">
        <v>21</v>
      </c>
    </row>
    <row r="2000" spans="1:13" x14ac:dyDescent="0.35">
      <c r="A2000" t="s">
        <v>2795</v>
      </c>
      <c r="B2000" t="s">
        <v>113</v>
      </c>
      <c r="C2000" t="s">
        <v>2640</v>
      </c>
      <c r="D2000" t="s">
        <v>46</v>
      </c>
      <c r="E2000" t="s">
        <v>47</v>
      </c>
      <c r="F2000" t="s">
        <v>48</v>
      </c>
      <c r="G2000" t="s">
        <v>107</v>
      </c>
      <c r="H2000">
        <v>773</v>
      </c>
      <c r="I2000">
        <v>20</v>
      </c>
      <c r="J2000">
        <v>100</v>
      </c>
      <c r="K2000" t="s">
        <v>29</v>
      </c>
      <c r="L2000">
        <v>27</v>
      </c>
      <c r="M2000" t="s">
        <v>21</v>
      </c>
    </row>
    <row r="2001" spans="1:13" x14ac:dyDescent="0.35">
      <c r="A2001" t="s">
        <v>2796</v>
      </c>
      <c r="B2001" t="s">
        <v>38</v>
      </c>
      <c r="C2001" t="s">
        <v>1857</v>
      </c>
      <c r="D2001" t="s">
        <v>40</v>
      </c>
      <c r="E2001" t="s">
        <v>67</v>
      </c>
      <c r="F2001" t="s">
        <v>48</v>
      </c>
      <c r="G2001" t="s">
        <v>42</v>
      </c>
      <c r="H2001">
        <v>672</v>
      </c>
      <c r="I2001">
        <v>20</v>
      </c>
      <c r="J2001">
        <v>0</v>
      </c>
      <c r="K2001" t="s">
        <v>29</v>
      </c>
      <c r="L2001">
        <v>23</v>
      </c>
      <c r="M2001" t="s">
        <v>21</v>
      </c>
    </row>
    <row r="2002" spans="1:13" x14ac:dyDescent="0.35">
      <c r="A2002" t="s">
        <v>2797</v>
      </c>
      <c r="B2002" t="s">
        <v>14</v>
      </c>
      <c r="C2002" t="s">
        <v>1243</v>
      </c>
      <c r="D2002" t="s">
        <v>46</v>
      </c>
      <c r="E2002" t="s">
        <v>148</v>
      </c>
      <c r="F2002" t="s">
        <v>27</v>
      </c>
      <c r="G2002" t="s">
        <v>74</v>
      </c>
      <c r="H2002">
        <v>751</v>
      </c>
      <c r="I2002">
        <v>20</v>
      </c>
      <c r="J2002">
        <v>100</v>
      </c>
      <c r="K2002" t="s">
        <v>20</v>
      </c>
      <c r="L2002">
        <v>53</v>
      </c>
      <c r="M2002" t="s">
        <v>21</v>
      </c>
    </row>
    <row r="2003" spans="1:13" x14ac:dyDescent="0.35">
      <c r="A2003" t="s">
        <v>2798</v>
      </c>
      <c r="B2003" t="s">
        <v>322</v>
      </c>
      <c r="C2003" t="s">
        <v>463</v>
      </c>
      <c r="D2003" t="s">
        <v>40</v>
      </c>
      <c r="E2003" t="s">
        <v>111</v>
      </c>
      <c r="F2003" t="s">
        <v>18</v>
      </c>
      <c r="G2003" t="s">
        <v>42</v>
      </c>
      <c r="H2003">
        <v>291</v>
      </c>
      <c r="I2003">
        <v>30</v>
      </c>
      <c r="J2003">
        <v>100</v>
      </c>
      <c r="K2003" t="s">
        <v>36</v>
      </c>
      <c r="L2003">
        <v>58</v>
      </c>
      <c r="M2003" t="s">
        <v>21</v>
      </c>
    </row>
  </sheetData>
  <mergeCells count="1">
    <mergeCell ref="A1:G1"/>
  </mergeCells>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A02D-E981-49D8-AF08-3D923643FCB6}">
  <dimension ref="A3:R2003"/>
  <sheetViews>
    <sheetView topLeftCell="A4" zoomScale="25" zoomScaleNormal="25" workbookViewId="0">
      <selection activeCell="F14" sqref="A4:R2003"/>
    </sheetView>
  </sheetViews>
  <sheetFormatPr defaultRowHeight="14.5" x14ac:dyDescent="0.35"/>
  <cols>
    <col min="1" max="1" width="8.54296875" bestFit="1" customWidth="1"/>
    <col min="2" max="2" width="10.7265625" bestFit="1" customWidth="1"/>
    <col min="3" max="3" width="11.81640625" bestFit="1" customWidth="1"/>
    <col min="4" max="4" width="10" bestFit="1" customWidth="1"/>
    <col min="5" max="5" width="16.36328125" bestFit="1" customWidth="1"/>
    <col min="6" max="6" width="11.81640625" bestFit="1" customWidth="1"/>
    <col min="7" max="7" width="15" bestFit="1" customWidth="1"/>
    <col min="8" max="9" width="11.453125" bestFit="1" customWidth="1"/>
    <col min="10" max="10" width="8.1796875" bestFit="1" customWidth="1"/>
    <col min="11" max="11" width="16.08984375" bestFit="1" customWidth="1"/>
    <col min="12" max="12" width="17.08984375" bestFit="1" customWidth="1"/>
    <col min="13" max="13" width="12" bestFit="1" customWidth="1"/>
    <col min="14" max="14" width="19.08984375" hidden="1" customWidth="1"/>
    <col min="15" max="15" width="12.54296875" bestFit="1" customWidth="1"/>
    <col min="16" max="16" width="12.54296875" customWidth="1"/>
    <col min="18" max="18" width="0" hidden="1" customWidth="1"/>
  </cols>
  <sheetData>
    <row r="3" spans="1:18" x14ac:dyDescent="0.35">
      <c r="A3" s="1" t="s">
        <v>0</v>
      </c>
      <c r="B3" s="1" t="s">
        <v>1</v>
      </c>
      <c r="C3" s="1" t="s">
        <v>2</v>
      </c>
      <c r="D3" s="1" t="s">
        <v>3</v>
      </c>
      <c r="E3" s="1" t="s">
        <v>4</v>
      </c>
      <c r="F3" s="1" t="s">
        <v>5</v>
      </c>
      <c r="G3" s="1" t="s">
        <v>6</v>
      </c>
      <c r="H3" s="1" t="s">
        <v>7</v>
      </c>
      <c r="I3" s="1" t="s">
        <v>8</v>
      </c>
      <c r="J3" s="1" t="s">
        <v>9</v>
      </c>
      <c r="K3" s="1" t="s">
        <v>10</v>
      </c>
      <c r="L3" s="1" t="s">
        <v>11</v>
      </c>
      <c r="M3" s="1" t="s">
        <v>12</v>
      </c>
      <c r="N3" s="1" t="s">
        <v>2800</v>
      </c>
      <c r="O3" s="1" t="s">
        <v>2803</v>
      </c>
      <c r="P3" s="1" t="s">
        <v>2804</v>
      </c>
      <c r="Q3" s="1" t="s">
        <v>2801</v>
      </c>
      <c r="R3" s="1" t="s">
        <v>2802</v>
      </c>
    </row>
    <row r="4" spans="1:18" x14ac:dyDescent="0.35">
      <c r="A4" t="s">
        <v>13</v>
      </c>
      <c r="B4" t="s">
        <v>14</v>
      </c>
      <c r="C4" t="s">
        <v>15</v>
      </c>
      <c r="D4" t="s">
        <v>16</v>
      </c>
      <c r="E4" t="s">
        <v>17</v>
      </c>
      <c r="F4" t="s">
        <v>18</v>
      </c>
      <c r="G4" t="s">
        <v>19</v>
      </c>
      <c r="H4">
        <v>491</v>
      </c>
      <c r="I4">
        <v>20</v>
      </c>
      <c r="J4">
        <v>0</v>
      </c>
      <c r="K4" t="s">
        <v>20</v>
      </c>
      <c r="L4">
        <v>57</v>
      </c>
      <c r="M4" t="s">
        <v>21</v>
      </c>
      <c r="N4">
        <f>COUNTIF(order_data[Order_ID],order_data[[#This Row],[Order_ID]])</f>
        <v>1</v>
      </c>
      <c r="O4">
        <f>order_data[[#This Row],[Order_Value]]-order_data[[#This Row],[Discount]]</f>
        <v>491</v>
      </c>
      <c r="P4">
        <f>order_data[[#This Row],[Order_Value]]+order_data[[#This Row],[Delivery_Fee]]-order_data[[#This Row],[Discount]]</f>
        <v>511</v>
      </c>
      <c r="Q4" t="str">
        <f>TEXT(order_data[[#This Row],[Order_Date]],"mmm")</f>
        <v>Mar</v>
      </c>
      <c r="R4">
        <f>MONTH(order_data[[#This Row],[Order_Date]])</f>
        <v>3</v>
      </c>
    </row>
    <row r="5" spans="1:18" x14ac:dyDescent="0.35">
      <c r="A5" t="s">
        <v>22</v>
      </c>
      <c r="B5" t="s">
        <v>23</v>
      </c>
      <c r="C5" t="s">
        <v>24</v>
      </c>
      <c r="D5" t="s">
        <v>25</v>
      </c>
      <c r="E5" t="s">
        <v>26</v>
      </c>
      <c r="F5" t="s">
        <v>27</v>
      </c>
      <c r="G5" t="s">
        <v>28</v>
      </c>
      <c r="H5">
        <v>427</v>
      </c>
      <c r="I5">
        <v>50</v>
      </c>
      <c r="J5">
        <v>100</v>
      </c>
      <c r="K5" t="s">
        <v>29</v>
      </c>
      <c r="L5">
        <v>51</v>
      </c>
      <c r="M5" t="s">
        <v>30</v>
      </c>
      <c r="N5">
        <f>COUNTIF(order_data[Order_ID],order_data[[#This Row],[Order_ID]])</f>
        <v>1</v>
      </c>
      <c r="O5">
        <f>order_data[[#This Row],[Order_Value]]-order_data[[#This Row],[Discount]]</f>
        <v>327</v>
      </c>
      <c r="P5">
        <f>order_data[[#This Row],[Order_Value]]+order_data[[#This Row],[Delivery_Fee]]-order_data[[#This Row],[Discount]]</f>
        <v>377</v>
      </c>
      <c r="Q5" t="str">
        <f>TEXT(order_data[[#This Row],[Order_Date]],"mmm")</f>
        <v>Mar</v>
      </c>
      <c r="R5">
        <f>MONTH(order_data[[#This Row],[Order_Date]])</f>
        <v>3</v>
      </c>
    </row>
    <row r="6" spans="1:18" x14ac:dyDescent="0.35">
      <c r="A6" t="s">
        <v>31</v>
      </c>
      <c r="B6" t="s">
        <v>32</v>
      </c>
      <c r="C6" t="s">
        <v>33</v>
      </c>
      <c r="D6" t="s">
        <v>25</v>
      </c>
      <c r="E6" t="s">
        <v>34</v>
      </c>
      <c r="F6" t="s">
        <v>27</v>
      </c>
      <c r="G6" t="s">
        <v>35</v>
      </c>
      <c r="H6">
        <v>482</v>
      </c>
      <c r="I6">
        <v>30</v>
      </c>
      <c r="J6">
        <v>0</v>
      </c>
      <c r="K6" t="s">
        <v>36</v>
      </c>
      <c r="L6">
        <v>56</v>
      </c>
      <c r="M6" t="s">
        <v>21</v>
      </c>
      <c r="N6">
        <f>COUNTIF(order_data[Order_ID],order_data[[#This Row],[Order_ID]])</f>
        <v>1</v>
      </c>
      <c r="O6">
        <f>order_data[[#This Row],[Order_Value]]-order_data[[#This Row],[Discount]]</f>
        <v>482</v>
      </c>
      <c r="P6">
        <f>order_data[[#This Row],[Order_Value]]+order_data[[#This Row],[Delivery_Fee]]-order_data[[#This Row],[Discount]]</f>
        <v>512</v>
      </c>
      <c r="Q6" t="str">
        <f>TEXT(order_data[[#This Row],[Order_Date]],"mmm")</f>
        <v>Jan</v>
      </c>
      <c r="R6">
        <f>MONTH(order_data[[#This Row],[Order_Date]])</f>
        <v>1</v>
      </c>
    </row>
    <row r="7" spans="1:18" x14ac:dyDescent="0.35">
      <c r="A7" t="s">
        <v>37</v>
      </c>
      <c r="B7" t="s">
        <v>38</v>
      </c>
      <c r="C7" t="s">
        <v>39</v>
      </c>
      <c r="D7" t="s">
        <v>40</v>
      </c>
      <c r="E7" t="s">
        <v>41</v>
      </c>
      <c r="F7" t="s">
        <v>27</v>
      </c>
      <c r="G7" t="s">
        <v>42</v>
      </c>
      <c r="H7">
        <v>612</v>
      </c>
      <c r="I7">
        <v>20</v>
      </c>
      <c r="J7">
        <v>100</v>
      </c>
      <c r="K7" t="s">
        <v>29</v>
      </c>
      <c r="L7">
        <v>44</v>
      </c>
      <c r="M7" t="s">
        <v>30</v>
      </c>
      <c r="N7">
        <f>COUNTIF(order_data[Order_ID],order_data[[#This Row],[Order_ID]])</f>
        <v>1</v>
      </c>
      <c r="O7">
        <f>order_data[[#This Row],[Order_Value]]-order_data[[#This Row],[Discount]]</f>
        <v>512</v>
      </c>
      <c r="P7">
        <f>order_data[[#This Row],[Order_Value]]+order_data[[#This Row],[Delivery_Fee]]-order_data[[#This Row],[Discount]]</f>
        <v>532</v>
      </c>
      <c r="Q7" t="str">
        <f>TEXT(order_data[[#This Row],[Order_Date]],"mmm")</f>
        <v>Jan</v>
      </c>
      <c r="R7">
        <f>MONTH(order_data[[#This Row],[Order_Date]])</f>
        <v>1</v>
      </c>
    </row>
    <row r="8" spans="1:18" x14ac:dyDescent="0.35">
      <c r="A8" t="s">
        <v>43</v>
      </c>
      <c r="B8" t="s">
        <v>44</v>
      </c>
      <c r="C8" t="s">
        <v>45</v>
      </c>
      <c r="D8" t="s">
        <v>46</v>
      </c>
      <c r="E8" t="s">
        <v>47</v>
      </c>
      <c r="F8" t="s">
        <v>48</v>
      </c>
      <c r="G8" t="s">
        <v>49</v>
      </c>
      <c r="H8">
        <v>233</v>
      </c>
      <c r="I8">
        <v>40</v>
      </c>
      <c r="J8">
        <v>100</v>
      </c>
      <c r="K8" t="s">
        <v>20</v>
      </c>
      <c r="L8">
        <v>27</v>
      </c>
      <c r="M8" t="s">
        <v>21</v>
      </c>
      <c r="N8">
        <f>COUNTIF(order_data[Order_ID],order_data[[#This Row],[Order_ID]])</f>
        <v>1</v>
      </c>
      <c r="O8">
        <f>order_data[[#This Row],[Order_Value]]-order_data[[#This Row],[Discount]]</f>
        <v>133</v>
      </c>
      <c r="P8">
        <f>order_data[[#This Row],[Order_Value]]+order_data[[#This Row],[Delivery_Fee]]-order_data[[#This Row],[Discount]]</f>
        <v>173</v>
      </c>
      <c r="Q8" t="str">
        <f>TEXT(order_data[[#This Row],[Order_Date]],"mmm")</f>
        <v>Jan</v>
      </c>
      <c r="R8">
        <f>MONTH(order_data[[#This Row],[Order_Date]])</f>
        <v>1</v>
      </c>
    </row>
    <row r="9" spans="1:18" x14ac:dyDescent="0.35">
      <c r="A9" t="s">
        <v>50</v>
      </c>
      <c r="B9" t="s">
        <v>51</v>
      </c>
      <c r="C9" t="s">
        <v>52</v>
      </c>
      <c r="D9" t="s">
        <v>53</v>
      </c>
      <c r="E9" t="s">
        <v>54</v>
      </c>
      <c r="F9" t="s">
        <v>55</v>
      </c>
      <c r="G9" t="s">
        <v>19</v>
      </c>
      <c r="H9">
        <v>531</v>
      </c>
      <c r="I9">
        <v>50</v>
      </c>
      <c r="J9">
        <v>100</v>
      </c>
      <c r="K9" t="s">
        <v>29</v>
      </c>
      <c r="L9">
        <v>28</v>
      </c>
      <c r="M9" t="s">
        <v>21</v>
      </c>
      <c r="N9">
        <f>COUNTIF(order_data[Order_ID],order_data[[#This Row],[Order_ID]])</f>
        <v>1</v>
      </c>
      <c r="O9">
        <f>order_data[[#This Row],[Order_Value]]-order_data[[#This Row],[Discount]]</f>
        <v>431</v>
      </c>
      <c r="P9">
        <f>order_data[[#This Row],[Order_Value]]+order_data[[#This Row],[Delivery_Fee]]-order_data[[#This Row],[Discount]]</f>
        <v>481</v>
      </c>
      <c r="Q9" t="str">
        <f>TEXT(order_data[[#This Row],[Order_Date]],"mmm")</f>
        <v>Feb</v>
      </c>
      <c r="R9">
        <f>MONTH(order_data[[#This Row],[Order_Date]])</f>
        <v>2</v>
      </c>
    </row>
    <row r="10" spans="1:18" x14ac:dyDescent="0.35">
      <c r="A10" t="s">
        <v>56</v>
      </c>
      <c r="B10" t="s">
        <v>57</v>
      </c>
      <c r="C10" t="s">
        <v>58</v>
      </c>
      <c r="D10" t="s">
        <v>25</v>
      </c>
      <c r="E10" t="s">
        <v>34</v>
      </c>
      <c r="F10" t="s">
        <v>27</v>
      </c>
      <c r="G10" t="s">
        <v>59</v>
      </c>
      <c r="H10">
        <v>461</v>
      </c>
      <c r="I10">
        <v>50</v>
      </c>
      <c r="J10">
        <v>0</v>
      </c>
      <c r="K10" t="s">
        <v>36</v>
      </c>
      <c r="L10">
        <v>26</v>
      </c>
      <c r="M10" t="s">
        <v>21</v>
      </c>
      <c r="N10">
        <f>COUNTIF(order_data[Order_ID],order_data[[#This Row],[Order_ID]])</f>
        <v>1</v>
      </c>
      <c r="O10">
        <f>order_data[[#This Row],[Order_Value]]-order_data[[#This Row],[Discount]]</f>
        <v>461</v>
      </c>
      <c r="P10">
        <f>order_data[[#This Row],[Order_Value]]+order_data[[#This Row],[Delivery_Fee]]-order_data[[#This Row],[Discount]]</f>
        <v>511</v>
      </c>
      <c r="Q10" t="str">
        <f>TEXT(order_data[[#This Row],[Order_Date]],"mmm")</f>
        <v>Jan</v>
      </c>
      <c r="R10">
        <f>MONTH(order_data[[#This Row],[Order_Date]])</f>
        <v>1</v>
      </c>
    </row>
    <row r="11" spans="1:18" x14ac:dyDescent="0.35">
      <c r="A11" t="s">
        <v>60</v>
      </c>
      <c r="B11" t="s">
        <v>61</v>
      </c>
      <c r="C11" t="s">
        <v>62</v>
      </c>
      <c r="D11" t="s">
        <v>40</v>
      </c>
      <c r="E11" t="s">
        <v>41</v>
      </c>
      <c r="F11" t="s">
        <v>27</v>
      </c>
      <c r="G11" t="s">
        <v>63</v>
      </c>
      <c r="H11">
        <v>469</v>
      </c>
      <c r="I11">
        <v>30</v>
      </c>
      <c r="J11">
        <v>50</v>
      </c>
      <c r="K11" t="s">
        <v>20</v>
      </c>
      <c r="L11">
        <v>48</v>
      </c>
      <c r="M11" t="s">
        <v>21</v>
      </c>
      <c r="N11">
        <f>COUNTIF(order_data[Order_ID],order_data[[#This Row],[Order_ID]])</f>
        <v>1</v>
      </c>
      <c r="O11">
        <f>order_data[[#This Row],[Order_Value]]-order_data[[#This Row],[Discount]]</f>
        <v>419</v>
      </c>
      <c r="P11">
        <f>order_data[[#This Row],[Order_Value]]+order_data[[#This Row],[Delivery_Fee]]-order_data[[#This Row],[Discount]]</f>
        <v>449</v>
      </c>
      <c r="Q11" t="str">
        <f>TEXT(order_data[[#This Row],[Order_Date]],"mmm")</f>
        <v>Jan</v>
      </c>
      <c r="R11">
        <f>MONTH(order_data[[#This Row],[Order_Date]])</f>
        <v>1</v>
      </c>
    </row>
    <row r="12" spans="1:18" x14ac:dyDescent="0.35">
      <c r="A12" t="s">
        <v>64</v>
      </c>
      <c r="B12" t="s">
        <v>65</v>
      </c>
      <c r="C12" t="s">
        <v>66</v>
      </c>
      <c r="D12" t="s">
        <v>40</v>
      </c>
      <c r="E12" t="s">
        <v>67</v>
      </c>
      <c r="F12" t="s">
        <v>48</v>
      </c>
      <c r="G12" t="s">
        <v>49</v>
      </c>
      <c r="H12">
        <v>569</v>
      </c>
      <c r="I12">
        <v>40</v>
      </c>
      <c r="J12">
        <v>50</v>
      </c>
      <c r="K12" t="s">
        <v>29</v>
      </c>
      <c r="L12">
        <v>39</v>
      </c>
      <c r="M12" t="s">
        <v>21</v>
      </c>
      <c r="N12">
        <f>COUNTIF(order_data[Order_ID],order_data[[#This Row],[Order_ID]])</f>
        <v>1</v>
      </c>
      <c r="O12">
        <f>order_data[[#This Row],[Order_Value]]-order_data[[#This Row],[Discount]]</f>
        <v>519</v>
      </c>
      <c r="P12">
        <f>order_data[[#This Row],[Order_Value]]+order_data[[#This Row],[Delivery_Fee]]-order_data[[#This Row],[Discount]]</f>
        <v>559</v>
      </c>
      <c r="Q12" t="str">
        <f>TEXT(order_data[[#This Row],[Order_Date]],"mmm")</f>
        <v>Mar</v>
      </c>
      <c r="R12">
        <f>MONTH(order_data[[#This Row],[Order_Date]])</f>
        <v>3</v>
      </c>
    </row>
    <row r="13" spans="1:18" x14ac:dyDescent="0.35">
      <c r="A13" t="s">
        <v>68</v>
      </c>
      <c r="B13" t="s">
        <v>69</v>
      </c>
      <c r="C13" t="s">
        <v>33</v>
      </c>
      <c r="D13" t="s">
        <v>46</v>
      </c>
      <c r="E13" t="s">
        <v>70</v>
      </c>
      <c r="F13" t="s">
        <v>18</v>
      </c>
      <c r="G13" t="s">
        <v>35</v>
      </c>
      <c r="H13">
        <v>787</v>
      </c>
      <c r="I13">
        <v>20</v>
      </c>
      <c r="J13">
        <v>20</v>
      </c>
      <c r="K13" t="s">
        <v>29</v>
      </c>
      <c r="L13">
        <v>30</v>
      </c>
      <c r="M13" t="s">
        <v>21</v>
      </c>
      <c r="N13">
        <f>COUNTIF(order_data[Order_ID],order_data[[#This Row],[Order_ID]])</f>
        <v>1</v>
      </c>
      <c r="O13">
        <f>order_data[[#This Row],[Order_Value]]-order_data[[#This Row],[Discount]]</f>
        <v>767</v>
      </c>
      <c r="P13">
        <f>order_data[[#This Row],[Order_Value]]+order_data[[#This Row],[Delivery_Fee]]-order_data[[#This Row],[Discount]]</f>
        <v>787</v>
      </c>
      <c r="Q13" t="str">
        <f>TEXT(order_data[[#This Row],[Order_Date]],"mmm")</f>
        <v>Feb</v>
      </c>
      <c r="R13">
        <f>MONTH(order_data[[#This Row],[Order_Date]])</f>
        <v>2</v>
      </c>
    </row>
    <row r="14" spans="1:18" x14ac:dyDescent="0.35">
      <c r="A14" t="s">
        <v>71</v>
      </c>
      <c r="B14" t="s">
        <v>72</v>
      </c>
      <c r="C14" t="s">
        <v>73</v>
      </c>
      <c r="D14" t="s">
        <v>25</v>
      </c>
      <c r="E14" t="s">
        <v>34</v>
      </c>
      <c r="F14" t="s">
        <v>27</v>
      </c>
      <c r="G14" t="s">
        <v>74</v>
      </c>
      <c r="H14">
        <v>558</v>
      </c>
      <c r="I14">
        <v>30</v>
      </c>
      <c r="J14">
        <v>0</v>
      </c>
      <c r="K14" t="s">
        <v>20</v>
      </c>
      <c r="L14">
        <v>48</v>
      </c>
      <c r="M14" t="s">
        <v>21</v>
      </c>
      <c r="N14">
        <f>COUNTIF(order_data[Order_ID],order_data[[#This Row],[Order_ID]])</f>
        <v>1</v>
      </c>
      <c r="O14">
        <f>order_data[[#This Row],[Order_Value]]-order_data[[#This Row],[Discount]]</f>
        <v>558</v>
      </c>
      <c r="P14">
        <f>order_data[[#This Row],[Order_Value]]+order_data[[#This Row],[Delivery_Fee]]-order_data[[#This Row],[Discount]]</f>
        <v>588</v>
      </c>
      <c r="Q14" t="str">
        <f>TEXT(order_data[[#This Row],[Order_Date]],"mmm")</f>
        <v>Jan</v>
      </c>
      <c r="R14">
        <f>MONTH(order_data[[#This Row],[Order_Date]])</f>
        <v>1</v>
      </c>
    </row>
    <row r="15" spans="1:18" x14ac:dyDescent="0.35">
      <c r="A15" t="s">
        <v>75</v>
      </c>
      <c r="B15" t="s">
        <v>76</v>
      </c>
      <c r="C15" t="s">
        <v>77</v>
      </c>
      <c r="D15" t="s">
        <v>25</v>
      </c>
      <c r="E15" t="s">
        <v>78</v>
      </c>
      <c r="F15" t="s">
        <v>48</v>
      </c>
      <c r="G15" t="s">
        <v>49</v>
      </c>
      <c r="H15">
        <v>733</v>
      </c>
      <c r="I15">
        <v>40</v>
      </c>
      <c r="J15">
        <v>0</v>
      </c>
      <c r="K15" t="s">
        <v>29</v>
      </c>
      <c r="L15">
        <v>46</v>
      </c>
      <c r="M15" t="s">
        <v>21</v>
      </c>
      <c r="N15">
        <f>COUNTIF(order_data[Order_ID],order_data[[#This Row],[Order_ID]])</f>
        <v>1</v>
      </c>
      <c r="O15">
        <f>order_data[[#This Row],[Order_Value]]-order_data[[#This Row],[Discount]]</f>
        <v>733</v>
      </c>
      <c r="P15">
        <f>order_data[[#This Row],[Order_Value]]+order_data[[#This Row],[Delivery_Fee]]-order_data[[#This Row],[Discount]]</f>
        <v>773</v>
      </c>
      <c r="Q15" t="str">
        <f>TEXT(order_data[[#This Row],[Order_Date]],"mmm")</f>
        <v>Feb</v>
      </c>
      <c r="R15">
        <f>MONTH(order_data[[#This Row],[Order_Date]])</f>
        <v>2</v>
      </c>
    </row>
    <row r="16" spans="1:18" x14ac:dyDescent="0.35">
      <c r="A16" t="s">
        <v>79</v>
      </c>
      <c r="B16" t="s">
        <v>80</v>
      </c>
      <c r="C16" t="s">
        <v>81</v>
      </c>
      <c r="D16" t="s">
        <v>40</v>
      </c>
      <c r="E16" t="s">
        <v>67</v>
      </c>
      <c r="F16" t="s">
        <v>48</v>
      </c>
      <c r="G16" t="s">
        <v>35</v>
      </c>
      <c r="H16">
        <v>627</v>
      </c>
      <c r="I16">
        <v>20</v>
      </c>
      <c r="J16">
        <v>0</v>
      </c>
      <c r="K16" t="s">
        <v>29</v>
      </c>
      <c r="L16">
        <v>30</v>
      </c>
      <c r="M16" t="s">
        <v>21</v>
      </c>
      <c r="N16">
        <f>COUNTIF(order_data[Order_ID],order_data[[#This Row],[Order_ID]])</f>
        <v>1</v>
      </c>
      <c r="O16">
        <f>order_data[[#This Row],[Order_Value]]-order_data[[#This Row],[Discount]]</f>
        <v>627</v>
      </c>
      <c r="P16">
        <f>order_data[[#This Row],[Order_Value]]+order_data[[#This Row],[Delivery_Fee]]-order_data[[#This Row],[Discount]]</f>
        <v>647</v>
      </c>
      <c r="Q16" t="str">
        <f>TEXT(order_data[[#This Row],[Order_Date]],"mmm")</f>
        <v>Feb</v>
      </c>
      <c r="R16">
        <f>MONTH(order_data[[#This Row],[Order_Date]])</f>
        <v>2</v>
      </c>
    </row>
    <row r="17" spans="1:18" x14ac:dyDescent="0.35">
      <c r="A17" t="s">
        <v>82</v>
      </c>
      <c r="B17" t="s">
        <v>23</v>
      </c>
      <c r="C17" t="s">
        <v>83</v>
      </c>
      <c r="D17" t="s">
        <v>53</v>
      </c>
      <c r="E17" t="s">
        <v>84</v>
      </c>
      <c r="F17" t="s">
        <v>85</v>
      </c>
      <c r="G17" t="s">
        <v>49</v>
      </c>
      <c r="H17">
        <v>509</v>
      </c>
      <c r="I17">
        <v>50</v>
      </c>
      <c r="J17">
        <v>100</v>
      </c>
      <c r="K17" t="s">
        <v>29</v>
      </c>
      <c r="L17">
        <v>34</v>
      </c>
      <c r="M17" t="s">
        <v>21</v>
      </c>
      <c r="N17">
        <f>COUNTIF(order_data[Order_ID],order_data[[#This Row],[Order_ID]])</f>
        <v>1</v>
      </c>
      <c r="O17">
        <f>order_data[[#This Row],[Order_Value]]-order_data[[#This Row],[Discount]]</f>
        <v>409</v>
      </c>
      <c r="P17">
        <f>order_data[[#This Row],[Order_Value]]+order_data[[#This Row],[Delivery_Fee]]-order_data[[#This Row],[Discount]]</f>
        <v>459</v>
      </c>
      <c r="Q17" t="str">
        <f>TEXT(order_data[[#This Row],[Order_Date]],"mmm")</f>
        <v>Mar</v>
      </c>
      <c r="R17">
        <f>MONTH(order_data[[#This Row],[Order_Date]])</f>
        <v>3</v>
      </c>
    </row>
    <row r="18" spans="1:18" x14ac:dyDescent="0.35">
      <c r="A18" t="s">
        <v>86</v>
      </c>
      <c r="B18" t="s">
        <v>87</v>
      </c>
      <c r="C18" t="s">
        <v>88</v>
      </c>
      <c r="D18" t="s">
        <v>16</v>
      </c>
      <c r="E18" t="s">
        <v>89</v>
      </c>
      <c r="F18" t="s">
        <v>18</v>
      </c>
      <c r="G18" t="s">
        <v>42</v>
      </c>
      <c r="H18">
        <v>228</v>
      </c>
      <c r="I18">
        <v>40</v>
      </c>
      <c r="J18">
        <v>30</v>
      </c>
      <c r="K18" t="s">
        <v>20</v>
      </c>
      <c r="L18">
        <v>21</v>
      </c>
      <c r="M18" t="s">
        <v>21</v>
      </c>
      <c r="N18">
        <f>COUNTIF(order_data[Order_ID],order_data[[#This Row],[Order_ID]])</f>
        <v>1</v>
      </c>
      <c r="O18">
        <f>order_data[[#This Row],[Order_Value]]-order_data[[#This Row],[Discount]]</f>
        <v>198</v>
      </c>
      <c r="P18">
        <f>order_data[[#This Row],[Order_Value]]+order_data[[#This Row],[Delivery_Fee]]-order_data[[#This Row],[Discount]]</f>
        <v>238</v>
      </c>
      <c r="Q18" t="str">
        <f>TEXT(order_data[[#This Row],[Order_Date]],"mmm")</f>
        <v>Jan</v>
      </c>
      <c r="R18">
        <f>MONTH(order_data[[#This Row],[Order_Date]])</f>
        <v>1</v>
      </c>
    </row>
    <row r="19" spans="1:18" x14ac:dyDescent="0.35">
      <c r="A19" t="s">
        <v>90</v>
      </c>
      <c r="B19" t="s">
        <v>91</v>
      </c>
      <c r="C19" t="s">
        <v>92</v>
      </c>
      <c r="D19" t="s">
        <v>25</v>
      </c>
      <c r="E19" t="s">
        <v>78</v>
      </c>
      <c r="F19" t="s">
        <v>48</v>
      </c>
      <c r="G19" t="s">
        <v>35</v>
      </c>
      <c r="H19">
        <v>241</v>
      </c>
      <c r="I19">
        <v>40</v>
      </c>
      <c r="J19">
        <v>0</v>
      </c>
      <c r="K19" t="s">
        <v>20</v>
      </c>
      <c r="L19">
        <v>37</v>
      </c>
      <c r="M19" t="s">
        <v>21</v>
      </c>
      <c r="N19">
        <f>COUNTIF(order_data[Order_ID],order_data[[#This Row],[Order_ID]])</f>
        <v>1</v>
      </c>
      <c r="O19">
        <f>order_data[[#This Row],[Order_Value]]-order_data[[#This Row],[Discount]]</f>
        <v>241</v>
      </c>
      <c r="P19">
        <f>order_data[[#This Row],[Order_Value]]+order_data[[#This Row],[Delivery_Fee]]-order_data[[#This Row],[Discount]]</f>
        <v>281</v>
      </c>
      <c r="Q19" t="str">
        <f>TEXT(order_data[[#This Row],[Order_Date]],"mmm")</f>
        <v>Mar</v>
      </c>
      <c r="R19">
        <f>MONTH(order_data[[#This Row],[Order_Date]])</f>
        <v>3</v>
      </c>
    </row>
    <row r="20" spans="1:18" x14ac:dyDescent="0.35">
      <c r="A20" t="s">
        <v>93</v>
      </c>
      <c r="B20" t="s">
        <v>76</v>
      </c>
      <c r="C20" t="s">
        <v>94</v>
      </c>
      <c r="D20" t="s">
        <v>25</v>
      </c>
      <c r="E20" t="s">
        <v>78</v>
      </c>
      <c r="F20" t="s">
        <v>48</v>
      </c>
      <c r="G20" t="s">
        <v>19</v>
      </c>
      <c r="H20">
        <v>617</v>
      </c>
      <c r="I20">
        <v>50</v>
      </c>
      <c r="J20">
        <v>30</v>
      </c>
      <c r="K20" t="s">
        <v>36</v>
      </c>
      <c r="L20">
        <v>40</v>
      </c>
      <c r="M20" t="s">
        <v>21</v>
      </c>
      <c r="N20">
        <f>COUNTIF(order_data[Order_ID],order_data[[#This Row],[Order_ID]])</f>
        <v>1</v>
      </c>
      <c r="O20">
        <f>order_data[[#This Row],[Order_Value]]-order_data[[#This Row],[Discount]]</f>
        <v>587</v>
      </c>
      <c r="P20">
        <f>order_data[[#This Row],[Order_Value]]+order_data[[#This Row],[Delivery_Fee]]-order_data[[#This Row],[Discount]]</f>
        <v>637</v>
      </c>
      <c r="Q20" t="str">
        <f>TEXT(order_data[[#This Row],[Order_Date]],"mmm")</f>
        <v>Feb</v>
      </c>
      <c r="R20">
        <f>MONTH(order_data[[#This Row],[Order_Date]])</f>
        <v>2</v>
      </c>
    </row>
    <row r="21" spans="1:18" x14ac:dyDescent="0.35">
      <c r="A21" t="s">
        <v>95</v>
      </c>
      <c r="B21" t="s">
        <v>96</v>
      </c>
      <c r="C21" t="s">
        <v>97</v>
      </c>
      <c r="D21" t="s">
        <v>16</v>
      </c>
      <c r="E21" t="s">
        <v>89</v>
      </c>
      <c r="F21" t="s">
        <v>18</v>
      </c>
      <c r="G21" t="s">
        <v>28</v>
      </c>
      <c r="H21">
        <v>739</v>
      </c>
      <c r="I21">
        <v>50</v>
      </c>
      <c r="J21">
        <v>0</v>
      </c>
      <c r="K21" t="s">
        <v>20</v>
      </c>
      <c r="L21">
        <v>46</v>
      </c>
      <c r="M21" t="s">
        <v>21</v>
      </c>
      <c r="N21">
        <f>COUNTIF(order_data[Order_ID],order_data[[#This Row],[Order_ID]])</f>
        <v>1</v>
      </c>
      <c r="O21">
        <f>order_data[[#This Row],[Order_Value]]-order_data[[#This Row],[Discount]]</f>
        <v>739</v>
      </c>
      <c r="P21">
        <f>order_data[[#This Row],[Order_Value]]+order_data[[#This Row],[Delivery_Fee]]-order_data[[#This Row],[Discount]]</f>
        <v>789</v>
      </c>
      <c r="Q21" t="str">
        <f>TEXT(order_data[[#This Row],[Order_Date]],"mmm")</f>
        <v>Mar</v>
      </c>
      <c r="R21">
        <f>MONTH(order_data[[#This Row],[Order_Date]])</f>
        <v>3</v>
      </c>
    </row>
    <row r="22" spans="1:18" x14ac:dyDescent="0.35">
      <c r="A22" t="s">
        <v>98</v>
      </c>
      <c r="B22" t="s">
        <v>99</v>
      </c>
      <c r="C22" t="s">
        <v>100</v>
      </c>
      <c r="D22" t="s">
        <v>16</v>
      </c>
      <c r="E22" t="s">
        <v>89</v>
      </c>
      <c r="F22" t="s">
        <v>18</v>
      </c>
      <c r="G22" t="s">
        <v>42</v>
      </c>
      <c r="H22">
        <v>504</v>
      </c>
      <c r="I22">
        <v>50</v>
      </c>
      <c r="J22">
        <v>50</v>
      </c>
      <c r="K22" t="s">
        <v>36</v>
      </c>
      <c r="L22">
        <v>36</v>
      </c>
      <c r="M22" t="s">
        <v>21</v>
      </c>
      <c r="N22">
        <f>COUNTIF(order_data[Order_ID],order_data[[#This Row],[Order_ID]])</f>
        <v>1</v>
      </c>
      <c r="O22">
        <f>order_data[[#This Row],[Order_Value]]-order_data[[#This Row],[Discount]]</f>
        <v>454</v>
      </c>
      <c r="P22">
        <f>order_data[[#This Row],[Order_Value]]+order_data[[#This Row],[Delivery_Fee]]-order_data[[#This Row],[Discount]]</f>
        <v>504</v>
      </c>
      <c r="Q22" t="str">
        <f>TEXT(order_data[[#This Row],[Order_Date]],"mmm")</f>
        <v>Mar</v>
      </c>
      <c r="R22">
        <f>MONTH(order_data[[#This Row],[Order_Date]])</f>
        <v>3</v>
      </c>
    </row>
    <row r="23" spans="1:18" x14ac:dyDescent="0.35">
      <c r="A23" t="s">
        <v>101</v>
      </c>
      <c r="B23" t="s">
        <v>102</v>
      </c>
      <c r="C23" t="s">
        <v>103</v>
      </c>
      <c r="D23" t="s">
        <v>46</v>
      </c>
      <c r="E23" t="s">
        <v>47</v>
      </c>
      <c r="F23" t="s">
        <v>48</v>
      </c>
      <c r="G23" t="s">
        <v>74</v>
      </c>
      <c r="H23">
        <v>483</v>
      </c>
      <c r="I23">
        <v>30</v>
      </c>
      <c r="J23">
        <v>20</v>
      </c>
      <c r="K23" t="s">
        <v>36</v>
      </c>
      <c r="L23">
        <v>50</v>
      </c>
      <c r="M23" t="s">
        <v>21</v>
      </c>
      <c r="N23">
        <f>COUNTIF(order_data[Order_ID],order_data[[#This Row],[Order_ID]])</f>
        <v>1</v>
      </c>
      <c r="O23">
        <f>order_data[[#This Row],[Order_Value]]-order_data[[#This Row],[Discount]]</f>
        <v>463</v>
      </c>
      <c r="P23">
        <f>order_data[[#This Row],[Order_Value]]+order_data[[#This Row],[Delivery_Fee]]-order_data[[#This Row],[Discount]]</f>
        <v>493</v>
      </c>
      <c r="Q23" t="str">
        <f>TEXT(order_data[[#This Row],[Order_Date]],"mmm")</f>
        <v>Mar</v>
      </c>
      <c r="R23">
        <f>MONTH(order_data[[#This Row],[Order_Date]])</f>
        <v>3</v>
      </c>
    </row>
    <row r="24" spans="1:18" x14ac:dyDescent="0.35">
      <c r="A24" t="s">
        <v>104</v>
      </c>
      <c r="B24" t="s">
        <v>105</v>
      </c>
      <c r="C24" t="s">
        <v>106</v>
      </c>
      <c r="D24" t="s">
        <v>53</v>
      </c>
      <c r="E24" t="s">
        <v>84</v>
      </c>
      <c r="F24" t="s">
        <v>85</v>
      </c>
      <c r="G24" t="s">
        <v>107</v>
      </c>
      <c r="H24">
        <v>253</v>
      </c>
      <c r="I24">
        <v>40</v>
      </c>
      <c r="J24">
        <v>50</v>
      </c>
      <c r="K24" t="s">
        <v>36</v>
      </c>
      <c r="L24">
        <v>29</v>
      </c>
      <c r="M24" t="s">
        <v>21</v>
      </c>
      <c r="N24">
        <f>COUNTIF(order_data[Order_ID],order_data[[#This Row],[Order_ID]])</f>
        <v>1</v>
      </c>
      <c r="O24">
        <f>order_data[[#This Row],[Order_Value]]-order_data[[#This Row],[Discount]]</f>
        <v>203</v>
      </c>
      <c r="P24">
        <f>order_data[[#This Row],[Order_Value]]+order_data[[#This Row],[Delivery_Fee]]-order_data[[#This Row],[Discount]]</f>
        <v>243</v>
      </c>
      <c r="Q24" t="str">
        <f>TEXT(order_data[[#This Row],[Order_Date]],"mmm")</f>
        <v>Mar</v>
      </c>
      <c r="R24">
        <f>MONTH(order_data[[#This Row],[Order_Date]])</f>
        <v>3</v>
      </c>
    </row>
    <row r="25" spans="1:18" x14ac:dyDescent="0.35">
      <c r="A25" t="s">
        <v>108</v>
      </c>
      <c r="B25" t="s">
        <v>109</v>
      </c>
      <c r="C25" t="s">
        <v>110</v>
      </c>
      <c r="D25" t="s">
        <v>40</v>
      </c>
      <c r="E25" t="s">
        <v>111</v>
      </c>
      <c r="F25" t="s">
        <v>18</v>
      </c>
      <c r="G25" t="s">
        <v>28</v>
      </c>
      <c r="H25">
        <v>332</v>
      </c>
      <c r="I25">
        <v>30</v>
      </c>
      <c r="J25">
        <v>0</v>
      </c>
      <c r="K25" t="s">
        <v>20</v>
      </c>
      <c r="L25">
        <v>60</v>
      </c>
      <c r="M25" t="s">
        <v>21</v>
      </c>
      <c r="N25">
        <f>COUNTIF(order_data[Order_ID],order_data[[#This Row],[Order_ID]])</f>
        <v>1</v>
      </c>
      <c r="O25">
        <f>order_data[[#This Row],[Order_Value]]-order_data[[#This Row],[Discount]]</f>
        <v>332</v>
      </c>
      <c r="P25">
        <f>order_data[[#This Row],[Order_Value]]+order_data[[#This Row],[Delivery_Fee]]-order_data[[#This Row],[Discount]]</f>
        <v>362</v>
      </c>
      <c r="Q25" t="str">
        <f>TEXT(order_data[[#This Row],[Order_Date]],"mmm")</f>
        <v>Jan</v>
      </c>
      <c r="R25">
        <f>MONTH(order_data[[#This Row],[Order_Date]])</f>
        <v>1</v>
      </c>
    </row>
    <row r="26" spans="1:18" x14ac:dyDescent="0.35">
      <c r="A26" t="s">
        <v>112</v>
      </c>
      <c r="B26" t="s">
        <v>113</v>
      </c>
      <c r="C26" t="s">
        <v>114</v>
      </c>
      <c r="D26" t="s">
        <v>53</v>
      </c>
      <c r="E26" t="s">
        <v>54</v>
      </c>
      <c r="F26" t="s">
        <v>55</v>
      </c>
      <c r="G26" t="s">
        <v>107</v>
      </c>
      <c r="H26">
        <v>173</v>
      </c>
      <c r="I26">
        <v>40</v>
      </c>
      <c r="J26">
        <v>20</v>
      </c>
      <c r="K26" t="s">
        <v>36</v>
      </c>
      <c r="L26">
        <v>23</v>
      </c>
      <c r="M26" t="s">
        <v>21</v>
      </c>
      <c r="N26">
        <f>COUNTIF(order_data[Order_ID],order_data[[#This Row],[Order_ID]])</f>
        <v>1</v>
      </c>
      <c r="O26">
        <f>order_data[[#This Row],[Order_Value]]-order_data[[#This Row],[Discount]]</f>
        <v>153</v>
      </c>
      <c r="P26">
        <f>order_data[[#This Row],[Order_Value]]+order_data[[#This Row],[Delivery_Fee]]-order_data[[#This Row],[Discount]]</f>
        <v>193</v>
      </c>
      <c r="Q26" t="str">
        <f>TEXT(order_data[[#This Row],[Order_Date]],"mmm")</f>
        <v>Mar</v>
      </c>
      <c r="R26">
        <f>MONTH(order_data[[#This Row],[Order_Date]])</f>
        <v>3</v>
      </c>
    </row>
    <row r="27" spans="1:18" x14ac:dyDescent="0.35">
      <c r="A27" t="s">
        <v>115</v>
      </c>
      <c r="B27" t="s">
        <v>80</v>
      </c>
      <c r="C27" t="s">
        <v>116</v>
      </c>
      <c r="D27" t="s">
        <v>53</v>
      </c>
      <c r="E27" t="s">
        <v>54</v>
      </c>
      <c r="F27" t="s">
        <v>55</v>
      </c>
      <c r="G27" t="s">
        <v>107</v>
      </c>
      <c r="H27">
        <v>245</v>
      </c>
      <c r="I27">
        <v>50</v>
      </c>
      <c r="J27">
        <v>20</v>
      </c>
      <c r="K27" t="s">
        <v>20</v>
      </c>
      <c r="L27">
        <v>21</v>
      </c>
      <c r="M27" t="s">
        <v>21</v>
      </c>
      <c r="N27">
        <f>COUNTIF(order_data[Order_ID],order_data[[#This Row],[Order_ID]])</f>
        <v>1</v>
      </c>
      <c r="O27">
        <f>order_data[[#This Row],[Order_Value]]-order_data[[#This Row],[Discount]]</f>
        <v>225</v>
      </c>
      <c r="P27">
        <f>order_data[[#This Row],[Order_Value]]+order_data[[#This Row],[Delivery_Fee]]-order_data[[#This Row],[Discount]]</f>
        <v>275</v>
      </c>
      <c r="Q27" t="str">
        <f>TEXT(order_data[[#This Row],[Order_Date]],"mmm")</f>
        <v>Feb</v>
      </c>
      <c r="R27">
        <f>MONTH(order_data[[#This Row],[Order_Date]])</f>
        <v>2</v>
      </c>
    </row>
    <row r="28" spans="1:18" x14ac:dyDescent="0.35">
      <c r="A28" t="s">
        <v>117</v>
      </c>
      <c r="B28" t="s">
        <v>118</v>
      </c>
      <c r="C28" t="s">
        <v>119</v>
      </c>
      <c r="D28" t="s">
        <v>40</v>
      </c>
      <c r="E28" t="s">
        <v>111</v>
      </c>
      <c r="F28" t="s">
        <v>18</v>
      </c>
      <c r="G28" t="s">
        <v>107</v>
      </c>
      <c r="H28">
        <v>614</v>
      </c>
      <c r="I28">
        <v>50</v>
      </c>
      <c r="J28">
        <v>50</v>
      </c>
      <c r="K28" t="s">
        <v>36</v>
      </c>
      <c r="L28">
        <v>20</v>
      </c>
      <c r="M28" t="s">
        <v>21</v>
      </c>
      <c r="N28">
        <f>COUNTIF(order_data[Order_ID],order_data[[#This Row],[Order_ID]])</f>
        <v>1</v>
      </c>
      <c r="O28">
        <f>order_data[[#This Row],[Order_Value]]-order_data[[#This Row],[Discount]]</f>
        <v>564</v>
      </c>
      <c r="P28">
        <f>order_data[[#This Row],[Order_Value]]+order_data[[#This Row],[Delivery_Fee]]-order_data[[#This Row],[Discount]]</f>
        <v>614</v>
      </c>
      <c r="Q28" t="str">
        <f>TEXT(order_data[[#This Row],[Order_Date]],"mmm")</f>
        <v>Mar</v>
      </c>
      <c r="R28">
        <f>MONTH(order_data[[#This Row],[Order_Date]])</f>
        <v>3</v>
      </c>
    </row>
    <row r="29" spans="1:18" x14ac:dyDescent="0.35">
      <c r="A29" t="s">
        <v>120</v>
      </c>
      <c r="B29" t="s">
        <v>121</v>
      </c>
      <c r="C29" t="s">
        <v>122</v>
      </c>
      <c r="D29" t="s">
        <v>46</v>
      </c>
      <c r="E29" t="s">
        <v>70</v>
      </c>
      <c r="F29" t="s">
        <v>18</v>
      </c>
      <c r="G29" t="s">
        <v>19</v>
      </c>
      <c r="H29">
        <v>255</v>
      </c>
      <c r="I29">
        <v>30</v>
      </c>
      <c r="J29">
        <v>100</v>
      </c>
      <c r="K29" t="s">
        <v>20</v>
      </c>
      <c r="L29">
        <v>35</v>
      </c>
      <c r="M29" t="s">
        <v>21</v>
      </c>
      <c r="N29">
        <f>COUNTIF(order_data[Order_ID],order_data[[#This Row],[Order_ID]])</f>
        <v>1</v>
      </c>
      <c r="O29">
        <f>order_data[[#This Row],[Order_Value]]-order_data[[#This Row],[Discount]]</f>
        <v>155</v>
      </c>
      <c r="P29">
        <f>order_data[[#This Row],[Order_Value]]+order_data[[#This Row],[Delivery_Fee]]-order_data[[#This Row],[Discount]]</f>
        <v>185</v>
      </c>
      <c r="Q29" t="str">
        <f>TEXT(order_data[[#This Row],[Order_Date]],"mmm")</f>
        <v>Feb</v>
      </c>
      <c r="R29">
        <f>MONTH(order_data[[#This Row],[Order_Date]])</f>
        <v>2</v>
      </c>
    </row>
    <row r="30" spans="1:18" x14ac:dyDescent="0.35">
      <c r="A30" t="s">
        <v>123</v>
      </c>
      <c r="B30" t="s">
        <v>72</v>
      </c>
      <c r="C30" t="s">
        <v>124</v>
      </c>
      <c r="D30" t="s">
        <v>53</v>
      </c>
      <c r="E30" t="s">
        <v>84</v>
      </c>
      <c r="F30" t="s">
        <v>85</v>
      </c>
      <c r="G30" t="s">
        <v>74</v>
      </c>
      <c r="H30">
        <v>477</v>
      </c>
      <c r="I30">
        <v>20</v>
      </c>
      <c r="J30">
        <v>30</v>
      </c>
      <c r="K30" t="s">
        <v>20</v>
      </c>
      <c r="L30">
        <v>60</v>
      </c>
      <c r="M30" t="s">
        <v>21</v>
      </c>
      <c r="N30">
        <f>COUNTIF(order_data[Order_ID],order_data[[#This Row],[Order_ID]])</f>
        <v>1</v>
      </c>
      <c r="O30">
        <f>order_data[[#This Row],[Order_Value]]-order_data[[#This Row],[Discount]]</f>
        <v>447</v>
      </c>
      <c r="P30">
        <f>order_data[[#This Row],[Order_Value]]+order_data[[#This Row],[Delivery_Fee]]-order_data[[#This Row],[Discount]]</f>
        <v>467</v>
      </c>
      <c r="Q30" t="str">
        <f>TEXT(order_data[[#This Row],[Order_Date]],"mmm")</f>
        <v>Jan</v>
      </c>
      <c r="R30">
        <f>MONTH(order_data[[#This Row],[Order_Date]])</f>
        <v>1</v>
      </c>
    </row>
    <row r="31" spans="1:18" x14ac:dyDescent="0.35">
      <c r="A31" t="s">
        <v>125</v>
      </c>
      <c r="B31" t="s">
        <v>126</v>
      </c>
      <c r="C31" t="s">
        <v>127</v>
      </c>
      <c r="D31" t="s">
        <v>40</v>
      </c>
      <c r="E31" t="s">
        <v>111</v>
      </c>
      <c r="F31" t="s">
        <v>18</v>
      </c>
      <c r="G31" t="s">
        <v>19</v>
      </c>
      <c r="H31">
        <v>404</v>
      </c>
      <c r="I31">
        <v>20</v>
      </c>
      <c r="J31">
        <v>100</v>
      </c>
      <c r="K31" t="s">
        <v>36</v>
      </c>
      <c r="L31">
        <v>22</v>
      </c>
      <c r="M31" t="s">
        <v>21</v>
      </c>
      <c r="N31">
        <f>COUNTIF(order_data[Order_ID],order_data[[#This Row],[Order_ID]])</f>
        <v>1</v>
      </c>
      <c r="O31">
        <f>order_data[[#This Row],[Order_Value]]-order_data[[#This Row],[Discount]]</f>
        <v>304</v>
      </c>
      <c r="P31">
        <f>order_data[[#This Row],[Order_Value]]+order_data[[#This Row],[Delivery_Fee]]-order_data[[#This Row],[Discount]]</f>
        <v>324</v>
      </c>
      <c r="Q31" t="str">
        <f>TEXT(order_data[[#This Row],[Order_Date]],"mmm")</f>
        <v>Mar</v>
      </c>
      <c r="R31">
        <f>MONTH(order_data[[#This Row],[Order_Date]])</f>
        <v>3</v>
      </c>
    </row>
    <row r="32" spans="1:18" x14ac:dyDescent="0.35">
      <c r="A32" t="s">
        <v>128</v>
      </c>
      <c r="B32" t="s">
        <v>129</v>
      </c>
      <c r="C32" t="s">
        <v>130</v>
      </c>
      <c r="D32" t="s">
        <v>16</v>
      </c>
      <c r="E32" t="s">
        <v>131</v>
      </c>
      <c r="F32" t="s">
        <v>55</v>
      </c>
      <c r="G32" t="s">
        <v>19</v>
      </c>
      <c r="H32">
        <v>181</v>
      </c>
      <c r="I32">
        <v>20</v>
      </c>
      <c r="J32">
        <v>50</v>
      </c>
      <c r="K32" t="s">
        <v>20</v>
      </c>
      <c r="L32">
        <v>40</v>
      </c>
      <c r="M32" t="s">
        <v>21</v>
      </c>
      <c r="N32">
        <f>COUNTIF(order_data[Order_ID],order_data[[#This Row],[Order_ID]])</f>
        <v>1</v>
      </c>
      <c r="O32">
        <f>order_data[[#This Row],[Order_Value]]-order_data[[#This Row],[Discount]]</f>
        <v>131</v>
      </c>
      <c r="P32">
        <f>order_data[[#This Row],[Order_Value]]+order_data[[#This Row],[Delivery_Fee]]-order_data[[#This Row],[Discount]]</f>
        <v>151</v>
      </c>
      <c r="Q32" t="str">
        <f>TEXT(order_data[[#This Row],[Order_Date]],"mmm")</f>
        <v>Feb</v>
      </c>
      <c r="R32">
        <f>MONTH(order_data[[#This Row],[Order_Date]])</f>
        <v>2</v>
      </c>
    </row>
    <row r="33" spans="1:18" x14ac:dyDescent="0.35">
      <c r="A33" t="s">
        <v>132</v>
      </c>
      <c r="B33" t="s">
        <v>133</v>
      </c>
      <c r="C33" t="s">
        <v>134</v>
      </c>
      <c r="D33" t="s">
        <v>53</v>
      </c>
      <c r="E33" t="s">
        <v>54</v>
      </c>
      <c r="F33" t="s">
        <v>55</v>
      </c>
      <c r="G33" t="s">
        <v>35</v>
      </c>
      <c r="H33">
        <v>381</v>
      </c>
      <c r="I33">
        <v>30</v>
      </c>
      <c r="J33">
        <v>100</v>
      </c>
      <c r="K33" t="s">
        <v>20</v>
      </c>
      <c r="L33">
        <v>52</v>
      </c>
      <c r="M33" t="s">
        <v>21</v>
      </c>
      <c r="N33">
        <f>COUNTIF(order_data[Order_ID],order_data[[#This Row],[Order_ID]])</f>
        <v>1</v>
      </c>
      <c r="O33">
        <f>order_data[[#This Row],[Order_Value]]-order_data[[#This Row],[Discount]]</f>
        <v>281</v>
      </c>
      <c r="P33">
        <f>order_data[[#This Row],[Order_Value]]+order_data[[#This Row],[Delivery_Fee]]-order_data[[#This Row],[Discount]]</f>
        <v>311</v>
      </c>
      <c r="Q33" t="str">
        <f>TEXT(order_data[[#This Row],[Order_Date]],"mmm")</f>
        <v>Mar</v>
      </c>
      <c r="R33">
        <f>MONTH(order_data[[#This Row],[Order_Date]])</f>
        <v>3</v>
      </c>
    </row>
    <row r="34" spans="1:18" x14ac:dyDescent="0.35">
      <c r="A34" t="s">
        <v>135</v>
      </c>
      <c r="B34" t="s">
        <v>136</v>
      </c>
      <c r="C34" t="s">
        <v>137</v>
      </c>
      <c r="D34" t="s">
        <v>53</v>
      </c>
      <c r="E34" t="s">
        <v>84</v>
      </c>
      <c r="F34" t="s">
        <v>85</v>
      </c>
      <c r="G34" t="s">
        <v>107</v>
      </c>
      <c r="H34">
        <v>698</v>
      </c>
      <c r="I34">
        <v>30</v>
      </c>
      <c r="J34">
        <v>20</v>
      </c>
      <c r="K34" t="s">
        <v>29</v>
      </c>
      <c r="L34">
        <v>54</v>
      </c>
      <c r="M34" t="s">
        <v>30</v>
      </c>
      <c r="N34">
        <f>COUNTIF(order_data[Order_ID],order_data[[#This Row],[Order_ID]])</f>
        <v>1</v>
      </c>
      <c r="O34">
        <f>order_data[[#This Row],[Order_Value]]-order_data[[#This Row],[Discount]]</f>
        <v>678</v>
      </c>
      <c r="P34">
        <f>order_data[[#This Row],[Order_Value]]+order_data[[#This Row],[Delivery_Fee]]-order_data[[#This Row],[Discount]]</f>
        <v>708</v>
      </c>
      <c r="Q34" t="str">
        <f>TEXT(order_data[[#This Row],[Order_Date]],"mmm")</f>
        <v>Feb</v>
      </c>
      <c r="R34">
        <f>MONTH(order_data[[#This Row],[Order_Date]])</f>
        <v>2</v>
      </c>
    </row>
    <row r="35" spans="1:18" x14ac:dyDescent="0.35">
      <c r="A35" t="s">
        <v>138</v>
      </c>
      <c r="B35" t="s">
        <v>136</v>
      </c>
      <c r="C35" t="s">
        <v>139</v>
      </c>
      <c r="D35" t="s">
        <v>16</v>
      </c>
      <c r="E35" t="s">
        <v>17</v>
      </c>
      <c r="F35" t="s">
        <v>18</v>
      </c>
      <c r="G35" t="s">
        <v>35</v>
      </c>
      <c r="H35">
        <v>496</v>
      </c>
      <c r="I35">
        <v>50</v>
      </c>
      <c r="J35">
        <v>50</v>
      </c>
      <c r="K35" t="s">
        <v>36</v>
      </c>
      <c r="L35">
        <v>37</v>
      </c>
      <c r="M35" t="s">
        <v>21</v>
      </c>
      <c r="N35">
        <f>COUNTIF(order_data[Order_ID],order_data[[#This Row],[Order_ID]])</f>
        <v>1</v>
      </c>
      <c r="O35">
        <f>order_data[[#This Row],[Order_Value]]-order_data[[#This Row],[Discount]]</f>
        <v>446</v>
      </c>
      <c r="P35">
        <f>order_data[[#This Row],[Order_Value]]+order_data[[#This Row],[Delivery_Fee]]-order_data[[#This Row],[Discount]]</f>
        <v>496</v>
      </c>
      <c r="Q35" t="str">
        <f>TEXT(order_data[[#This Row],[Order_Date]],"mmm")</f>
        <v>Feb</v>
      </c>
      <c r="R35">
        <f>MONTH(order_data[[#This Row],[Order_Date]])</f>
        <v>2</v>
      </c>
    </row>
    <row r="36" spans="1:18" x14ac:dyDescent="0.35">
      <c r="A36" t="s">
        <v>140</v>
      </c>
      <c r="B36" t="s">
        <v>113</v>
      </c>
      <c r="C36" t="s">
        <v>141</v>
      </c>
      <c r="D36" t="s">
        <v>25</v>
      </c>
      <c r="E36" t="s">
        <v>78</v>
      </c>
      <c r="F36" t="s">
        <v>48</v>
      </c>
      <c r="G36" t="s">
        <v>42</v>
      </c>
      <c r="H36">
        <v>457</v>
      </c>
      <c r="I36">
        <v>30</v>
      </c>
      <c r="J36">
        <v>0</v>
      </c>
      <c r="K36" t="s">
        <v>20</v>
      </c>
      <c r="L36">
        <v>47</v>
      </c>
      <c r="M36" t="s">
        <v>30</v>
      </c>
      <c r="N36">
        <f>COUNTIF(order_data[Order_ID],order_data[[#This Row],[Order_ID]])</f>
        <v>1</v>
      </c>
      <c r="O36">
        <f>order_data[[#This Row],[Order_Value]]-order_data[[#This Row],[Discount]]</f>
        <v>457</v>
      </c>
      <c r="P36">
        <f>order_data[[#This Row],[Order_Value]]+order_data[[#This Row],[Delivery_Fee]]-order_data[[#This Row],[Discount]]</f>
        <v>487</v>
      </c>
      <c r="Q36" t="str">
        <f>TEXT(order_data[[#This Row],[Order_Date]],"mmm")</f>
        <v>Mar</v>
      </c>
      <c r="R36">
        <f>MONTH(order_data[[#This Row],[Order_Date]])</f>
        <v>3</v>
      </c>
    </row>
    <row r="37" spans="1:18" x14ac:dyDescent="0.35">
      <c r="A37" t="s">
        <v>142</v>
      </c>
      <c r="B37" t="s">
        <v>143</v>
      </c>
      <c r="C37" t="s">
        <v>144</v>
      </c>
      <c r="D37" t="s">
        <v>53</v>
      </c>
      <c r="E37" t="s">
        <v>54</v>
      </c>
      <c r="F37" t="s">
        <v>55</v>
      </c>
      <c r="G37" t="s">
        <v>74</v>
      </c>
      <c r="H37">
        <v>672</v>
      </c>
      <c r="I37">
        <v>50</v>
      </c>
      <c r="J37">
        <v>20</v>
      </c>
      <c r="K37" t="s">
        <v>29</v>
      </c>
      <c r="L37">
        <v>31</v>
      </c>
      <c r="M37" t="s">
        <v>21</v>
      </c>
      <c r="N37">
        <f>COUNTIF(order_data[Order_ID],order_data[[#This Row],[Order_ID]])</f>
        <v>1</v>
      </c>
      <c r="O37">
        <f>order_data[[#This Row],[Order_Value]]-order_data[[#This Row],[Discount]]</f>
        <v>652</v>
      </c>
      <c r="P37">
        <f>order_data[[#This Row],[Order_Value]]+order_data[[#This Row],[Delivery_Fee]]-order_data[[#This Row],[Discount]]</f>
        <v>702</v>
      </c>
      <c r="Q37" t="str">
        <f>TEXT(order_data[[#This Row],[Order_Date]],"mmm")</f>
        <v>Feb</v>
      </c>
      <c r="R37">
        <f>MONTH(order_data[[#This Row],[Order_Date]])</f>
        <v>2</v>
      </c>
    </row>
    <row r="38" spans="1:18" x14ac:dyDescent="0.35">
      <c r="A38" t="s">
        <v>145</v>
      </c>
      <c r="B38" t="s">
        <v>146</v>
      </c>
      <c r="C38" t="s">
        <v>147</v>
      </c>
      <c r="D38" t="s">
        <v>46</v>
      </c>
      <c r="E38" t="s">
        <v>148</v>
      </c>
      <c r="F38" t="s">
        <v>27</v>
      </c>
      <c r="G38" t="s">
        <v>35</v>
      </c>
      <c r="H38">
        <v>251</v>
      </c>
      <c r="I38">
        <v>50</v>
      </c>
      <c r="J38">
        <v>30</v>
      </c>
      <c r="K38" t="s">
        <v>36</v>
      </c>
      <c r="L38">
        <v>21</v>
      </c>
      <c r="M38" t="s">
        <v>21</v>
      </c>
      <c r="N38">
        <f>COUNTIF(order_data[Order_ID],order_data[[#This Row],[Order_ID]])</f>
        <v>1</v>
      </c>
      <c r="O38">
        <f>order_data[[#This Row],[Order_Value]]-order_data[[#This Row],[Discount]]</f>
        <v>221</v>
      </c>
      <c r="P38">
        <f>order_data[[#This Row],[Order_Value]]+order_data[[#This Row],[Delivery_Fee]]-order_data[[#This Row],[Discount]]</f>
        <v>271</v>
      </c>
      <c r="Q38" t="str">
        <f>TEXT(order_data[[#This Row],[Order_Date]],"mmm")</f>
        <v>Feb</v>
      </c>
      <c r="R38">
        <f>MONTH(order_data[[#This Row],[Order_Date]])</f>
        <v>2</v>
      </c>
    </row>
    <row r="39" spans="1:18" x14ac:dyDescent="0.35">
      <c r="A39" t="s">
        <v>149</v>
      </c>
      <c r="B39" t="s">
        <v>150</v>
      </c>
      <c r="C39" t="s">
        <v>151</v>
      </c>
      <c r="D39" t="s">
        <v>53</v>
      </c>
      <c r="E39" t="s">
        <v>152</v>
      </c>
      <c r="F39" t="s">
        <v>18</v>
      </c>
      <c r="G39" t="s">
        <v>35</v>
      </c>
      <c r="H39">
        <v>730</v>
      </c>
      <c r="I39">
        <v>40</v>
      </c>
      <c r="J39">
        <v>30</v>
      </c>
      <c r="K39" t="s">
        <v>36</v>
      </c>
      <c r="L39">
        <v>55</v>
      </c>
      <c r="M39" t="s">
        <v>21</v>
      </c>
      <c r="N39">
        <f>COUNTIF(order_data[Order_ID],order_data[[#This Row],[Order_ID]])</f>
        <v>1</v>
      </c>
      <c r="O39">
        <f>order_data[[#This Row],[Order_Value]]-order_data[[#This Row],[Discount]]</f>
        <v>700</v>
      </c>
      <c r="P39">
        <f>order_data[[#This Row],[Order_Value]]+order_data[[#This Row],[Delivery_Fee]]-order_data[[#This Row],[Discount]]</f>
        <v>740</v>
      </c>
      <c r="Q39" t="str">
        <f>TEXT(order_data[[#This Row],[Order_Date]],"mmm")</f>
        <v>Feb</v>
      </c>
      <c r="R39">
        <f>MONTH(order_data[[#This Row],[Order_Date]])</f>
        <v>2</v>
      </c>
    </row>
    <row r="40" spans="1:18" x14ac:dyDescent="0.35">
      <c r="A40" t="s">
        <v>153</v>
      </c>
      <c r="B40" t="s">
        <v>154</v>
      </c>
      <c r="C40" t="s">
        <v>155</v>
      </c>
      <c r="D40" t="s">
        <v>46</v>
      </c>
      <c r="E40" t="s">
        <v>70</v>
      </c>
      <c r="F40" t="s">
        <v>18</v>
      </c>
      <c r="G40" t="s">
        <v>49</v>
      </c>
      <c r="H40">
        <v>726</v>
      </c>
      <c r="I40">
        <v>50</v>
      </c>
      <c r="J40">
        <v>30</v>
      </c>
      <c r="K40" t="s">
        <v>29</v>
      </c>
      <c r="L40">
        <v>28</v>
      </c>
      <c r="M40" t="s">
        <v>21</v>
      </c>
      <c r="N40">
        <f>COUNTIF(order_data[Order_ID],order_data[[#This Row],[Order_ID]])</f>
        <v>1</v>
      </c>
      <c r="O40">
        <f>order_data[[#This Row],[Order_Value]]-order_data[[#This Row],[Discount]]</f>
        <v>696</v>
      </c>
      <c r="P40">
        <f>order_data[[#This Row],[Order_Value]]+order_data[[#This Row],[Delivery_Fee]]-order_data[[#This Row],[Discount]]</f>
        <v>746</v>
      </c>
      <c r="Q40" t="str">
        <f>TEXT(order_data[[#This Row],[Order_Date]],"mmm")</f>
        <v>Jan</v>
      </c>
      <c r="R40">
        <f>MONTH(order_data[[#This Row],[Order_Date]])</f>
        <v>1</v>
      </c>
    </row>
    <row r="41" spans="1:18" x14ac:dyDescent="0.35">
      <c r="A41" t="s">
        <v>156</v>
      </c>
      <c r="B41" t="s">
        <v>109</v>
      </c>
      <c r="C41" t="s">
        <v>157</v>
      </c>
      <c r="D41" t="s">
        <v>46</v>
      </c>
      <c r="E41" t="s">
        <v>70</v>
      </c>
      <c r="F41" t="s">
        <v>18</v>
      </c>
      <c r="G41" t="s">
        <v>59</v>
      </c>
      <c r="H41">
        <v>418</v>
      </c>
      <c r="I41">
        <v>40</v>
      </c>
      <c r="J41">
        <v>50</v>
      </c>
      <c r="K41" t="s">
        <v>36</v>
      </c>
      <c r="L41">
        <v>47</v>
      </c>
      <c r="M41" t="s">
        <v>21</v>
      </c>
      <c r="N41">
        <f>COUNTIF(order_data[Order_ID],order_data[[#This Row],[Order_ID]])</f>
        <v>1</v>
      </c>
      <c r="O41">
        <f>order_data[[#This Row],[Order_Value]]-order_data[[#This Row],[Discount]]</f>
        <v>368</v>
      </c>
      <c r="P41">
        <f>order_data[[#This Row],[Order_Value]]+order_data[[#This Row],[Delivery_Fee]]-order_data[[#This Row],[Discount]]</f>
        <v>408</v>
      </c>
      <c r="Q41" t="str">
        <f>TEXT(order_data[[#This Row],[Order_Date]],"mmm")</f>
        <v>Jan</v>
      </c>
      <c r="R41">
        <f>MONTH(order_data[[#This Row],[Order_Date]])</f>
        <v>1</v>
      </c>
    </row>
    <row r="42" spans="1:18" x14ac:dyDescent="0.35">
      <c r="A42" t="s">
        <v>158</v>
      </c>
      <c r="B42" t="s">
        <v>38</v>
      </c>
      <c r="C42" t="s">
        <v>159</v>
      </c>
      <c r="D42" t="s">
        <v>16</v>
      </c>
      <c r="E42" t="s">
        <v>17</v>
      </c>
      <c r="F42" t="s">
        <v>18</v>
      </c>
      <c r="G42" t="s">
        <v>49</v>
      </c>
      <c r="H42">
        <v>496</v>
      </c>
      <c r="I42">
        <v>50</v>
      </c>
      <c r="J42">
        <v>20</v>
      </c>
      <c r="K42" t="s">
        <v>36</v>
      </c>
      <c r="L42">
        <v>57</v>
      </c>
      <c r="M42" t="s">
        <v>21</v>
      </c>
      <c r="N42">
        <f>COUNTIF(order_data[Order_ID],order_data[[#This Row],[Order_ID]])</f>
        <v>1</v>
      </c>
      <c r="O42">
        <f>order_data[[#This Row],[Order_Value]]-order_data[[#This Row],[Discount]]</f>
        <v>476</v>
      </c>
      <c r="P42">
        <f>order_data[[#This Row],[Order_Value]]+order_data[[#This Row],[Delivery_Fee]]-order_data[[#This Row],[Discount]]</f>
        <v>526</v>
      </c>
      <c r="Q42" t="str">
        <f>TEXT(order_data[[#This Row],[Order_Date]],"mmm")</f>
        <v>Jan</v>
      </c>
      <c r="R42">
        <f>MONTH(order_data[[#This Row],[Order_Date]])</f>
        <v>1</v>
      </c>
    </row>
    <row r="43" spans="1:18" x14ac:dyDescent="0.35">
      <c r="A43" t="s">
        <v>160</v>
      </c>
      <c r="B43" t="s">
        <v>154</v>
      </c>
      <c r="C43" t="s">
        <v>161</v>
      </c>
      <c r="D43" t="s">
        <v>40</v>
      </c>
      <c r="E43" t="s">
        <v>67</v>
      </c>
      <c r="F43" t="s">
        <v>48</v>
      </c>
      <c r="G43" t="s">
        <v>49</v>
      </c>
      <c r="H43">
        <v>237</v>
      </c>
      <c r="I43">
        <v>50</v>
      </c>
      <c r="J43">
        <v>30</v>
      </c>
      <c r="K43" t="s">
        <v>29</v>
      </c>
      <c r="L43">
        <v>46</v>
      </c>
      <c r="M43" t="s">
        <v>21</v>
      </c>
      <c r="N43">
        <f>COUNTIF(order_data[Order_ID],order_data[[#This Row],[Order_ID]])</f>
        <v>1</v>
      </c>
      <c r="O43">
        <f>order_data[[#This Row],[Order_Value]]-order_data[[#This Row],[Discount]]</f>
        <v>207</v>
      </c>
      <c r="P43">
        <f>order_data[[#This Row],[Order_Value]]+order_data[[#This Row],[Delivery_Fee]]-order_data[[#This Row],[Discount]]</f>
        <v>257</v>
      </c>
      <c r="Q43" t="str">
        <f>TEXT(order_data[[#This Row],[Order_Date]],"mmm")</f>
        <v>Jan</v>
      </c>
      <c r="R43">
        <f>MONTH(order_data[[#This Row],[Order_Date]])</f>
        <v>1</v>
      </c>
    </row>
    <row r="44" spans="1:18" x14ac:dyDescent="0.35">
      <c r="A44" t="s">
        <v>162</v>
      </c>
      <c r="B44" t="s">
        <v>154</v>
      </c>
      <c r="C44" t="s">
        <v>163</v>
      </c>
      <c r="D44" t="s">
        <v>46</v>
      </c>
      <c r="E44" t="s">
        <v>47</v>
      </c>
      <c r="F44" t="s">
        <v>48</v>
      </c>
      <c r="G44" t="s">
        <v>63</v>
      </c>
      <c r="H44">
        <v>551</v>
      </c>
      <c r="I44">
        <v>30</v>
      </c>
      <c r="J44">
        <v>0</v>
      </c>
      <c r="K44" t="s">
        <v>20</v>
      </c>
      <c r="L44">
        <v>51</v>
      </c>
      <c r="M44" t="s">
        <v>21</v>
      </c>
      <c r="N44">
        <f>COUNTIF(order_data[Order_ID],order_data[[#This Row],[Order_ID]])</f>
        <v>1</v>
      </c>
      <c r="O44">
        <f>order_data[[#This Row],[Order_Value]]-order_data[[#This Row],[Discount]]</f>
        <v>551</v>
      </c>
      <c r="P44">
        <f>order_data[[#This Row],[Order_Value]]+order_data[[#This Row],[Delivery_Fee]]-order_data[[#This Row],[Discount]]</f>
        <v>581</v>
      </c>
      <c r="Q44" t="str">
        <f>TEXT(order_data[[#This Row],[Order_Date]],"mmm")</f>
        <v>Jan</v>
      </c>
      <c r="R44">
        <f>MONTH(order_data[[#This Row],[Order_Date]])</f>
        <v>1</v>
      </c>
    </row>
    <row r="45" spans="1:18" x14ac:dyDescent="0.35">
      <c r="A45" t="s">
        <v>164</v>
      </c>
      <c r="B45" t="s">
        <v>126</v>
      </c>
      <c r="C45" t="s">
        <v>165</v>
      </c>
      <c r="D45" t="s">
        <v>16</v>
      </c>
      <c r="E45" t="s">
        <v>17</v>
      </c>
      <c r="F45" t="s">
        <v>18</v>
      </c>
      <c r="G45" t="s">
        <v>35</v>
      </c>
      <c r="H45">
        <v>671</v>
      </c>
      <c r="I45">
        <v>40</v>
      </c>
      <c r="J45">
        <v>50</v>
      </c>
      <c r="K45" t="s">
        <v>20</v>
      </c>
      <c r="L45">
        <v>43</v>
      </c>
      <c r="M45" t="s">
        <v>21</v>
      </c>
      <c r="N45">
        <f>COUNTIF(order_data[Order_ID],order_data[[#This Row],[Order_ID]])</f>
        <v>1</v>
      </c>
      <c r="O45">
        <f>order_data[[#This Row],[Order_Value]]-order_data[[#This Row],[Discount]]</f>
        <v>621</v>
      </c>
      <c r="P45">
        <f>order_data[[#This Row],[Order_Value]]+order_data[[#This Row],[Delivery_Fee]]-order_data[[#This Row],[Discount]]</f>
        <v>661</v>
      </c>
      <c r="Q45" t="str">
        <f>TEXT(order_data[[#This Row],[Order_Date]],"mmm")</f>
        <v>Mar</v>
      </c>
      <c r="R45">
        <f>MONTH(order_data[[#This Row],[Order_Date]])</f>
        <v>3</v>
      </c>
    </row>
    <row r="46" spans="1:18" x14ac:dyDescent="0.35">
      <c r="A46" t="s">
        <v>166</v>
      </c>
      <c r="B46" t="s">
        <v>167</v>
      </c>
      <c r="C46" t="s">
        <v>168</v>
      </c>
      <c r="D46" t="s">
        <v>25</v>
      </c>
      <c r="E46" t="s">
        <v>34</v>
      </c>
      <c r="F46" t="s">
        <v>27</v>
      </c>
      <c r="G46" t="s">
        <v>74</v>
      </c>
      <c r="H46">
        <v>710</v>
      </c>
      <c r="I46">
        <v>50</v>
      </c>
      <c r="J46">
        <v>0</v>
      </c>
      <c r="K46" t="s">
        <v>29</v>
      </c>
      <c r="L46">
        <v>47</v>
      </c>
      <c r="M46" t="s">
        <v>21</v>
      </c>
      <c r="N46">
        <f>COUNTIF(order_data[Order_ID],order_data[[#This Row],[Order_ID]])</f>
        <v>1</v>
      </c>
      <c r="O46">
        <f>order_data[[#This Row],[Order_Value]]-order_data[[#This Row],[Discount]]</f>
        <v>710</v>
      </c>
      <c r="P46">
        <f>order_data[[#This Row],[Order_Value]]+order_data[[#This Row],[Delivery_Fee]]-order_data[[#This Row],[Discount]]</f>
        <v>760</v>
      </c>
      <c r="Q46" t="str">
        <f>TEXT(order_data[[#This Row],[Order_Date]],"mmm")</f>
        <v>Feb</v>
      </c>
      <c r="R46">
        <f>MONTH(order_data[[#This Row],[Order_Date]])</f>
        <v>2</v>
      </c>
    </row>
    <row r="47" spans="1:18" x14ac:dyDescent="0.35">
      <c r="A47" t="s">
        <v>169</v>
      </c>
      <c r="B47" t="s">
        <v>133</v>
      </c>
      <c r="C47" t="s">
        <v>170</v>
      </c>
      <c r="D47" t="s">
        <v>46</v>
      </c>
      <c r="E47" t="s">
        <v>70</v>
      </c>
      <c r="F47" t="s">
        <v>18</v>
      </c>
      <c r="G47" t="s">
        <v>49</v>
      </c>
      <c r="H47">
        <v>691</v>
      </c>
      <c r="I47">
        <v>40</v>
      </c>
      <c r="J47">
        <v>30</v>
      </c>
      <c r="K47" t="s">
        <v>29</v>
      </c>
      <c r="L47">
        <v>31</v>
      </c>
      <c r="M47" t="s">
        <v>21</v>
      </c>
      <c r="N47">
        <f>COUNTIF(order_data[Order_ID],order_data[[#This Row],[Order_ID]])</f>
        <v>1</v>
      </c>
      <c r="O47">
        <f>order_data[[#This Row],[Order_Value]]-order_data[[#This Row],[Discount]]</f>
        <v>661</v>
      </c>
      <c r="P47">
        <f>order_data[[#This Row],[Order_Value]]+order_data[[#This Row],[Delivery_Fee]]-order_data[[#This Row],[Discount]]</f>
        <v>701</v>
      </c>
      <c r="Q47" t="str">
        <f>TEXT(order_data[[#This Row],[Order_Date]],"mmm")</f>
        <v>Mar</v>
      </c>
      <c r="R47">
        <f>MONTH(order_data[[#This Row],[Order_Date]])</f>
        <v>3</v>
      </c>
    </row>
    <row r="48" spans="1:18" x14ac:dyDescent="0.35">
      <c r="A48" t="s">
        <v>171</v>
      </c>
      <c r="B48" t="s">
        <v>44</v>
      </c>
      <c r="C48" t="s">
        <v>172</v>
      </c>
      <c r="D48" t="s">
        <v>53</v>
      </c>
      <c r="E48" t="s">
        <v>54</v>
      </c>
      <c r="F48" t="s">
        <v>55</v>
      </c>
      <c r="G48" t="s">
        <v>49</v>
      </c>
      <c r="H48">
        <v>768</v>
      </c>
      <c r="I48">
        <v>20</v>
      </c>
      <c r="J48">
        <v>30</v>
      </c>
      <c r="K48" t="s">
        <v>36</v>
      </c>
      <c r="L48">
        <v>47</v>
      </c>
      <c r="M48" t="s">
        <v>21</v>
      </c>
      <c r="N48">
        <f>COUNTIF(order_data[Order_ID],order_data[[#This Row],[Order_ID]])</f>
        <v>1</v>
      </c>
      <c r="O48">
        <f>order_data[[#This Row],[Order_Value]]-order_data[[#This Row],[Discount]]</f>
        <v>738</v>
      </c>
      <c r="P48">
        <f>order_data[[#This Row],[Order_Value]]+order_data[[#This Row],[Delivery_Fee]]-order_data[[#This Row],[Discount]]</f>
        <v>758</v>
      </c>
      <c r="Q48" t="str">
        <f>TEXT(order_data[[#This Row],[Order_Date]],"mmm")</f>
        <v>Jan</v>
      </c>
      <c r="R48">
        <f>MONTH(order_data[[#This Row],[Order_Date]])</f>
        <v>1</v>
      </c>
    </row>
    <row r="49" spans="1:18" x14ac:dyDescent="0.35">
      <c r="A49" t="s">
        <v>173</v>
      </c>
      <c r="B49" t="s">
        <v>174</v>
      </c>
      <c r="C49" t="s">
        <v>175</v>
      </c>
      <c r="D49" t="s">
        <v>25</v>
      </c>
      <c r="E49" t="s">
        <v>26</v>
      </c>
      <c r="F49" t="s">
        <v>27</v>
      </c>
      <c r="G49" t="s">
        <v>176</v>
      </c>
      <c r="H49">
        <v>794</v>
      </c>
      <c r="I49">
        <v>50</v>
      </c>
      <c r="J49">
        <v>50</v>
      </c>
      <c r="K49" t="s">
        <v>29</v>
      </c>
      <c r="L49">
        <v>27</v>
      </c>
      <c r="M49" t="s">
        <v>21</v>
      </c>
      <c r="N49">
        <f>COUNTIF(order_data[Order_ID],order_data[[#This Row],[Order_ID]])</f>
        <v>1</v>
      </c>
      <c r="O49">
        <f>order_data[[#This Row],[Order_Value]]-order_data[[#This Row],[Discount]]</f>
        <v>744</v>
      </c>
      <c r="P49">
        <f>order_data[[#This Row],[Order_Value]]+order_data[[#This Row],[Delivery_Fee]]-order_data[[#This Row],[Discount]]</f>
        <v>794</v>
      </c>
      <c r="Q49" t="str">
        <f>TEXT(order_data[[#This Row],[Order_Date]],"mmm")</f>
        <v>Feb</v>
      </c>
      <c r="R49">
        <f>MONTH(order_data[[#This Row],[Order_Date]])</f>
        <v>2</v>
      </c>
    </row>
    <row r="50" spans="1:18" x14ac:dyDescent="0.35">
      <c r="A50" t="s">
        <v>177</v>
      </c>
      <c r="B50" t="s">
        <v>178</v>
      </c>
      <c r="C50" t="s">
        <v>179</v>
      </c>
      <c r="D50" t="s">
        <v>16</v>
      </c>
      <c r="E50" t="s">
        <v>17</v>
      </c>
      <c r="F50" t="s">
        <v>18</v>
      </c>
      <c r="G50" t="s">
        <v>63</v>
      </c>
      <c r="H50">
        <v>510</v>
      </c>
      <c r="I50">
        <v>50</v>
      </c>
      <c r="J50">
        <v>100</v>
      </c>
      <c r="K50" t="s">
        <v>20</v>
      </c>
      <c r="L50">
        <v>22</v>
      </c>
      <c r="M50" t="s">
        <v>21</v>
      </c>
      <c r="N50">
        <f>COUNTIF(order_data[Order_ID],order_data[[#This Row],[Order_ID]])</f>
        <v>1</v>
      </c>
      <c r="O50">
        <f>order_data[[#This Row],[Order_Value]]-order_data[[#This Row],[Discount]]</f>
        <v>410</v>
      </c>
      <c r="P50">
        <f>order_data[[#This Row],[Order_Value]]+order_data[[#This Row],[Delivery_Fee]]-order_data[[#This Row],[Discount]]</f>
        <v>460</v>
      </c>
      <c r="Q50" t="str">
        <f>TEXT(order_data[[#This Row],[Order_Date]],"mmm")</f>
        <v>Feb</v>
      </c>
      <c r="R50">
        <f>MONTH(order_data[[#This Row],[Order_Date]])</f>
        <v>2</v>
      </c>
    </row>
    <row r="51" spans="1:18" x14ac:dyDescent="0.35">
      <c r="A51" t="s">
        <v>180</v>
      </c>
      <c r="B51" t="s">
        <v>181</v>
      </c>
      <c r="C51" t="s">
        <v>182</v>
      </c>
      <c r="D51" t="s">
        <v>16</v>
      </c>
      <c r="E51" t="s">
        <v>131</v>
      </c>
      <c r="F51" t="s">
        <v>55</v>
      </c>
      <c r="G51" t="s">
        <v>19</v>
      </c>
      <c r="H51">
        <v>745</v>
      </c>
      <c r="I51">
        <v>20</v>
      </c>
      <c r="J51">
        <v>100</v>
      </c>
      <c r="K51" t="s">
        <v>20</v>
      </c>
      <c r="L51">
        <v>51</v>
      </c>
      <c r="M51" t="s">
        <v>21</v>
      </c>
      <c r="N51">
        <f>COUNTIF(order_data[Order_ID],order_data[[#This Row],[Order_ID]])</f>
        <v>1</v>
      </c>
      <c r="O51">
        <f>order_data[[#This Row],[Order_Value]]-order_data[[#This Row],[Discount]]</f>
        <v>645</v>
      </c>
      <c r="P51">
        <f>order_data[[#This Row],[Order_Value]]+order_data[[#This Row],[Delivery_Fee]]-order_data[[#This Row],[Discount]]</f>
        <v>665</v>
      </c>
      <c r="Q51" t="str">
        <f>TEXT(order_data[[#This Row],[Order_Date]],"mmm")</f>
        <v>Feb</v>
      </c>
      <c r="R51">
        <f>MONTH(order_data[[#This Row],[Order_Date]])</f>
        <v>2</v>
      </c>
    </row>
    <row r="52" spans="1:18" x14ac:dyDescent="0.35">
      <c r="A52" t="s">
        <v>183</v>
      </c>
      <c r="B52" t="s">
        <v>136</v>
      </c>
      <c r="C52" t="s">
        <v>184</v>
      </c>
      <c r="D52" t="s">
        <v>53</v>
      </c>
      <c r="E52" t="s">
        <v>54</v>
      </c>
      <c r="F52" t="s">
        <v>55</v>
      </c>
      <c r="G52" t="s">
        <v>74</v>
      </c>
      <c r="H52">
        <v>664</v>
      </c>
      <c r="I52">
        <v>50</v>
      </c>
      <c r="J52">
        <v>30</v>
      </c>
      <c r="K52" t="s">
        <v>36</v>
      </c>
      <c r="L52">
        <v>20</v>
      </c>
      <c r="M52" t="s">
        <v>21</v>
      </c>
      <c r="N52">
        <f>COUNTIF(order_data[Order_ID],order_data[[#This Row],[Order_ID]])</f>
        <v>1</v>
      </c>
      <c r="O52">
        <f>order_data[[#This Row],[Order_Value]]-order_data[[#This Row],[Discount]]</f>
        <v>634</v>
      </c>
      <c r="P52">
        <f>order_data[[#This Row],[Order_Value]]+order_data[[#This Row],[Delivery_Fee]]-order_data[[#This Row],[Discount]]</f>
        <v>684</v>
      </c>
      <c r="Q52" t="str">
        <f>TEXT(order_data[[#This Row],[Order_Date]],"mmm")</f>
        <v>Feb</v>
      </c>
      <c r="R52">
        <f>MONTH(order_data[[#This Row],[Order_Date]])</f>
        <v>2</v>
      </c>
    </row>
    <row r="53" spans="1:18" x14ac:dyDescent="0.35">
      <c r="A53" t="s">
        <v>185</v>
      </c>
      <c r="B53" t="s">
        <v>186</v>
      </c>
      <c r="C53" t="s">
        <v>187</v>
      </c>
      <c r="D53" t="s">
        <v>46</v>
      </c>
      <c r="E53" t="s">
        <v>70</v>
      </c>
      <c r="F53" t="s">
        <v>18</v>
      </c>
      <c r="G53" t="s">
        <v>74</v>
      </c>
      <c r="H53">
        <v>406</v>
      </c>
      <c r="I53">
        <v>40</v>
      </c>
      <c r="J53">
        <v>100</v>
      </c>
      <c r="K53" t="s">
        <v>29</v>
      </c>
      <c r="L53">
        <v>37</v>
      </c>
      <c r="M53" t="s">
        <v>21</v>
      </c>
      <c r="N53">
        <f>COUNTIF(order_data[Order_ID],order_data[[#This Row],[Order_ID]])</f>
        <v>1</v>
      </c>
      <c r="O53">
        <f>order_data[[#This Row],[Order_Value]]-order_data[[#This Row],[Discount]]</f>
        <v>306</v>
      </c>
      <c r="P53">
        <f>order_data[[#This Row],[Order_Value]]+order_data[[#This Row],[Delivery_Fee]]-order_data[[#This Row],[Discount]]</f>
        <v>346</v>
      </c>
      <c r="Q53" t="str">
        <f>TEXT(order_data[[#This Row],[Order_Date]],"mmm")</f>
        <v>Mar</v>
      </c>
      <c r="R53">
        <f>MONTH(order_data[[#This Row],[Order_Date]])</f>
        <v>3</v>
      </c>
    </row>
    <row r="54" spans="1:18" x14ac:dyDescent="0.35">
      <c r="A54" t="s">
        <v>188</v>
      </c>
      <c r="B54" t="s">
        <v>189</v>
      </c>
      <c r="C54" t="s">
        <v>190</v>
      </c>
      <c r="D54" t="s">
        <v>25</v>
      </c>
      <c r="E54" t="s">
        <v>78</v>
      </c>
      <c r="F54" t="s">
        <v>48</v>
      </c>
      <c r="G54" t="s">
        <v>63</v>
      </c>
      <c r="H54">
        <v>694</v>
      </c>
      <c r="I54">
        <v>40</v>
      </c>
      <c r="J54">
        <v>20</v>
      </c>
      <c r="K54" t="s">
        <v>20</v>
      </c>
      <c r="L54">
        <v>32</v>
      </c>
      <c r="M54" t="s">
        <v>21</v>
      </c>
      <c r="N54">
        <f>COUNTIF(order_data[Order_ID],order_data[[#This Row],[Order_ID]])</f>
        <v>1</v>
      </c>
      <c r="O54">
        <f>order_data[[#This Row],[Order_Value]]-order_data[[#This Row],[Discount]]</f>
        <v>674</v>
      </c>
      <c r="P54">
        <f>order_data[[#This Row],[Order_Value]]+order_data[[#This Row],[Delivery_Fee]]-order_data[[#This Row],[Discount]]</f>
        <v>714</v>
      </c>
      <c r="Q54" t="str">
        <f>TEXT(order_data[[#This Row],[Order_Date]],"mmm")</f>
        <v>Feb</v>
      </c>
      <c r="R54">
        <f>MONTH(order_data[[#This Row],[Order_Date]])</f>
        <v>2</v>
      </c>
    </row>
    <row r="55" spans="1:18" x14ac:dyDescent="0.35">
      <c r="A55" t="s">
        <v>191</v>
      </c>
      <c r="B55" t="s">
        <v>192</v>
      </c>
      <c r="C55" t="s">
        <v>193</v>
      </c>
      <c r="D55" t="s">
        <v>40</v>
      </c>
      <c r="E55" t="s">
        <v>67</v>
      </c>
      <c r="F55" t="s">
        <v>48</v>
      </c>
      <c r="G55" t="s">
        <v>49</v>
      </c>
      <c r="H55">
        <v>412</v>
      </c>
      <c r="I55">
        <v>40</v>
      </c>
      <c r="J55">
        <v>20</v>
      </c>
      <c r="K55" t="s">
        <v>20</v>
      </c>
      <c r="L55">
        <v>24</v>
      </c>
      <c r="M55" t="s">
        <v>21</v>
      </c>
      <c r="N55">
        <f>COUNTIF(order_data[Order_ID],order_data[[#This Row],[Order_ID]])</f>
        <v>1</v>
      </c>
      <c r="O55">
        <f>order_data[[#This Row],[Order_Value]]-order_data[[#This Row],[Discount]]</f>
        <v>392</v>
      </c>
      <c r="P55">
        <f>order_data[[#This Row],[Order_Value]]+order_data[[#This Row],[Delivery_Fee]]-order_data[[#This Row],[Discount]]</f>
        <v>432</v>
      </c>
      <c r="Q55" t="str">
        <f>TEXT(order_data[[#This Row],[Order_Date]],"mmm")</f>
        <v>Mar</v>
      </c>
      <c r="R55">
        <f>MONTH(order_data[[#This Row],[Order_Date]])</f>
        <v>3</v>
      </c>
    </row>
    <row r="56" spans="1:18" x14ac:dyDescent="0.35">
      <c r="A56" t="s">
        <v>194</v>
      </c>
      <c r="B56" t="s">
        <v>76</v>
      </c>
      <c r="C56" t="s">
        <v>195</v>
      </c>
      <c r="D56" t="s">
        <v>46</v>
      </c>
      <c r="E56" t="s">
        <v>148</v>
      </c>
      <c r="F56" t="s">
        <v>27</v>
      </c>
      <c r="G56" t="s">
        <v>176</v>
      </c>
      <c r="H56">
        <v>796</v>
      </c>
      <c r="I56">
        <v>40</v>
      </c>
      <c r="J56">
        <v>20</v>
      </c>
      <c r="K56" t="s">
        <v>29</v>
      </c>
      <c r="L56">
        <v>51</v>
      </c>
      <c r="M56" t="s">
        <v>21</v>
      </c>
      <c r="N56">
        <f>COUNTIF(order_data[Order_ID],order_data[[#This Row],[Order_ID]])</f>
        <v>1</v>
      </c>
      <c r="O56">
        <f>order_data[[#This Row],[Order_Value]]-order_data[[#This Row],[Discount]]</f>
        <v>776</v>
      </c>
      <c r="P56">
        <f>order_data[[#This Row],[Order_Value]]+order_data[[#This Row],[Delivery_Fee]]-order_data[[#This Row],[Discount]]</f>
        <v>816</v>
      </c>
      <c r="Q56" t="str">
        <f>TEXT(order_data[[#This Row],[Order_Date]],"mmm")</f>
        <v>Feb</v>
      </c>
      <c r="R56">
        <f>MONTH(order_data[[#This Row],[Order_Date]])</f>
        <v>2</v>
      </c>
    </row>
    <row r="57" spans="1:18" x14ac:dyDescent="0.35">
      <c r="A57" t="s">
        <v>196</v>
      </c>
      <c r="B57" t="s">
        <v>136</v>
      </c>
      <c r="C57" t="s">
        <v>197</v>
      </c>
      <c r="D57" t="s">
        <v>16</v>
      </c>
      <c r="E57" t="s">
        <v>17</v>
      </c>
      <c r="F57" t="s">
        <v>18</v>
      </c>
      <c r="G57" t="s">
        <v>107</v>
      </c>
      <c r="H57">
        <v>787</v>
      </c>
      <c r="I57">
        <v>40</v>
      </c>
      <c r="J57">
        <v>20</v>
      </c>
      <c r="K57" t="s">
        <v>20</v>
      </c>
      <c r="L57">
        <v>60</v>
      </c>
      <c r="M57" t="s">
        <v>21</v>
      </c>
      <c r="N57">
        <f>COUNTIF(order_data[Order_ID],order_data[[#This Row],[Order_ID]])</f>
        <v>1</v>
      </c>
      <c r="O57">
        <f>order_data[[#This Row],[Order_Value]]-order_data[[#This Row],[Discount]]</f>
        <v>767</v>
      </c>
      <c r="P57">
        <f>order_data[[#This Row],[Order_Value]]+order_data[[#This Row],[Delivery_Fee]]-order_data[[#This Row],[Discount]]</f>
        <v>807</v>
      </c>
      <c r="Q57" t="str">
        <f>TEXT(order_data[[#This Row],[Order_Date]],"mmm")</f>
        <v>Feb</v>
      </c>
      <c r="R57">
        <f>MONTH(order_data[[#This Row],[Order_Date]])</f>
        <v>2</v>
      </c>
    </row>
    <row r="58" spans="1:18" x14ac:dyDescent="0.35">
      <c r="A58" t="s">
        <v>198</v>
      </c>
      <c r="B58" t="s">
        <v>199</v>
      </c>
      <c r="C58" t="s">
        <v>200</v>
      </c>
      <c r="D58" t="s">
        <v>46</v>
      </c>
      <c r="E58" t="s">
        <v>47</v>
      </c>
      <c r="F58" t="s">
        <v>48</v>
      </c>
      <c r="G58" t="s">
        <v>59</v>
      </c>
      <c r="H58">
        <v>726</v>
      </c>
      <c r="I58">
        <v>20</v>
      </c>
      <c r="J58">
        <v>100</v>
      </c>
      <c r="K58" t="s">
        <v>20</v>
      </c>
      <c r="L58">
        <v>43</v>
      </c>
      <c r="M58" t="s">
        <v>21</v>
      </c>
      <c r="N58">
        <f>COUNTIF(order_data[Order_ID],order_data[[#This Row],[Order_ID]])</f>
        <v>1</v>
      </c>
      <c r="O58">
        <f>order_data[[#This Row],[Order_Value]]-order_data[[#This Row],[Discount]]</f>
        <v>626</v>
      </c>
      <c r="P58">
        <f>order_data[[#This Row],[Order_Value]]+order_data[[#This Row],[Delivery_Fee]]-order_data[[#This Row],[Discount]]</f>
        <v>646</v>
      </c>
      <c r="Q58" t="str">
        <f>TEXT(order_data[[#This Row],[Order_Date]],"mmm")</f>
        <v>Jan</v>
      </c>
      <c r="R58">
        <f>MONTH(order_data[[#This Row],[Order_Date]])</f>
        <v>1</v>
      </c>
    </row>
    <row r="59" spans="1:18" x14ac:dyDescent="0.35">
      <c r="A59" t="s">
        <v>201</v>
      </c>
      <c r="B59" t="s">
        <v>146</v>
      </c>
      <c r="C59" t="s">
        <v>119</v>
      </c>
      <c r="D59" t="s">
        <v>25</v>
      </c>
      <c r="E59" t="s">
        <v>78</v>
      </c>
      <c r="F59" t="s">
        <v>48</v>
      </c>
      <c r="G59" t="s">
        <v>63</v>
      </c>
      <c r="H59">
        <v>586</v>
      </c>
      <c r="I59">
        <v>30</v>
      </c>
      <c r="J59">
        <v>30</v>
      </c>
      <c r="K59" t="s">
        <v>36</v>
      </c>
      <c r="L59">
        <v>46</v>
      </c>
      <c r="M59" t="s">
        <v>21</v>
      </c>
      <c r="N59">
        <f>COUNTIF(order_data[Order_ID],order_data[[#This Row],[Order_ID]])</f>
        <v>1</v>
      </c>
      <c r="O59">
        <f>order_data[[#This Row],[Order_Value]]-order_data[[#This Row],[Discount]]</f>
        <v>556</v>
      </c>
      <c r="P59">
        <f>order_data[[#This Row],[Order_Value]]+order_data[[#This Row],[Delivery_Fee]]-order_data[[#This Row],[Discount]]</f>
        <v>586</v>
      </c>
      <c r="Q59" t="str">
        <f>TEXT(order_data[[#This Row],[Order_Date]],"mmm")</f>
        <v>Feb</v>
      </c>
      <c r="R59">
        <f>MONTH(order_data[[#This Row],[Order_Date]])</f>
        <v>2</v>
      </c>
    </row>
    <row r="60" spans="1:18" x14ac:dyDescent="0.35">
      <c r="A60" t="s">
        <v>202</v>
      </c>
      <c r="B60" t="s">
        <v>186</v>
      </c>
      <c r="C60" t="s">
        <v>203</v>
      </c>
      <c r="D60" t="s">
        <v>16</v>
      </c>
      <c r="E60" t="s">
        <v>89</v>
      </c>
      <c r="F60" t="s">
        <v>18</v>
      </c>
      <c r="G60" t="s">
        <v>107</v>
      </c>
      <c r="H60">
        <v>456</v>
      </c>
      <c r="I60">
        <v>20</v>
      </c>
      <c r="J60">
        <v>50</v>
      </c>
      <c r="K60" t="s">
        <v>29</v>
      </c>
      <c r="L60">
        <v>38</v>
      </c>
      <c r="M60" t="s">
        <v>21</v>
      </c>
      <c r="N60">
        <f>COUNTIF(order_data[Order_ID],order_data[[#This Row],[Order_ID]])</f>
        <v>1</v>
      </c>
      <c r="O60">
        <f>order_data[[#This Row],[Order_Value]]-order_data[[#This Row],[Discount]]</f>
        <v>406</v>
      </c>
      <c r="P60">
        <f>order_data[[#This Row],[Order_Value]]+order_data[[#This Row],[Delivery_Fee]]-order_data[[#This Row],[Discount]]</f>
        <v>426</v>
      </c>
      <c r="Q60" t="str">
        <f>TEXT(order_data[[#This Row],[Order_Date]],"mmm")</f>
        <v>Mar</v>
      </c>
      <c r="R60">
        <f>MONTH(order_data[[#This Row],[Order_Date]])</f>
        <v>3</v>
      </c>
    </row>
    <row r="61" spans="1:18" x14ac:dyDescent="0.35">
      <c r="A61" t="s">
        <v>204</v>
      </c>
      <c r="B61" t="s">
        <v>205</v>
      </c>
      <c r="C61" t="s">
        <v>24</v>
      </c>
      <c r="D61" t="s">
        <v>16</v>
      </c>
      <c r="E61" t="s">
        <v>17</v>
      </c>
      <c r="F61" t="s">
        <v>18</v>
      </c>
      <c r="G61" t="s">
        <v>107</v>
      </c>
      <c r="H61">
        <v>386</v>
      </c>
      <c r="I61">
        <v>40</v>
      </c>
      <c r="J61">
        <v>30</v>
      </c>
      <c r="K61" t="s">
        <v>29</v>
      </c>
      <c r="L61">
        <v>22</v>
      </c>
      <c r="M61" t="s">
        <v>21</v>
      </c>
      <c r="N61">
        <f>COUNTIF(order_data[Order_ID],order_data[[#This Row],[Order_ID]])</f>
        <v>1</v>
      </c>
      <c r="O61">
        <f>order_data[[#This Row],[Order_Value]]-order_data[[#This Row],[Discount]]</f>
        <v>356</v>
      </c>
      <c r="P61">
        <f>order_data[[#This Row],[Order_Value]]+order_data[[#This Row],[Delivery_Fee]]-order_data[[#This Row],[Discount]]</f>
        <v>396</v>
      </c>
      <c r="Q61" t="str">
        <f>TEXT(order_data[[#This Row],[Order_Date]],"mmm")</f>
        <v>Jan</v>
      </c>
      <c r="R61">
        <f>MONTH(order_data[[#This Row],[Order_Date]])</f>
        <v>1</v>
      </c>
    </row>
    <row r="62" spans="1:18" x14ac:dyDescent="0.35">
      <c r="A62" t="s">
        <v>206</v>
      </c>
      <c r="B62" t="s">
        <v>207</v>
      </c>
      <c r="C62" t="s">
        <v>208</v>
      </c>
      <c r="D62" t="s">
        <v>46</v>
      </c>
      <c r="E62" t="s">
        <v>70</v>
      </c>
      <c r="F62" t="s">
        <v>18</v>
      </c>
      <c r="G62" t="s">
        <v>28</v>
      </c>
      <c r="H62">
        <v>254</v>
      </c>
      <c r="I62">
        <v>40</v>
      </c>
      <c r="J62">
        <v>30</v>
      </c>
      <c r="K62" t="s">
        <v>29</v>
      </c>
      <c r="L62">
        <v>43</v>
      </c>
      <c r="M62" t="s">
        <v>21</v>
      </c>
      <c r="N62">
        <f>COUNTIF(order_data[Order_ID],order_data[[#This Row],[Order_ID]])</f>
        <v>1</v>
      </c>
      <c r="O62">
        <f>order_data[[#This Row],[Order_Value]]-order_data[[#This Row],[Discount]]</f>
        <v>224</v>
      </c>
      <c r="P62">
        <f>order_data[[#This Row],[Order_Value]]+order_data[[#This Row],[Delivery_Fee]]-order_data[[#This Row],[Discount]]</f>
        <v>264</v>
      </c>
      <c r="Q62" t="str">
        <f>TEXT(order_data[[#This Row],[Order_Date]],"mmm")</f>
        <v>Jan</v>
      </c>
      <c r="R62">
        <f>MONTH(order_data[[#This Row],[Order_Date]])</f>
        <v>1</v>
      </c>
    </row>
    <row r="63" spans="1:18" x14ac:dyDescent="0.35">
      <c r="A63" t="s">
        <v>209</v>
      </c>
      <c r="B63" t="s">
        <v>57</v>
      </c>
      <c r="C63" t="s">
        <v>114</v>
      </c>
      <c r="D63" t="s">
        <v>40</v>
      </c>
      <c r="E63" t="s">
        <v>67</v>
      </c>
      <c r="F63" t="s">
        <v>48</v>
      </c>
      <c r="G63" t="s">
        <v>19</v>
      </c>
      <c r="H63">
        <v>277</v>
      </c>
      <c r="I63">
        <v>30</v>
      </c>
      <c r="J63">
        <v>20</v>
      </c>
      <c r="K63" t="s">
        <v>29</v>
      </c>
      <c r="L63">
        <v>43</v>
      </c>
      <c r="M63" t="s">
        <v>21</v>
      </c>
      <c r="N63">
        <f>COUNTIF(order_data[Order_ID],order_data[[#This Row],[Order_ID]])</f>
        <v>1</v>
      </c>
      <c r="O63">
        <f>order_data[[#This Row],[Order_Value]]-order_data[[#This Row],[Discount]]</f>
        <v>257</v>
      </c>
      <c r="P63">
        <f>order_data[[#This Row],[Order_Value]]+order_data[[#This Row],[Delivery_Fee]]-order_data[[#This Row],[Discount]]</f>
        <v>287</v>
      </c>
      <c r="Q63" t="str">
        <f>TEXT(order_data[[#This Row],[Order_Date]],"mmm")</f>
        <v>Jan</v>
      </c>
      <c r="R63">
        <f>MONTH(order_data[[#This Row],[Order_Date]])</f>
        <v>1</v>
      </c>
    </row>
    <row r="64" spans="1:18" x14ac:dyDescent="0.35">
      <c r="A64" t="s">
        <v>210</v>
      </c>
      <c r="B64" t="s">
        <v>118</v>
      </c>
      <c r="C64" t="s">
        <v>211</v>
      </c>
      <c r="D64" t="s">
        <v>16</v>
      </c>
      <c r="E64" t="s">
        <v>89</v>
      </c>
      <c r="F64" t="s">
        <v>18</v>
      </c>
      <c r="G64" t="s">
        <v>28</v>
      </c>
      <c r="H64">
        <v>374</v>
      </c>
      <c r="I64">
        <v>30</v>
      </c>
      <c r="J64">
        <v>50</v>
      </c>
      <c r="K64" t="s">
        <v>20</v>
      </c>
      <c r="L64">
        <v>34</v>
      </c>
      <c r="M64" t="s">
        <v>21</v>
      </c>
      <c r="N64">
        <f>COUNTIF(order_data[Order_ID],order_data[[#This Row],[Order_ID]])</f>
        <v>1</v>
      </c>
      <c r="O64">
        <f>order_data[[#This Row],[Order_Value]]-order_data[[#This Row],[Discount]]</f>
        <v>324</v>
      </c>
      <c r="P64">
        <f>order_data[[#This Row],[Order_Value]]+order_data[[#This Row],[Delivery_Fee]]-order_data[[#This Row],[Discount]]</f>
        <v>354</v>
      </c>
      <c r="Q64" t="str">
        <f>TEXT(order_data[[#This Row],[Order_Date]],"mmm")</f>
        <v>Mar</v>
      </c>
      <c r="R64">
        <f>MONTH(order_data[[#This Row],[Order_Date]])</f>
        <v>3</v>
      </c>
    </row>
    <row r="65" spans="1:18" x14ac:dyDescent="0.35">
      <c r="A65" t="s">
        <v>212</v>
      </c>
      <c r="B65" t="s">
        <v>213</v>
      </c>
      <c r="C65" t="s">
        <v>214</v>
      </c>
      <c r="D65" t="s">
        <v>16</v>
      </c>
      <c r="E65" t="s">
        <v>89</v>
      </c>
      <c r="F65" t="s">
        <v>18</v>
      </c>
      <c r="G65" t="s">
        <v>28</v>
      </c>
      <c r="H65">
        <v>634</v>
      </c>
      <c r="I65">
        <v>50</v>
      </c>
      <c r="J65">
        <v>20</v>
      </c>
      <c r="K65" t="s">
        <v>20</v>
      </c>
      <c r="L65">
        <v>45</v>
      </c>
      <c r="M65" t="s">
        <v>21</v>
      </c>
      <c r="N65">
        <f>COUNTIF(order_data[Order_ID],order_data[[#This Row],[Order_ID]])</f>
        <v>1</v>
      </c>
      <c r="O65">
        <f>order_data[[#This Row],[Order_Value]]-order_data[[#This Row],[Discount]]</f>
        <v>614</v>
      </c>
      <c r="P65">
        <f>order_data[[#This Row],[Order_Value]]+order_data[[#This Row],[Delivery_Fee]]-order_data[[#This Row],[Discount]]</f>
        <v>664</v>
      </c>
      <c r="Q65" t="str">
        <f>TEXT(order_data[[#This Row],[Order_Date]],"mmm")</f>
        <v>Jan</v>
      </c>
      <c r="R65">
        <f>MONTH(order_data[[#This Row],[Order_Date]])</f>
        <v>1</v>
      </c>
    </row>
    <row r="66" spans="1:18" x14ac:dyDescent="0.35">
      <c r="A66" t="s">
        <v>215</v>
      </c>
      <c r="B66" t="s">
        <v>143</v>
      </c>
      <c r="C66" t="s">
        <v>216</v>
      </c>
      <c r="D66" t="s">
        <v>53</v>
      </c>
      <c r="E66" t="s">
        <v>152</v>
      </c>
      <c r="F66" t="s">
        <v>18</v>
      </c>
      <c r="G66" t="s">
        <v>107</v>
      </c>
      <c r="H66">
        <v>708</v>
      </c>
      <c r="I66">
        <v>50</v>
      </c>
      <c r="J66">
        <v>20</v>
      </c>
      <c r="K66" t="s">
        <v>36</v>
      </c>
      <c r="L66">
        <v>47</v>
      </c>
      <c r="M66" t="s">
        <v>21</v>
      </c>
      <c r="N66">
        <f>COUNTIF(order_data[Order_ID],order_data[[#This Row],[Order_ID]])</f>
        <v>1</v>
      </c>
      <c r="O66">
        <f>order_data[[#This Row],[Order_Value]]-order_data[[#This Row],[Discount]]</f>
        <v>688</v>
      </c>
      <c r="P66">
        <f>order_data[[#This Row],[Order_Value]]+order_data[[#This Row],[Delivery_Fee]]-order_data[[#This Row],[Discount]]</f>
        <v>738</v>
      </c>
      <c r="Q66" t="str">
        <f>TEXT(order_data[[#This Row],[Order_Date]],"mmm")</f>
        <v>Feb</v>
      </c>
      <c r="R66">
        <f>MONTH(order_data[[#This Row],[Order_Date]])</f>
        <v>2</v>
      </c>
    </row>
    <row r="67" spans="1:18" x14ac:dyDescent="0.35">
      <c r="A67" t="s">
        <v>217</v>
      </c>
      <c r="B67" t="s">
        <v>218</v>
      </c>
      <c r="C67" t="s">
        <v>219</v>
      </c>
      <c r="D67" t="s">
        <v>40</v>
      </c>
      <c r="E67" t="s">
        <v>67</v>
      </c>
      <c r="F67" t="s">
        <v>48</v>
      </c>
      <c r="G67" t="s">
        <v>176</v>
      </c>
      <c r="H67">
        <v>440</v>
      </c>
      <c r="I67">
        <v>50</v>
      </c>
      <c r="J67">
        <v>20</v>
      </c>
      <c r="K67" t="s">
        <v>29</v>
      </c>
      <c r="L67">
        <v>23</v>
      </c>
      <c r="M67" t="s">
        <v>21</v>
      </c>
      <c r="N67">
        <f>COUNTIF(order_data[Order_ID],order_data[[#This Row],[Order_ID]])</f>
        <v>1</v>
      </c>
      <c r="O67">
        <f>order_data[[#This Row],[Order_Value]]-order_data[[#This Row],[Discount]]</f>
        <v>420</v>
      </c>
      <c r="P67">
        <f>order_data[[#This Row],[Order_Value]]+order_data[[#This Row],[Delivery_Fee]]-order_data[[#This Row],[Discount]]</f>
        <v>470</v>
      </c>
      <c r="Q67" t="str">
        <f>TEXT(order_data[[#This Row],[Order_Date]],"mmm")</f>
        <v>Feb</v>
      </c>
      <c r="R67">
        <f>MONTH(order_data[[#This Row],[Order_Date]])</f>
        <v>2</v>
      </c>
    </row>
    <row r="68" spans="1:18" x14ac:dyDescent="0.35">
      <c r="A68" t="s">
        <v>220</v>
      </c>
      <c r="B68" t="s">
        <v>61</v>
      </c>
      <c r="C68" t="s">
        <v>221</v>
      </c>
      <c r="D68" t="s">
        <v>53</v>
      </c>
      <c r="E68" t="s">
        <v>54</v>
      </c>
      <c r="F68" t="s">
        <v>55</v>
      </c>
      <c r="G68" t="s">
        <v>63</v>
      </c>
      <c r="H68">
        <v>293</v>
      </c>
      <c r="I68">
        <v>40</v>
      </c>
      <c r="J68">
        <v>100</v>
      </c>
      <c r="K68" t="s">
        <v>20</v>
      </c>
      <c r="L68">
        <v>39</v>
      </c>
      <c r="M68" t="s">
        <v>21</v>
      </c>
      <c r="N68">
        <f>COUNTIF(order_data[Order_ID],order_data[[#This Row],[Order_ID]])</f>
        <v>1</v>
      </c>
      <c r="O68">
        <f>order_data[[#This Row],[Order_Value]]-order_data[[#This Row],[Discount]]</f>
        <v>193</v>
      </c>
      <c r="P68">
        <f>order_data[[#This Row],[Order_Value]]+order_data[[#This Row],[Delivery_Fee]]-order_data[[#This Row],[Discount]]</f>
        <v>233</v>
      </c>
      <c r="Q68" t="str">
        <f>TEXT(order_data[[#This Row],[Order_Date]],"mmm")</f>
        <v>Jan</v>
      </c>
      <c r="R68">
        <f>MONTH(order_data[[#This Row],[Order_Date]])</f>
        <v>1</v>
      </c>
    </row>
    <row r="69" spans="1:18" x14ac:dyDescent="0.35">
      <c r="A69" t="s">
        <v>222</v>
      </c>
      <c r="B69" t="s">
        <v>223</v>
      </c>
      <c r="C69" t="s">
        <v>224</v>
      </c>
      <c r="D69" t="s">
        <v>53</v>
      </c>
      <c r="E69" t="s">
        <v>54</v>
      </c>
      <c r="F69" t="s">
        <v>55</v>
      </c>
      <c r="G69" t="s">
        <v>63</v>
      </c>
      <c r="H69">
        <v>516</v>
      </c>
      <c r="I69">
        <v>40</v>
      </c>
      <c r="J69">
        <v>50</v>
      </c>
      <c r="K69" t="s">
        <v>20</v>
      </c>
      <c r="L69">
        <v>28</v>
      </c>
      <c r="M69" t="s">
        <v>21</v>
      </c>
      <c r="N69">
        <f>COUNTIF(order_data[Order_ID],order_data[[#This Row],[Order_ID]])</f>
        <v>1</v>
      </c>
      <c r="O69">
        <f>order_data[[#This Row],[Order_Value]]-order_data[[#This Row],[Discount]]</f>
        <v>466</v>
      </c>
      <c r="P69">
        <f>order_data[[#This Row],[Order_Value]]+order_data[[#This Row],[Delivery_Fee]]-order_data[[#This Row],[Discount]]</f>
        <v>506</v>
      </c>
      <c r="Q69" t="str">
        <f>TEXT(order_data[[#This Row],[Order_Date]],"mmm")</f>
        <v>Mar</v>
      </c>
      <c r="R69">
        <f>MONTH(order_data[[#This Row],[Order_Date]])</f>
        <v>3</v>
      </c>
    </row>
    <row r="70" spans="1:18" x14ac:dyDescent="0.35">
      <c r="A70" t="s">
        <v>225</v>
      </c>
      <c r="B70" t="s">
        <v>226</v>
      </c>
      <c r="C70" t="s">
        <v>227</v>
      </c>
      <c r="D70" t="s">
        <v>46</v>
      </c>
      <c r="E70" t="s">
        <v>70</v>
      </c>
      <c r="F70" t="s">
        <v>18</v>
      </c>
      <c r="G70" t="s">
        <v>49</v>
      </c>
      <c r="H70">
        <v>439</v>
      </c>
      <c r="I70">
        <v>30</v>
      </c>
      <c r="J70">
        <v>100</v>
      </c>
      <c r="K70" t="s">
        <v>20</v>
      </c>
      <c r="L70">
        <v>55</v>
      </c>
      <c r="M70" t="s">
        <v>21</v>
      </c>
      <c r="N70">
        <f>COUNTIF(order_data[Order_ID],order_data[[#This Row],[Order_ID]])</f>
        <v>1</v>
      </c>
      <c r="O70">
        <f>order_data[[#This Row],[Order_Value]]-order_data[[#This Row],[Discount]]</f>
        <v>339</v>
      </c>
      <c r="P70">
        <f>order_data[[#This Row],[Order_Value]]+order_data[[#This Row],[Delivery_Fee]]-order_data[[#This Row],[Discount]]</f>
        <v>369</v>
      </c>
      <c r="Q70" t="str">
        <f>TEXT(order_data[[#This Row],[Order_Date]],"mmm")</f>
        <v>Jan</v>
      </c>
      <c r="R70">
        <f>MONTH(order_data[[#This Row],[Order_Date]])</f>
        <v>1</v>
      </c>
    </row>
    <row r="71" spans="1:18" x14ac:dyDescent="0.35">
      <c r="A71" t="s">
        <v>228</v>
      </c>
      <c r="B71" t="s">
        <v>143</v>
      </c>
      <c r="C71" t="s">
        <v>229</v>
      </c>
      <c r="D71" t="s">
        <v>46</v>
      </c>
      <c r="E71" t="s">
        <v>47</v>
      </c>
      <c r="F71" t="s">
        <v>48</v>
      </c>
      <c r="G71" t="s">
        <v>28</v>
      </c>
      <c r="H71">
        <v>165</v>
      </c>
      <c r="I71">
        <v>50</v>
      </c>
      <c r="J71">
        <v>0</v>
      </c>
      <c r="K71" t="s">
        <v>20</v>
      </c>
      <c r="L71">
        <v>36</v>
      </c>
      <c r="M71" t="s">
        <v>21</v>
      </c>
      <c r="N71">
        <f>COUNTIF(order_data[Order_ID],order_data[[#This Row],[Order_ID]])</f>
        <v>1</v>
      </c>
      <c r="O71">
        <f>order_data[[#This Row],[Order_Value]]-order_data[[#This Row],[Discount]]</f>
        <v>165</v>
      </c>
      <c r="P71">
        <f>order_data[[#This Row],[Order_Value]]+order_data[[#This Row],[Delivery_Fee]]-order_data[[#This Row],[Discount]]</f>
        <v>215</v>
      </c>
      <c r="Q71" t="str">
        <f>TEXT(order_data[[#This Row],[Order_Date]],"mmm")</f>
        <v>Feb</v>
      </c>
      <c r="R71">
        <f>MONTH(order_data[[#This Row],[Order_Date]])</f>
        <v>2</v>
      </c>
    </row>
    <row r="72" spans="1:18" x14ac:dyDescent="0.35">
      <c r="A72" t="s">
        <v>230</v>
      </c>
      <c r="B72" t="s">
        <v>69</v>
      </c>
      <c r="C72" t="s">
        <v>231</v>
      </c>
      <c r="D72" t="s">
        <v>16</v>
      </c>
      <c r="E72" t="s">
        <v>17</v>
      </c>
      <c r="F72" t="s">
        <v>18</v>
      </c>
      <c r="G72" t="s">
        <v>49</v>
      </c>
      <c r="H72">
        <v>247</v>
      </c>
      <c r="I72">
        <v>50</v>
      </c>
      <c r="J72">
        <v>20</v>
      </c>
      <c r="K72" t="s">
        <v>20</v>
      </c>
      <c r="L72">
        <v>57</v>
      </c>
      <c r="M72" t="s">
        <v>21</v>
      </c>
      <c r="N72">
        <f>COUNTIF(order_data[Order_ID],order_data[[#This Row],[Order_ID]])</f>
        <v>1</v>
      </c>
      <c r="O72">
        <f>order_data[[#This Row],[Order_Value]]-order_data[[#This Row],[Discount]]</f>
        <v>227</v>
      </c>
      <c r="P72">
        <f>order_data[[#This Row],[Order_Value]]+order_data[[#This Row],[Delivery_Fee]]-order_data[[#This Row],[Discount]]</f>
        <v>277</v>
      </c>
      <c r="Q72" t="str">
        <f>TEXT(order_data[[#This Row],[Order_Date]],"mmm")</f>
        <v>Feb</v>
      </c>
      <c r="R72">
        <f>MONTH(order_data[[#This Row],[Order_Date]])</f>
        <v>2</v>
      </c>
    </row>
    <row r="73" spans="1:18" x14ac:dyDescent="0.35">
      <c r="A73" t="s">
        <v>232</v>
      </c>
      <c r="B73" t="s">
        <v>143</v>
      </c>
      <c r="C73" t="s">
        <v>233</v>
      </c>
      <c r="D73" t="s">
        <v>46</v>
      </c>
      <c r="E73" t="s">
        <v>47</v>
      </c>
      <c r="F73" t="s">
        <v>48</v>
      </c>
      <c r="G73" t="s">
        <v>42</v>
      </c>
      <c r="H73">
        <v>485</v>
      </c>
      <c r="I73">
        <v>20</v>
      </c>
      <c r="J73">
        <v>50</v>
      </c>
      <c r="K73" t="s">
        <v>36</v>
      </c>
      <c r="L73">
        <v>56</v>
      </c>
      <c r="M73" t="s">
        <v>21</v>
      </c>
      <c r="N73">
        <f>COUNTIF(order_data[Order_ID],order_data[[#This Row],[Order_ID]])</f>
        <v>1</v>
      </c>
      <c r="O73">
        <f>order_data[[#This Row],[Order_Value]]-order_data[[#This Row],[Discount]]</f>
        <v>435</v>
      </c>
      <c r="P73">
        <f>order_data[[#This Row],[Order_Value]]+order_data[[#This Row],[Delivery_Fee]]-order_data[[#This Row],[Discount]]</f>
        <v>455</v>
      </c>
      <c r="Q73" t="str">
        <f>TEXT(order_data[[#This Row],[Order_Date]],"mmm")</f>
        <v>Feb</v>
      </c>
      <c r="R73">
        <f>MONTH(order_data[[#This Row],[Order_Date]])</f>
        <v>2</v>
      </c>
    </row>
    <row r="74" spans="1:18" x14ac:dyDescent="0.35">
      <c r="A74" t="s">
        <v>234</v>
      </c>
      <c r="B74" t="s">
        <v>136</v>
      </c>
      <c r="C74" t="s">
        <v>235</v>
      </c>
      <c r="D74" t="s">
        <v>25</v>
      </c>
      <c r="E74" t="s">
        <v>78</v>
      </c>
      <c r="F74" t="s">
        <v>48</v>
      </c>
      <c r="G74" t="s">
        <v>49</v>
      </c>
      <c r="H74">
        <v>528</v>
      </c>
      <c r="I74">
        <v>50</v>
      </c>
      <c r="J74">
        <v>30</v>
      </c>
      <c r="K74" t="s">
        <v>29</v>
      </c>
      <c r="L74">
        <v>56</v>
      </c>
      <c r="M74" t="s">
        <v>21</v>
      </c>
      <c r="N74">
        <f>COUNTIF(order_data[Order_ID],order_data[[#This Row],[Order_ID]])</f>
        <v>1</v>
      </c>
      <c r="O74">
        <f>order_data[[#This Row],[Order_Value]]-order_data[[#This Row],[Discount]]</f>
        <v>498</v>
      </c>
      <c r="P74">
        <f>order_data[[#This Row],[Order_Value]]+order_data[[#This Row],[Delivery_Fee]]-order_data[[#This Row],[Discount]]</f>
        <v>548</v>
      </c>
      <c r="Q74" t="str">
        <f>TEXT(order_data[[#This Row],[Order_Date]],"mmm")</f>
        <v>Feb</v>
      </c>
      <c r="R74">
        <f>MONTH(order_data[[#This Row],[Order_Date]])</f>
        <v>2</v>
      </c>
    </row>
    <row r="75" spans="1:18" x14ac:dyDescent="0.35">
      <c r="A75" t="s">
        <v>236</v>
      </c>
      <c r="B75" t="s">
        <v>32</v>
      </c>
      <c r="C75" t="s">
        <v>237</v>
      </c>
      <c r="D75" t="s">
        <v>40</v>
      </c>
      <c r="E75" t="s">
        <v>111</v>
      </c>
      <c r="F75" t="s">
        <v>18</v>
      </c>
      <c r="G75" t="s">
        <v>19</v>
      </c>
      <c r="H75">
        <v>159</v>
      </c>
      <c r="I75">
        <v>40</v>
      </c>
      <c r="J75">
        <v>50</v>
      </c>
      <c r="K75" t="s">
        <v>29</v>
      </c>
      <c r="L75">
        <v>33</v>
      </c>
      <c r="M75" t="s">
        <v>21</v>
      </c>
      <c r="N75">
        <f>COUNTIF(order_data[Order_ID],order_data[[#This Row],[Order_ID]])</f>
        <v>1</v>
      </c>
      <c r="O75">
        <f>order_data[[#This Row],[Order_Value]]-order_data[[#This Row],[Discount]]</f>
        <v>109</v>
      </c>
      <c r="P75">
        <f>order_data[[#This Row],[Order_Value]]+order_data[[#This Row],[Delivery_Fee]]-order_data[[#This Row],[Discount]]</f>
        <v>149</v>
      </c>
      <c r="Q75" t="str">
        <f>TEXT(order_data[[#This Row],[Order_Date]],"mmm")</f>
        <v>Jan</v>
      </c>
      <c r="R75">
        <f>MONTH(order_data[[#This Row],[Order_Date]])</f>
        <v>1</v>
      </c>
    </row>
    <row r="76" spans="1:18" x14ac:dyDescent="0.35">
      <c r="A76" t="s">
        <v>238</v>
      </c>
      <c r="B76" t="s">
        <v>136</v>
      </c>
      <c r="C76" t="s">
        <v>239</v>
      </c>
      <c r="D76" t="s">
        <v>25</v>
      </c>
      <c r="E76" t="s">
        <v>34</v>
      </c>
      <c r="F76" t="s">
        <v>27</v>
      </c>
      <c r="G76" t="s">
        <v>59</v>
      </c>
      <c r="H76">
        <v>788</v>
      </c>
      <c r="I76">
        <v>50</v>
      </c>
      <c r="J76">
        <v>30</v>
      </c>
      <c r="K76" t="s">
        <v>20</v>
      </c>
      <c r="L76">
        <v>41</v>
      </c>
      <c r="M76" t="s">
        <v>21</v>
      </c>
      <c r="N76">
        <f>COUNTIF(order_data[Order_ID],order_data[[#This Row],[Order_ID]])</f>
        <v>1</v>
      </c>
      <c r="O76">
        <f>order_data[[#This Row],[Order_Value]]-order_data[[#This Row],[Discount]]</f>
        <v>758</v>
      </c>
      <c r="P76">
        <f>order_data[[#This Row],[Order_Value]]+order_data[[#This Row],[Delivery_Fee]]-order_data[[#This Row],[Discount]]</f>
        <v>808</v>
      </c>
      <c r="Q76" t="str">
        <f>TEXT(order_data[[#This Row],[Order_Date]],"mmm")</f>
        <v>Feb</v>
      </c>
      <c r="R76">
        <f>MONTH(order_data[[#This Row],[Order_Date]])</f>
        <v>2</v>
      </c>
    </row>
    <row r="77" spans="1:18" x14ac:dyDescent="0.35">
      <c r="A77" t="s">
        <v>240</v>
      </c>
      <c r="B77" t="s">
        <v>241</v>
      </c>
      <c r="C77" t="s">
        <v>242</v>
      </c>
      <c r="D77" t="s">
        <v>53</v>
      </c>
      <c r="E77" t="s">
        <v>84</v>
      </c>
      <c r="F77" t="s">
        <v>85</v>
      </c>
      <c r="G77" t="s">
        <v>176</v>
      </c>
      <c r="H77">
        <v>351</v>
      </c>
      <c r="I77">
        <v>40</v>
      </c>
      <c r="J77">
        <v>20</v>
      </c>
      <c r="K77" t="s">
        <v>20</v>
      </c>
      <c r="L77">
        <v>23</v>
      </c>
      <c r="M77" t="s">
        <v>21</v>
      </c>
      <c r="N77">
        <f>COUNTIF(order_data[Order_ID],order_data[[#This Row],[Order_ID]])</f>
        <v>1</v>
      </c>
      <c r="O77">
        <f>order_data[[#This Row],[Order_Value]]-order_data[[#This Row],[Discount]]</f>
        <v>331</v>
      </c>
      <c r="P77">
        <f>order_data[[#This Row],[Order_Value]]+order_data[[#This Row],[Delivery_Fee]]-order_data[[#This Row],[Discount]]</f>
        <v>371</v>
      </c>
      <c r="Q77" t="str">
        <f>TEXT(order_data[[#This Row],[Order_Date]],"mmm")</f>
        <v>Mar</v>
      </c>
      <c r="R77">
        <f>MONTH(order_data[[#This Row],[Order_Date]])</f>
        <v>3</v>
      </c>
    </row>
    <row r="78" spans="1:18" x14ac:dyDescent="0.35">
      <c r="A78" t="s">
        <v>243</v>
      </c>
      <c r="B78" t="s">
        <v>244</v>
      </c>
      <c r="C78" t="s">
        <v>245</v>
      </c>
      <c r="D78" t="s">
        <v>53</v>
      </c>
      <c r="E78" t="s">
        <v>152</v>
      </c>
      <c r="F78" t="s">
        <v>18</v>
      </c>
      <c r="G78" t="s">
        <v>107</v>
      </c>
      <c r="H78">
        <v>777</v>
      </c>
      <c r="I78">
        <v>50</v>
      </c>
      <c r="J78">
        <v>100</v>
      </c>
      <c r="K78" t="s">
        <v>29</v>
      </c>
      <c r="L78">
        <v>51</v>
      </c>
      <c r="M78" t="s">
        <v>21</v>
      </c>
      <c r="N78">
        <f>COUNTIF(order_data[Order_ID],order_data[[#This Row],[Order_ID]])</f>
        <v>1</v>
      </c>
      <c r="O78">
        <f>order_data[[#This Row],[Order_Value]]-order_data[[#This Row],[Discount]]</f>
        <v>677</v>
      </c>
      <c r="P78">
        <f>order_data[[#This Row],[Order_Value]]+order_data[[#This Row],[Delivery_Fee]]-order_data[[#This Row],[Discount]]</f>
        <v>727</v>
      </c>
      <c r="Q78" t="str">
        <f>TEXT(order_data[[#This Row],[Order_Date]],"mmm")</f>
        <v>Feb</v>
      </c>
      <c r="R78">
        <f>MONTH(order_data[[#This Row],[Order_Date]])</f>
        <v>2</v>
      </c>
    </row>
    <row r="79" spans="1:18" x14ac:dyDescent="0.35">
      <c r="A79" t="s">
        <v>246</v>
      </c>
      <c r="B79" t="s">
        <v>247</v>
      </c>
      <c r="C79" t="s">
        <v>248</v>
      </c>
      <c r="D79" t="s">
        <v>25</v>
      </c>
      <c r="E79" t="s">
        <v>26</v>
      </c>
      <c r="F79" t="s">
        <v>27</v>
      </c>
      <c r="G79" t="s">
        <v>35</v>
      </c>
      <c r="H79">
        <v>339</v>
      </c>
      <c r="I79">
        <v>20</v>
      </c>
      <c r="J79">
        <v>100</v>
      </c>
      <c r="K79" t="s">
        <v>29</v>
      </c>
      <c r="L79">
        <v>40</v>
      </c>
      <c r="M79" t="s">
        <v>21</v>
      </c>
      <c r="N79">
        <f>COUNTIF(order_data[Order_ID],order_data[[#This Row],[Order_ID]])</f>
        <v>1</v>
      </c>
      <c r="O79">
        <f>order_data[[#This Row],[Order_Value]]-order_data[[#This Row],[Discount]]</f>
        <v>239</v>
      </c>
      <c r="P79">
        <f>order_data[[#This Row],[Order_Value]]+order_data[[#This Row],[Delivery_Fee]]-order_data[[#This Row],[Discount]]</f>
        <v>259</v>
      </c>
      <c r="Q79" t="str">
        <f>TEXT(order_data[[#This Row],[Order_Date]],"mmm")</f>
        <v>Mar</v>
      </c>
      <c r="R79">
        <f>MONTH(order_data[[#This Row],[Order_Date]])</f>
        <v>3</v>
      </c>
    </row>
    <row r="80" spans="1:18" x14ac:dyDescent="0.35">
      <c r="A80" t="s">
        <v>249</v>
      </c>
      <c r="B80" t="s">
        <v>241</v>
      </c>
      <c r="C80" t="s">
        <v>250</v>
      </c>
      <c r="D80" t="s">
        <v>16</v>
      </c>
      <c r="E80" t="s">
        <v>17</v>
      </c>
      <c r="F80" t="s">
        <v>18</v>
      </c>
      <c r="G80" t="s">
        <v>74</v>
      </c>
      <c r="H80">
        <v>481</v>
      </c>
      <c r="I80">
        <v>30</v>
      </c>
      <c r="J80">
        <v>30</v>
      </c>
      <c r="K80" t="s">
        <v>29</v>
      </c>
      <c r="L80">
        <v>22</v>
      </c>
      <c r="M80" t="s">
        <v>21</v>
      </c>
      <c r="N80">
        <f>COUNTIF(order_data[Order_ID],order_data[[#This Row],[Order_ID]])</f>
        <v>1</v>
      </c>
      <c r="O80">
        <f>order_data[[#This Row],[Order_Value]]-order_data[[#This Row],[Discount]]</f>
        <v>451</v>
      </c>
      <c r="P80">
        <f>order_data[[#This Row],[Order_Value]]+order_data[[#This Row],[Delivery_Fee]]-order_data[[#This Row],[Discount]]</f>
        <v>481</v>
      </c>
      <c r="Q80" t="str">
        <f>TEXT(order_data[[#This Row],[Order_Date]],"mmm")</f>
        <v>Mar</v>
      </c>
      <c r="R80">
        <f>MONTH(order_data[[#This Row],[Order_Date]])</f>
        <v>3</v>
      </c>
    </row>
    <row r="81" spans="1:18" x14ac:dyDescent="0.35">
      <c r="A81" t="s">
        <v>251</v>
      </c>
      <c r="B81" t="s">
        <v>252</v>
      </c>
      <c r="C81" t="s">
        <v>253</v>
      </c>
      <c r="D81" t="s">
        <v>53</v>
      </c>
      <c r="E81" t="s">
        <v>84</v>
      </c>
      <c r="F81" t="s">
        <v>85</v>
      </c>
      <c r="G81" t="s">
        <v>107</v>
      </c>
      <c r="H81">
        <v>218</v>
      </c>
      <c r="I81">
        <v>20</v>
      </c>
      <c r="J81">
        <v>20</v>
      </c>
      <c r="K81" t="s">
        <v>36</v>
      </c>
      <c r="L81">
        <v>53</v>
      </c>
      <c r="M81" t="s">
        <v>21</v>
      </c>
      <c r="N81">
        <f>COUNTIF(order_data[Order_ID],order_data[[#This Row],[Order_ID]])</f>
        <v>1</v>
      </c>
      <c r="O81">
        <f>order_data[[#This Row],[Order_Value]]-order_data[[#This Row],[Discount]]</f>
        <v>198</v>
      </c>
      <c r="P81">
        <f>order_data[[#This Row],[Order_Value]]+order_data[[#This Row],[Delivery_Fee]]-order_data[[#This Row],[Discount]]</f>
        <v>218</v>
      </c>
      <c r="Q81" t="str">
        <f>TEXT(order_data[[#This Row],[Order_Date]],"mmm")</f>
        <v>Jan</v>
      </c>
      <c r="R81">
        <f>MONTH(order_data[[#This Row],[Order_Date]])</f>
        <v>1</v>
      </c>
    </row>
    <row r="82" spans="1:18" x14ac:dyDescent="0.35">
      <c r="A82" t="s">
        <v>254</v>
      </c>
      <c r="B82" t="s">
        <v>247</v>
      </c>
      <c r="C82" t="s">
        <v>255</v>
      </c>
      <c r="D82" t="s">
        <v>25</v>
      </c>
      <c r="E82" t="s">
        <v>78</v>
      </c>
      <c r="F82" t="s">
        <v>48</v>
      </c>
      <c r="G82" t="s">
        <v>176</v>
      </c>
      <c r="H82">
        <v>604</v>
      </c>
      <c r="I82">
        <v>40</v>
      </c>
      <c r="J82">
        <v>20</v>
      </c>
      <c r="K82" t="s">
        <v>20</v>
      </c>
      <c r="L82">
        <v>42</v>
      </c>
      <c r="M82" t="s">
        <v>21</v>
      </c>
      <c r="N82">
        <f>COUNTIF(order_data[Order_ID],order_data[[#This Row],[Order_ID]])</f>
        <v>1</v>
      </c>
      <c r="O82">
        <f>order_data[[#This Row],[Order_Value]]-order_data[[#This Row],[Discount]]</f>
        <v>584</v>
      </c>
      <c r="P82">
        <f>order_data[[#This Row],[Order_Value]]+order_data[[#This Row],[Delivery_Fee]]-order_data[[#This Row],[Discount]]</f>
        <v>624</v>
      </c>
      <c r="Q82" t="str">
        <f>TEXT(order_data[[#This Row],[Order_Date]],"mmm")</f>
        <v>Mar</v>
      </c>
      <c r="R82">
        <f>MONTH(order_data[[#This Row],[Order_Date]])</f>
        <v>3</v>
      </c>
    </row>
    <row r="83" spans="1:18" x14ac:dyDescent="0.35">
      <c r="A83" t="s">
        <v>256</v>
      </c>
      <c r="B83" t="s">
        <v>72</v>
      </c>
      <c r="C83" t="s">
        <v>257</v>
      </c>
      <c r="D83" t="s">
        <v>40</v>
      </c>
      <c r="E83" t="s">
        <v>41</v>
      </c>
      <c r="F83" t="s">
        <v>27</v>
      </c>
      <c r="G83" t="s">
        <v>42</v>
      </c>
      <c r="H83">
        <v>725</v>
      </c>
      <c r="I83">
        <v>40</v>
      </c>
      <c r="J83">
        <v>100</v>
      </c>
      <c r="K83" t="s">
        <v>36</v>
      </c>
      <c r="L83">
        <v>54</v>
      </c>
      <c r="M83" t="s">
        <v>21</v>
      </c>
      <c r="N83">
        <f>COUNTIF(order_data[Order_ID],order_data[[#This Row],[Order_ID]])</f>
        <v>1</v>
      </c>
      <c r="O83">
        <f>order_data[[#This Row],[Order_Value]]-order_data[[#This Row],[Discount]]</f>
        <v>625</v>
      </c>
      <c r="P83">
        <f>order_data[[#This Row],[Order_Value]]+order_data[[#This Row],[Delivery_Fee]]-order_data[[#This Row],[Discount]]</f>
        <v>665</v>
      </c>
      <c r="Q83" t="str">
        <f>TEXT(order_data[[#This Row],[Order_Date]],"mmm")</f>
        <v>Jan</v>
      </c>
      <c r="R83">
        <f>MONTH(order_data[[#This Row],[Order_Date]])</f>
        <v>1</v>
      </c>
    </row>
    <row r="84" spans="1:18" x14ac:dyDescent="0.35">
      <c r="A84" t="s">
        <v>258</v>
      </c>
      <c r="B84" t="s">
        <v>51</v>
      </c>
      <c r="C84" t="s">
        <v>259</v>
      </c>
      <c r="D84" t="s">
        <v>46</v>
      </c>
      <c r="E84" t="s">
        <v>70</v>
      </c>
      <c r="F84" t="s">
        <v>18</v>
      </c>
      <c r="G84" t="s">
        <v>63</v>
      </c>
      <c r="H84">
        <v>609</v>
      </c>
      <c r="I84">
        <v>20</v>
      </c>
      <c r="J84">
        <v>30</v>
      </c>
      <c r="K84" t="s">
        <v>36</v>
      </c>
      <c r="L84">
        <v>28</v>
      </c>
      <c r="M84" t="s">
        <v>21</v>
      </c>
      <c r="N84">
        <f>COUNTIF(order_data[Order_ID],order_data[[#This Row],[Order_ID]])</f>
        <v>1</v>
      </c>
      <c r="O84">
        <f>order_data[[#This Row],[Order_Value]]-order_data[[#This Row],[Discount]]</f>
        <v>579</v>
      </c>
      <c r="P84">
        <f>order_data[[#This Row],[Order_Value]]+order_data[[#This Row],[Delivery_Fee]]-order_data[[#This Row],[Discount]]</f>
        <v>599</v>
      </c>
      <c r="Q84" t="str">
        <f>TEXT(order_data[[#This Row],[Order_Date]],"mmm")</f>
        <v>Feb</v>
      </c>
      <c r="R84">
        <f>MONTH(order_data[[#This Row],[Order_Date]])</f>
        <v>2</v>
      </c>
    </row>
    <row r="85" spans="1:18" x14ac:dyDescent="0.35">
      <c r="A85" t="s">
        <v>260</v>
      </c>
      <c r="B85" t="s">
        <v>109</v>
      </c>
      <c r="C85" t="s">
        <v>261</v>
      </c>
      <c r="D85" t="s">
        <v>46</v>
      </c>
      <c r="E85" t="s">
        <v>47</v>
      </c>
      <c r="F85" t="s">
        <v>48</v>
      </c>
      <c r="G85" t="s">
        <v>176</v>
      </c>
      <c r="H85">
        <v>747</v>
      </c>
      <c r="I85">
        <v>50</v>
      </c>
      <c r="J85">
        <v>100</v>
      </c>
      <c r="K85" t="s">
        <v>20</v>
      </c>
      <c r="L85">
        <v>20</v>
      </c>
      <c r="M85" t="s">
        <v>21</v>
      </c>
      <c r="N85">
        <f>COUNTIF(order_data[Order_ID],order_data[[#This Row],[Order_ID]])</f>
        <v>1</v>
      </c>
      <c r="O85">
        <f>order_data[[#This Row],[Order_Value]]-order_data[[#This Row],[Discount]]</f>
        <v>647</v>
      </c>
      <c r="P85">
        <f>order_data[[#This Row],[Order_Value]]+order_data[[#This Row],[Delivery_Fee]]-order_data[[#This Row],[Discount]]</f>
        <v>697</v>
      </c>
      <c r="Q85" t="str">
        <f>TEXT(order_data[[#This Row],[Order_Date]],"mmm")</f>
        <v>Jan</v>
      </c>
      <c r="R85">
        <f>MONTH(order_data[[#This Row],[Order_Date]])</f>
        <v>1</v>
      </c>
    </row>
    <row r="86" spans="1:18" x14ac:dyDescent="0.35">
      <c r="A86" t="s">
        <v>262</v>
      </c>
      <c r="B86" t="s">
        <v>223</v>
      </c>
      <c r="C86" t="s">
        <v>263</v>
      </c>
      <c r="D86" t="s">
        <v>25</v>
      </c>
      <c r="E86" t="s">
        <v>78</v>
      </c>
      <c r="F86" t="s">
        <v>48</v>
      </c>
      <c r="G86" t="s">
        <v>42</v>
      </c>
      <c r="H86">
        <v>516</v>
      </c>
      <c r="I86">
        <v>50</v>
      </c>
      <c r="J86">
        <v>0</v>
      </c>
      <c r="K86" t="s">
        <v>36</v>
      </c>
      <c r="L86">
        <v>33</v>
      </c>
      <c r="M86" t="s">
        <v>30</v>
      </c>
      <c r="N86">
        <f>COUNTIF(order_data[Order_ID],order_data[[#This Row],[Order_ID]])</f>
        <v>1</v>
      </c>
      <c r="O86">
        <f>order_data[[#This Row],[Order_Value]]-order_data[[#This Row],[Discount]]</f>
        <v>516</v>
      </c>
      <c r="P86">
        <f>order_data[[#This Row],[Order_Value]]+order_data[[#This Row],[Delivery_Fee]]-order_data[[#This Row],[Discount]]</f>
        <v>566</v>
      </c>
      <c r="Q86" t="str">
        <f>TEXT(order_data[[#This Row],[Order_Date]],"mmm")</f>
        <v>Mar</v>
      </c>
      <c r="R86">
        <f>MONTH(order_data[[#This Row],[Order_Date]])</f>
        <v>3</v>
      </c>
    </row>
    <row r="87" spans="1:18" x14ac:dyDescent="0.35">
      <c r="A87" t="s">
        <v>264</v>
      </c>
      <c r="B87" t="s">
        <v>186</v>
      </c>
      <c r="C87" t="s">
        <v>265</v>
      </c>
      <c r="D87" t="s">
        <v>40</v>
      </c>
      <c r="E87" t="s">
        <v>41</v>
      </c>
      <c r="F87" t="s">
        <v>27</v>
      </c>
      <c r="G87" t="s">
        <v>35</v>
      </c>
      <c r="H87">
        <v>570</v>
      </c>
      <c r="I87">
        <v>20</v>
      </c>
      <c r="J87">
        <v>50</v>
      </c>
      <c r="K87" t="s">
        <v>29</v>
      </c>
      <c r="L87">
        <v>20</v>
      </c>
      <c r="M87" t="s">
        <v>21</v>
      </c>
      <c r="N87">
        <f>COUNTIF(order_data[Order_ID],order_data[[#This Row],[Order_ID]])</f>
        <v>1</v>
      </c>
      <c r="O87">
        <f>order_data[[#This Row],[Order_Value]]-order_data[[#This Row],[Discount]]</f>
        <v>520</v>
      </c>
      <c r="P87">
        <f>order_data[[#This Row],[Order_Value]]+order_data[[#This Row],[Delivery_Fee]]-order_data[[#This Row],[Discount]]</f>
        <v>540</v>
      </c>
      <c r="Q87" t="str">
        <f>TEXT(order_data[[#This Row],[Order_Date]],"mmm")</f>
        <v>Mar</v>
      </c>
      <c r="R87">
        <f>MONTH(order_data[[#This Row],[Order_Date]])</f>
        <v>3</v>
      </c>
    </row>
    <row r="88" spans="1:18" x14ac:dyDescent="0.35">
      <c r="A88" t="s">
        <v>266</v>
      </c>
      <c r="B88" t="s">
        <v>267</v>
      </c>
      <c r="C88" t="s">
        <v>235</v>
      </c>
      <c r="D88" t="s">
        <v>53</v>
      </c>
      <c r="E88" t="s">
        <v>84</v>
      </c>
      <c r="F88" t="s">
        <v>85</v>
      </c>
      <c r="G88" t="s">
        <v>63</v>
      </c>
      <c r="H88">
        <v>559</v>
      </c>
      <c r="I88">
        <v>50</v>
      </c>
      <c r="J88">
        <v>0</v>
      </c>
      <c r="K88" t="s">
        <v>36</v>
      </c>
      <c r="L88">
        <v>34</v>
      </c>
      <c r="M88" t="s">
        <v>21</v>
      </c>
      <c r="N88">
        <f>COUNTIF(order_data[Order_ID],order_data[[#This Row],[Order_ID]])</f>
        <v>1</v>
      </c>
      <c r="O88">
        <f>order_data[[#This Row],[Order_Value]]-order_data[[#This Row],[Discount]]</f>
        <v>559</v>
      </c>
      <c r="P88">
        <f>order_data[[#This Row],[Order_Value]]+order_data[[#This Row],[Delivery_Fee]]-order_data[[#This Row],[Discount]]</f>
        <v>609</v>
      </c>
      <c r="Q88" t="str">
        <f>TEXT(order_data[[#This Row],[Order_Date]],"mmm")</f>
        <v>Jan</v>
      </c>
      <c r="R88">
        <f>MONTH(order_data[[#This Row],[Order_Date]])</f>
        <v>1</v>
      </c>
    </row>
    <row r="89" spans="1:18" x14ac:dyDescent="0.35">
      <c r="A89" t="s">
        <v>268</v>
      </c>
      <c r="B89" t="s">
        <v>154</v>
      </c>
      <c r="C89" t="s">
        <v>269</v>
      </c>
      <c r="D89" t="s">
        <v>25</v>
      </c>
      <c r="E89" t="s">
        <v>78</v>
      </c>
      <c r="F89" t="s">
        <v>48</v>
      </c>
      <c r="G89" t="s">
        <v>107</v>
      </c>
      <c r="H89">
        <v>332</v>
      </c>
      <c r="I89">
        <v>40</v>
      </c>
      <c r="J89">
        <v>100</v>
      </c>
      <c r="K89" t="s">
        <v>36</v>
      </c>
      <c r="L89">
        <v>31</v>
      </c>
      <c r="M89" t="s">
        <v>30</v>
      </c>
      <c r="N89">
        <f>COUNTIF(order_data[Order_ID],order_data[[#This Row],[Order_ID]])</f>
        <v>1</v>
      </c>
      <c r="O89">
        <f>order_data[[#This Row],[Order_Value]]-order_data[[#This Row],[Discount]]</f>
        <v>232</v>
      </c>
      <c r="P89">
        <f>order_data[[#This Row],[Order_Value]]+order_data[[#This Row],[Delivery_Fee]]-order_data[[#This Row],[Discount]]</f>
        <v>272</v>
      </c>
      <c r="Q89" t="str">
        <f>TEXT(order_data[[#This Row],[Order_Date]],"mmm")</f>
        <v>Jan</v>
      </c>
      <c r="R89">
        <f>MONTH(order_data[[#This Row],[Order_Date]])</f>
        <v>1</v>
      </c>
    </row>
    <row r="90" spans="1:18" x14ac:dyDescent="0.35">
      <c r="A90" t="s">
        <v>270</v>
      </c>
      <c r="B90" t="s">
        <v>271</v>
      </c>
      <c r="C90" t="s">
        <v>257</v>
      </c>
      <c r="D90" t="s">
        <v>16</v>
      </c>
      <c r="E90" t="s">
        <v>89</v>
      </c>
      <c r="F90" t="s">
        <v>18</v>
      </c>
      <c r="G90" t="s">
        <v>176</v>
      </c>
      <c r="H90">
        <v>243</v>
      </c>
      <c r="I90">
        <v>40</v>
      </c>
      <c r="J90">
        <v>30</v>
      </c>
      <c r="K90" t="s">
        <v>29</v>
      </c>
      <c r="L90">
        <v>35</v>
      </c>
      <c r="M90" t="s">
        <v>21</v>
      </c>
      <c r="N90">
        <f>COUNTIF(order_data[Order_ID],order_data[[#This Row],[Order_ID]])</f>
        <v>1</v>
      </c>
      <c r="O90">
        <f>order_data[[#This Row],[Order_Value]]-order_data[[#This Row],[Discount]]</f>
        <v>213</v>
      </c>
      <c r="P90">
        <f>order_data[[#This Row],[Order_Value]]+order_data[[#This Row],[Delivery_Fee]]-order_data[[#This Row],[Discount]]</f>
        <v>253</v>
      </c>
      <c r="Q90" t="str">
        <f>TEXT(order_data[[#This Row],[Order_Date]],"mmm")</f>
        <v>Jan</v>
      </c>
      <c r="R90">
        <f>MONTH(order_data[[#This Row],[Order_Date]])</f>
        <v>1</v>
      </c>
    </row>
    <row r="91" spans="1:18" x14ac:dyDescent="0.35">
      <c r="A91" t="s">
        <v>272</v>
      </c>
      <c r="B91" t="s">
        <v>273</v>
      </c>
      <c r="C91" t="s">
        <v>274</v>
      </c>
      <c r="D91" t="s">
        <v>25</v>
      </c>
      <c r="E91" t="s">
        <v>78</v>
      </c>
      <c r="F91" t="s">
        <v>48</v>
      </c>
      <c r="G91" t="s">
        <v>63</v>
      </c>
      <c r="H91">
        <v>440</v>
      </c>
      <c r="I91">
        <v>50</v>
      </c>
      <c r="J91">
        <v>30</v>
      </c>
      <c r="K91" t="s">
        <v>29</v>
      </c>
      <c r="L91">
        <v>51</v>
      </c>
      <c r="M91" t="s">
        <v>21</v>
      </c>
      <c r="N91">
        <f>COUNTIF(order_data[Order_ID],order_data[[#This Row],[Order_ID]])</f>
        <v>1</v>
      </c>
      <c r="O91">
        <f>order_data[[#This Row],[Order_Value]]-order_data[[#This Row],[Discount]]</f>
        <v>410</v>
      </c>
      <c r="P91">
        <f>order_data[[#This Row],[Order_Value]]+order_data[[#This Row],[Delivery_Fee]]-order_data[[#This Row],[Discount]]</f>
        <v>460</v>
      </c>
      <c r="Q91" t="str">
        <f>TEXT(order_data[[#This Row],[Order_Date]],"mmm")</f>
        <v>Mar</v>
      </c>
      <c r="R91">
        <f>MONTH(order_data[[#This Row],[Order_Date]])</f>
        <v>3</v>
      </c>
    </row>
    <row r="92" spans="1:18" x14ac:dyDescent="0.35">
      <c r="A92" t="s">
        <v>275</v>
      </c>
      <c r="B92" t="s">
        <v>205</v>
      </c>
      <c r="C92" t="s">
        <v>276</v>
      </c>
      <c r="D92" t="s">
        <v>53</v>
      </c>
      <c r="E92" t="s">
        <v>54</v>
      </c>
      <c r="F92" t="s">
        <v>55</v>
      </c>
      <c r="G92" t="s">
        <v>176</v>
      </c>
      <c r="H92">
        <v>549</v>
      </c>
      <c r="I92">
        <v>40</v>
      </c>
      <c r="J92">
        <v>50</v>
      </c>
      <c r="K92" t="s">
        <v>29</v>
      </c>
      <c r="L92">
        <v>54</v>
      </c>
      <c r="M92" t="s">
        <v>21</v>
      </c>
      <c r="N92">
        <f>COUNTIF(order_data[Order_ID],order_data[[#This Row],[Order_ID]])</f>
        <v>1</v>
      </c>
      <c r="O92">
        <f>order_data[[#This Row],[Order_Value]]-order_data[[#This Row],[Discount]]</f>
        <v>499</v>
      </c>
      <c r="P92">
        <f>order_data[[#This Row],[Order_Value]]+order_data[[#This Row],[Delivery_Fee]]-order_data[[#This Row],[Discount]]</f>
        <v>539</v>
      </c>
      <c r="Q92" t="str">
        <f>TEXT(order_data[[#This Row],[Order_Date]],"mmm")</f>
        <v>Jan</v>
      </c>
      <c r="R92">
        <f>MONTH(order_data[[#This Row],[Order_Date]])</f>
        <v>1</v>
      </c>
    </row>
    <row r="93" spans="1:18" x14ac:dyDescent="0.35">
      <c r="A93" t="s">
        <v>277</v>
      </c>
      <c r="B93" t="s">
        <v>178</v>
      </c>
      <c r="C93" t="s">
        <v>278</v>
      </c>
      <c r="D93" t="s">
        <v>40</v>
      </c>
      <c r="E93" t="s">
        <v>67</v>
      </c>
      <c r="F93" t="s">
        <v>48</v>
      </c>
      <c r="G93" t="s">
        <v>74</v>
      </c>
      <c r="H93">
        <v>326</v>
      </c>
      <c r="I93">
        <v>30</v>
      </c>
      <c r="J93">
        <v>20</v>
      </c>
      <c r="K93" t="s">
        <v>29</v>
      </c>
      <c r="L93">
        <v>52</v>
      </c>
      <c r="M93" t="s">
        <v>21</v>
      </c>
      <c r="N93">
        <f>COUNTIF(order_data[Order_ID],order_data[[#This Row],[Order_ID]])</f>
        <v>1</v>
      </c>
      <c r="O93">
        <f>order_data[[#This Row],[Order_Value]]-order_data[[#This Row],[Discount]]</f>
        <v>306</v>
      </c>
      <c r="P93">
        <f>order_data[[#This Row],[Order_Value]]+order_data[[#This Row],[Delivery_Fee]]-order_data[[#This Row],[Discount]]</f>
        <v>336</v>
      </c>
      <c r="Q93" t="str">
        <f>TEXT(order_data[[#This Row],[Order_Date]],"mmm")</f>
        <v>Feb</v>
      </c>
      <c r="R93">
        <f>MONTH(order_data[[#This Row],[Order_Date]])</f>
        <v>2</v>
      </c>
    </row>
    <row r="94" spans="1:18" x14ac:dyDescent="0.35">
      <c r="A94" t="s">
        <v>279</v>
      </c>
      <c r="B94" t="s">
        <v>280</v>
      </c>
      <c r="C94" t="s">
        <v>137</v>
      </c>
      <c r="D94" t="s">
        <v>25</v>
      </c>
      <c r="E94" t="s">
        <v>26</v>
      </c>
      <c r="F94" t="s">
        <v>27</v>
      </c>
      <c r="G94" t="s">
        <v>19</v>
      </c>
      <c r="H94">
        <v>721</v>
      </c>
      <c r="I94">
        <v>40</v>
      </c>
      <c r="J94">
        <v>0</v>
      </c>
      <c r="K94" t="s">
        <v>36</v>
      </c>
      <c r="L94">
        <v>24</v>
      </c>
      <c r="M94" t="s">
        <v>21</v>
      </c>
      <c r="N94">
        <f>COUNTIF(order_data[Order_ID],order_data[[#This Row],[Order_ID]])</f>
        <v>1</v>
      </c>
      <c r="O94">
        <f>order_data[[#This Row],[Order_Value]]-order_data[[#This Row],[Discount]]</f>
        <v>721</v>
      </c>
      <c r="P94">
        <f>order_data[[#This Row],[Order_Value]]+order_data[[#This Row],[Delivery_Fee]]-order_data[[#This Row],[Discount]]</f>
        <v>761</v>
      </c>
      <c r="Q94" t="str">
        <f>TEXT(order_data[[#This Row],[Order_Date]],"mmm")</f>
        <v>Jan</v>
      </c>
      <c r="R94">
        <f>MONTH(order_data[[#This Row],[Order_Date]])</f>
        <v>1</v>
      </c>
    </row>
    <row r="95" spans="1:18" x14ac:dyDescent="0.35">
      <c r="A95" t="s">
        <v>281</v>
      </c>
      <c r="B95" t="s">
        <v>273</v>
      </c>
      <c r="C95" t="s">
        <v>184</v>
      </c>
      <c r="D95" t="s">
        <v>53</v>
      </c>
      <c r="E95" t="s">
        <v>152</v>
      </c>
      <c r="F95" t="s">
        <v>18</v>
      </c>
      <c r="G95" t="s">
        <v>74</v>
      </c>
      <c r="H95">
        <v>370</v>
      </c>
      <c r="I95">
        <v>40</v>
      </c>
      <c r="J95">
        <v>0</v>
      </c>
      <c r="K95" t="s">
        <v>20</v>
      </c>
      <c r="L95">
        <v>38</v>
      </c>
      <c r="M95" t="s">
        <v>21</v>
      </c>
      <c r="N95">
        <f>COUNTIF(order_data[Order_ID],order_data[[#This Row],[Order_ID]])</f>
        <v>1</v>
      </c>
      <c r="O95">
        <f>order_data[[#This Row],[Order_Value]]-order_data[[#This Row],[Discount]]</f>
        <v>370</v>
      </c>
      <c r="P95">
        <f>order_data[[#This Row],[Order_Value]]+order_data[[#This Row],[Delivery_Fee]]-order_data[[#This Row],[Discount]]</f>
        <v>410</v>
      </c>
      <c r="Q95" t="str">
        <f>TEXT(order_data[[#This Row],[Order_Date]],"mmm")</f>
        <v>Mar</v>
      </c>
      <c r="R95">
        <f>MONTH(order_data[[#This Row],[Order_Date]])</f>
        <v>3</v>
      </c>
    </row>
    <row r="96" spans="1:18" x14ac:dyDescent="0.35">
      <c r="A96" t="s">
        <v>282</v>
      </c>
      <c r="B96" t="s">
        <v>14</v>
      </c>
      <c r="C96" t="s">
        <v>283</v>
      </c>
      <c r="D96" t="s">
        <v>53</v>
      </c>
      <c r="E96" t="s">
        <v>152</v>
      </c>
      <c r="F96" t="s">
        <v>18</v>
      </c>
      <c r="G96" t="s">
        <v>74</v>
      </c>
      <c r="H96">
        <v>581</v>
      </c>
      <c r="I96">
        <v>40</v>
      </c>
      <c r="J96">
        <v>20</v>
      </c>
      <c r="K96" t="s">
        <v>20</v>
      </c>
      <c r="L96">
        <v>47</v>
      </c>
      <c r="M96" t="s">
        <v>21</v>
      </c>
      <c r="N96">
        <f>COUNTIF(order_data[Order_ID],order_data[[#This Row],[Order_ID]])</f>
        <v>1</v>
      </c>
      <c r="O96">
        <f>order_data[[#This Row],[Order_Value]]-order_data[[#This Row],[Discount]]</f>
        <v>561</v>
      </c>
      <c r="P96">
        <f>order_data[[#This Row],[Order_Value]]+order_data[[#This Row],[Delivery_Fee]]-order_data[[#This Row],[Discount]]</f>
        <v>601</v>
      </c>
      <c r="Q96" t="str">
        <f>TEXT(order_data[[#This Row],[Order_Date]],"mmm")</f>
        <v>Mar</v>
      </c>
      <c r="R96">
        <f>MONTH(order_data[[#This Row],[Order_Date]])</f>
        <v>3</v>
      </c>
    </row>
    <row r="97" spans="1:18" x14ac:dyDescent="0.35">
      <c r="A97" t="s">
        <v>284</v>
      </c>
      <c r="B97" t="s">
        <v>154</v>
      </c>
      <c r="C97" t="s">
        <v>94</v>
      </c>
      <c r="D97" t="s">
        <v>53</v>
      </c>
      <c r="E97" t="s">
        <v>84</v>
      </c>
      <c r="F97" t="s">
        <v>85</v>
      </c>
      <c r="G97" t="s">
        <v>19</v>
      </c>
      <c r="H97">
        <v>648</v>
      </c>
      <c r="I97">
        <v>30</v>
      </c>
      <c r="J97">
        <v>0</v>
      </c>
      <c r="K97" t="s">
        <v>20</v>
      </c>
      <c r="L97">
        <v>34</v>
      </c>
      <c r="M97" t="s">
        <v>21</v>
      </c>
      <c r="N97">
        <f>COUNTIF(order_data[Order_ID],order_data[[#This Row],[Order_ID]])</f>
        <v>1</v>
      </c>
      <c r="O97">
        <f>order_data[[#This Row],[Order_Value]]-order_data[[#This Row],[Discount]]</f>
        <v>648</v>
      </c>
      <c r="P97">
        <f>order_data[[#This Row],[Order_Value]]+order_data[[#This Row],[Delivery_Fee]]-order_data[[#This Row],[Discount]]</f>
        <v>678</v>
      </c>
      <c r="Q97" t="str">
        <f>TEXT(order_data[[#This Row],[Order_Date]],"mmm")</f>
        <v>Jan</v>
      </c>
      <c r="R97">
        <f>MONTH(order_data[[#This Row],[Order_Date]])</f>
        <v>1</v>
      </c>
    </row>
    <row r="98" spans="1:18" x14ac:dyDescent="0.35">
      <c r="A98" t="s">
        <v>285</v>
      </c>
      <c r="B98" t="s">
        <v>286</v>
      </c>
      <c r="C98" t="s">
        <v>287</v>
      </c>
      <c r="D98" t="s">
        <v>16</v>
      </c>
      <c r="E98" t="s">
        <v>17</v>
      </c>
      <c r="F98" t="s">
        <v>18</v>
      </c>
      <c r="G98" t="s">
        <v>49</v>
      </c>
      <c r="H98">
        <v>575</v>
      </c>
      <c r="I98">
        <v>50</v>
      </c>
      <c r="J98">
        <v>20</v>
      </c>
      <c r="K98" t="s">
        <v>29</v>
      </c>
      <c r="L98">
        <v>50</v>
      </c>
      <c r="M98" t="s">
        <v>21</v>
      </c>
      <c r="N98">
        <f>COUNTIF(order_data[Order_ID],order_data[[#This Row],[Order_ID]])</f>
        <v>1</v>
      </c>
      <c r="O98">
        <f>order_data[[#This Row],[Order_Value]]-order_data[[#This Row],[Discount]]</f>
        <v>555</v>
      </c>
      <c r="P98">
        <f>order_data[[#This Row],[Order_Value]]+order_data[[#This Row],[Delivery_Fee]]-order_data[[#This Row],[Discount]]</f>
        <v>605</v>
      </c>
      <c r="Q98" t="str">
        <f>TEXT(order_data[[#This Row],[Order_Date]],"mmm")</f>
        <v>Mar</v>
      </c>
      <c r="R98">
        <f>MONTH(order_data[[#This Row],[Order_Date]])</f>
        <v>3</v>
      </c>
    </row>
    <row r="99" spans="1:18" x14ac:dyDescent="0.35">
      <c r="A99" t="s">
        <v>288</v>
      </c>
      <c r="B99" t="s">
        <v>51</v>
      </c>
      <c r="C99" t="s">
        <v>289</v>
      </c>
      <c r="D99" t="s">
        <v>16</v>
      </c>
      <c r="E99" t="s">
        <v>17</v>
      </c>
      <c r="F99" t="s">
        <v>18</v>
      </c>
      <c r="G99" t="s">
        <v>63</v>
      </c>
      <c r="H99">
        <v>409</v>
      </c>
      <c r="I99">
        <v>40</v>
      </c>
      <c r="J99">
        <v>30</v>
      </c>
      <c r="K99" t="s">
        <v>20</v>
      </c>
      <c r="L99">
        <v>37</v>
      </c>
      <c r="M99" t="s">
        <v>21</v>
      </c>
      <c r="N99">
        <f>COUNTIF(order_data[Order_ID],order_data[[#This Row],[Order_ID]])</f>
        <v>1</v>
      </c>
      <c r="O99">
        <f>order_data[[#This Row],[Order_Value]]-order_data[[#This Row],[Discount]]</f>
        <v>379</v>
      </c>
      <c r="P99">
        <f>order_data[[#This Row],[Order_Value]]+order_data[[#This Row],[Delivery_Fee]]-order_data[[#This Row],[Discount]]</f>
        <v>419</v>
      </c>
      <c r="Q99" t="str">
        <f>TEXT(order_data[[#This Row],[Order_Date]],"mmm")</f>
        <v>Feb</v>
      </c>
      <c r="R99">
        <f>MONTH(order_data[[#This Row],[Order_Date]])</f>
        <v>2</v>
      </c>
    </row>
    <row r="100" spans="1:18" x14ac:dyDescent="0.35">
      <c r="A100" t="s">
        <v>290</v>
      </c>
      <c r="B100" t="s">
        <v>291</v>
      </c>
      <c r="C100" t="s">
        <v>292</v>
      </c>
      <c r="D100" t="s">
        <v>46</v>
      </c>
      <c r="E100" t="s">
        <v>47</v>
      </c>
      <c r="F100" t="s">
        <v>48</v>
      </c>
      <c r="G100" t="s">
        <v>59</v>
      </c>
      <c r="H100">
        <v>799</v>
      </c>
      <c r="I100">
        <v>40</v>
      </c>
      <c r="J100">
        <v>100</v>
      </c>
      <c r="K100" t="s">
        <v>29</v>
      </c>
      <c r="L100">
        <v>46</v>
      </c>
      <c r="M100" t="s">
        <v>21</v>
      </c>
      <c r="N100">
        <f>COUNTIF(order_data[Order_ID],order_data[[#This Row],[Order_ID]])</f>
        <v>1</v>
      </c>
      <c r="O100">
        <f>order_data[[#This Row],[Order_Value]]-order_data[[#This Row],[Discount]]</f>
        <v>699</v>
      </c>
      <c r="P100">
        <f>order_data[[#This Row],[Order_Value]]+order_data[[#This Row],[Delivery_Fee]]-order_data[[#This Row],[Discount]]</f>
        <v>739</v>
      </c>
      <c r="Q100" t="str">
        <f>TEXT(order_data[[#This Row],[Order_Date]],"mmm")</f>
        <v>Feb</v>
      </c>
      <c r="R100">
        <f>MONTH(order_data[[#This Row],[Order_Date]])</f>
        <v>2</v>
      </c>
    </row>
    <row r="101" spans="1:18" x14ac:dyDescent="0.35">
      <c r="A101" t="s">
        <v>293</v>
      </c>
      <c r="B101" t="s">
        <v>105</v>
      </c>
      <c r="C101" t="s">
        <v>116</v>
      </c>
      <c r="D101" t="s">
        <v>25</v>
      </c>
      <c r="E101" t="s">
        <v>26</v>
      </c>
      <c r="F101" t="s">
        <v>27</v>
      </c>
      <c r="G101" t="s">
        <v>42</v>
      </c>
      <c r="H101">
        <v>509</v>
      </c>
      <c r="I101">
        <v>30</v>
      </c>
      <c r="J101">
        <v>20</v>
      </c>
      <c r="K101" t="s">
        <v>36</v>
      </c>
      <c r="L101">
        <v>22</v>
      </c>
      <c r="M101" t="s">
        <v>30</v>
      </c>
      <c r="N101">
        <f>COUNTIF(order_data[Order_ID],order_data[[#This Row],[Order_ID]])</f>
        <v>1</v>
      </c>
      <c r="O101">
        <f>order_data[[#This Row],[Order_Value]]-order_data[[#This Row],[Discount]]</f>
        <v>489</v>
      </c>
      <c r="P101">
        <f>order_data[[#This Row],[Order_Value]]+order_data[[#This Row],[Delivery_Fee]]-order_data[[#This Row],[Discount]]</f>
        <v>519</v>
      </c>
      <c r="Q101" t="str">
        <f>TEXT(order_data[[#This Row],[Order_Date]],"mmm")</f>
        <v>Mar</v>
      </c>
      <c r="R101">
        <f>MONTH(order_data[[#This Row],[Order_Date]])</f>
        <v>3</v>
      </c>
    </row>
    <row r="102" spans="1:18" x14ac:dyDescent="0.35">
      <c r="A102" t="s">
        <v>294</v>
      </c>
      <c r="B102" t="s">
        <v>295</v>
      </c>
      <c r="C102" t="s">
        <v>242</v>
      </c>
      <c r="D102" t="s">
        <v>53</v>
      </c>
      <c r="E102" t="s">
        <v>152</v>
      </c>
      <c r="F102" t="s">
        <v>18</v>
      </c>
      <c r="G102" t="s">
        <v>28</v>
      </c>
      <c r="H102">
        <v>454</v>
      </c>
      <c r="I102">
        <v>20</v>
      </c>
      <c r="J102">
        <v>50</v>
      </c>
      <c r="K102" t="s">
        <v>29</v>
      </c>
      <c r="L102">
        <v>23</v>
      </c>
      <c r="M102" t="s">
        <v>21</v>
      </c>
      <c r="N102">
        <f>COUNTIF(order_data[Order_ID],order_data[[#This Row],[Order_ID]])</f>
        <v>1</v>
      </c>
      <c r="O102">
        <f>order_data[[#This Row],[Order_Value]]-order_data[[#This Row],[Discount]]</f>
        <v>404</v>
      </c>
      <c r="P102">
        <f>order_data[[#This Row],[Order_Value]]+order_data[[#This Row],[Delivery_Fee]]-order_data[[#This Row],[Discount]]</f>
        <v>424</v>
      </c>
      <c r="Q102" t="str">
        <f>TEXT(order_data[[#This Row],[Order_Date]],"mmm")</f>
        <v>Jan</v>
      </c>
      <c r="R102">
        <f>MONTH(order_data[[#This Row],[Order_Date]])</f>
        <v>1</v>
      </c>
    </row>
    <row r="103" spans="1:18" x14ac:dyDescent="0.35">
      <c r="A103" t="s">
        <v>296</v>
      </c>
      <c r="B103" t="s">
        <v>297</v>
      </c>
      <c r="C103" t="s">
        <v>298</v>
      </c>
      <c r="D103" t="s">
        <v>25</v>
      </c>
      <c r="E103" t="s">
        <v>78</v>
      </c>
      <c r="F103" t="s">
        <v>48</v>
      </c>
      <c r="G103" t="s">
        <v>176</v>
      </c>
      <c r="H103">
        <v>394</v>
      </c>
      <c r="I103">
        <v>20</v>
      </c>
      <c r="J103">
        <v>50</v>
      </c>
      <c r="K103" t="s">
        <v>20</v>
      </c>
      <c r="L103">
        <v>41</v>
      </c>
      <c r="M103" t="s">
        <v>21</v>
      </c>
      <c r="N103">
        <f>COUNTIF(order_data[Order_ID],order_data[[#This Row],[Order_ID]])</f>
        <v>1</v>
      </c>
      <c r="O103">
        <f>order_data[[#This Row],[Order_Value]]-order_data[[#This Row],[Discount]]</f>
        <v>344</v>
      </c>
      <c r="P103">
        <f>order_data[[#This Row],[Order_Value]]+order_data[[#This Row],[Delivery_Fee]]-order_data[[#This Row],[Discount]]</f>
        <v>364</v>
      </c>
      <c r="Q103" t="str">
        <f>TEXT(order_data[[#This Row],[Order_Date]],"mmm")</f>
        <v>Feb</v>
      </c>
      <c r="R103">
        <f>MONTH(order_data[[#This Row],[Order_Date]])</f>
        <v>2</v>
      </c>
    </row>
    <row r="104" spans="1:18" x14ac:dyDescent="0.35">
      <c r="A104" t="s">
        <v>299</v>
      </c>
      <c r="B104" t="s">
        <v>300</v>
      </c>
      <c r="C104" t="s">
        <v>301</v>
      </c>
      <c r="D104" t="s">
        <v>25</v>
      </c>
      <c r="E104" t="s">
        <v>26</v>
      </c>
      <c r="F104" t="s">
        <v>27</v>
      </c>
      <c r="G104" t="s">
        <v>42</v>
      </c>
      <c r="H104">
        <v>460</v>
      </c>
      <c r="I104">
        <v>20</v>
      </c>
      <c r="J104">
        <v>30</v>
      </c>
      <c r="K104" t="s">
        <v>36</v>
      </c>
      <c r="L104">
        <v>23</v>
      </c>
      <c r="M104" t="s">
        <v>21</v>
      </c>
      <c r="N104">
        <f>COUNTIF(order_data[Order_ID],order_data[[#This Row],[Order_ID]])</f>
        <v>1</v>
      </c>
      <c r="O104">
        <f>order_data[[#This Row],[Order_Value]]-order_data[[#This Row],[Discount]]</f>
        <v>430</v>
      </c>
      <c r="P104">
        <f>order_data[[#This Row],[Order_Value]]+order_data[[#This Row],[Delivery_Fee]]-order_data[[#This Row],[Discount]]</f>
        <v>450</v>
      </c>
      <c r="Q104" t="str">
        <f>TEXT(order_data[[#This Row],[Order_Date]],"mmm")</f>
        <v>Mar</v>
      </c>
      <c r="R104">
        <f>MONTH(order_data[[#This Row],[Order_Date]])</f>
        <v>3</v>
      </c>
    </row>
    <row r="105" spans="1:18" x14ac:dyDescent="0.35">
      <c r="A105" t="s">
        <v>302</v>
      </c>
      <c r="B105" t="s">
        <v>286</v>
      </c>
      <c r="C105" t="s">
        <v>303</v>
      </c>
      <c r="D105" t="s">
        <v>16</v>
      </c>
      <c r="E105" t="s">
        <v>131</v>
      </c>
      <c r="F105" t="s">
        <v>55</v>
      </c>
      <c r="G105" t="s">
        <v>74</v>
      </c>
      <c r="H105">
        <v>167</v>
      </c>
      <c r="I105">
        <v>40</v>
      </c>
      <c r="J105">
        <v>20</v>
      </c>
      <c r="K105" t="s">
        <v>20</v>
      </c>
      <c r="L105">
        <v>40</v>
      </c>
      <c r="M105" t="s">
        <v>21</v>
      </c>
      <c r="N105">
        <f>COUNTIF(order_data[Order_ID],order_data[[#This Row],[Order_ID]])</f>
        <v>1</v>
      </c>
      <c r="O105">
        <f>order_data[[#This Row],[Order_Value]]-order_data[[#This Row],[Discount]]</f>
        <v>147</v>
      </c>
      <c r="P105">
        <f>order_data[[#This Row],[Order_Value]]+order_data[[#This Row],[Delivery_Fee]]-order_data[[#This Row],[Discount]]</f>
        <v>187</v>
      </c>
      <c r="Q105" t="str">
        <f>TEXT(order_data[[#This Row],[Order_Date]],"mmm")</f>
        <v>Mar</v>
      </c>
      <c r="R105">
        <f>MONTH(order_data[[#This Row],[Order_Date]])</f>
        <v>3</v>
      </c>
    </row>
    <row r="106" spans="1:18" x14ac:dyDescent="0.35">
      <c r="A106" t="s">
        <v>304</v>
      </c>
      <c r="B106" t="s">
        <v>305</v>
      </c>
      <c r="C106" t="s">
        <v>119</v>
      </c>
      <c r="D106" t="s">
        <v>25</v>
      </c>
      <c r="E106" t="s">
        <v>34</v>
      </c>
      <c r="F106" t="s">
        <v>27</v>
      </c>
      <c r="G106" t="s">
        <v>63</v>
      </c>
      <c r="H106">
        <v>730</v>
      </c>
      <c r="I106">
        <v>40</v>
      </c>
      <c r="J106">
        <v>30</v>
      </c>
      <c r="K106" t="s">
        <v>20</v>
      </c>
      <c r="L106">
        <v>53</v>
      </c>
      <c r="M106" t="s">
        <v>21</v>
      </c>
      <c r="N106">
        <f>COUNTIF(order_data[Order_ID],order_data[[#This Row],[Order_ID]])</f>
        <v>1</v>
      </c>
      <c r="O106">
        <f>order_data[[#This Row],[Order_Value]]-order_data[[#This Row],[Discount]]</f>
        <v>700</v>
      </c>
      <c r="P106">
        <f>order_data[[#This Row],[Order_Value]]+order_data[[#This Row],[Delivery_Fee]]-order_data[[#This Row],[Discount]]</f>
        <v>740</v>
      </c>
      <c r="Q106" t="str">
        <f>TEXT(order_data[[#This Row],[Order_Date]],"mmm")</f>
        <v>Jan</v>
      </c>
      <c r="R106">
        <f>MONTH(order_data[[#This Row],[Order_Date]])</f>
        <v>1</v>
      </c>
    </row>
    <row r="107" spans="1:18" x14ac:dyDescent="0.35">
      <c r="A107" t="s">
        <v>306</v>
      </c>
      <c r="B107" t="s">
        <v>38</v>
      </c>
      <c r="C107" t="s">
        <v>307</v>
      </c>
      <c r="D107" t="s">
        <v>46</v>
      </c>
      <c r="E107" t="s">
        <v>47</v>
      </c>
      <c r="F107" t="s">
        <v>48</v>
      </c>
      <c r="G107" t="s">
        <v>28</v>
      </c>
      <c r="H107">
        <v>374</v>
      </c>
      <c r="I107">
        <v>30</v>
      </c>
      <c r="J107">
        <v>50</v>
      </c>
      <c r="K107" t="s">
        <v>20</v>
      </c>
      <c r="L107">
        <v>28</v>
      </c>
      <c r="M107" t="s">
        <v>21</v>
      </c>
      <c r="N107">
        <f>COUNTIF(order_data[Order_ID],order_data[[#This Row],[Order_ID]])</f>
        <v>1</v>
      </c>
      <c r="O107">
        <f>order_data[[#This Row],[Order_Value]]-order_data[[#This Row],[Discount]]</f>
        <v>324</v>
      </c>
      <c r="P107">
        <f>order_data[[#This Row],[Order_Value]]+order_data[[#This Row],[Delivery_Fee]]-order_data[[#This Row],[Discount]]</f>
        <v>354</v>
      </c>
      <c r="Q107" t="str">
        <f>TEXT(order_data[[#This Row],[Order_Date]],"mmm")</f>
        <v>Jan</v>
      </c>
      <c r="R107">
        <f>MONTH(order_data[[#This Row],[Order_Date]])</f>
        <v>1</v>
      </c>
    </row>
    <row r="108" spans="1:18" x14ac:dyDescent="0.35">
      <c r="A108" t="s">
        <v>308</v>
      </c>
      <c r="B108" t="s">
        <v>23</v>
      </c>
      <c r="C108" t="s">
        <v>237</v>
      </c>
      <c r="D108" t="s">
        <v>16</v>
      </c>
      <c r="E108" t="s">
        <v>17</v>
      </c>
      <c r="F108" t="s">
        <v>18</v>
      </c>
      <c r="G108" t="s">
        <v>28</v>
      </c>
      <c r="H108">
        <v>316</v>
      </c>
      <c r="I108">
        <v>30</v>
      </c>
      <c r="J108">
        <v>30</v>
      </c>
      <c r="K108" t="s">
        <v>29</v>
      </c>
      <c r="L108">
        <v>42</v>
      </c>
      <c r="M108" t="s">
        <v>21</v>
      </c>
      <c r="N108">
        <f>COUNTIF(order_data[Order_ID],order_data[[#This Row],[Order_ID]])</f>
        <v>1</v>
      </c>
      <c r="O108">
        <f>order_data[[#This Row],[Order_Value]]-order_data[[#This Row],[Discount]]</f>
        <v>286</v>
      </c>
      <c r="P108">
        <f>order_data[[#This Row],[Order_Value]]+order_data[[#This Row],[Delivery_Fee]]-order_data[[#This Row],[Discount]]</f>
        <v>316</v>
      </c>
      <c r="Q108" t="str">
        <f>TEXT(order_data[[#This Row],[Order_Date]],"mmm")</f>
        <v>Mar</v>
      </c>
      <c r="R108">
        <f>MONTH(order_data[[#This Row],[Order_Date]])</f>
        <v>3</v>
      </c>
    </row>
    <row r="109" spans="1:18" x14ac:dyDescent="0.35">
      <c r="A109" t="s">
        <v>309</v>
      </c>
      <c r="B109" t="s">
        <v>310</v>
      </c>
      <c r="C109" t="s">
        <v>311</v>
      </c>
      <c r="D109" t="s">
        <v>46</v>
      </c>
      <c r="E109" t="s">
        <v>70</v>
      </c>
      <c r="F109" t="s">
        <v>18</v>
      </c>
      <c r="G109" t="s">
        <v>176</v>
      </c>
      <c r="H109">
        <v>428</v>
      </c>
      <c r="I109">
        <v>50</v>
      </c>
      <c r="J109">
        <v>0</v>
      </c>
      <c r="K109" t="s">
        <v>36</v>
      </c>
      <c r="L109">
        <v>28</v>
      </c>
      <c r="M109" t="s">
        <v>21</v>
      </c>
      <c r="N109">
        <f>COUNTIF(order_data[Order_ID],order_data[[#This Row],[Order_ID]])</f>
        <v>1</v>
      </c>
      <c r="O109">
        <f>order_data[[#This Row],[Order_Value]]-order_data[[#This Row],[Discount]]</f>
        <v>428</v>
      </c>
      <c r="P109">
        <f>order_data[[#This Row],[Order_Value]]+order_data[[#This Row],[Delivery_Fee]]-order_data[[#This Row],[Discount]]</f>
        <v>478</v>
      </c>
      <c r="Q109" t="str">
        <f>TEXT(order_data[[#This Row],[Order_Date]],"mmm")</f>
        <v>Feb</v>
      </c>
      <c r="R109">
        <f>MONTH(order_data[[#This Row],[Order_Date]])</f>
        <v>2</v>
      </c>
    </row>
    <row r="110" spans="1:18" x14ac:dyDescent="0.35">
      <c r="A110" t="s">
        <v>312</v>
      </c>
      <c r="B110" t="s">
        <v>267</v>
      </c>
      <c r="C110" t="s">
        <v>313</v>
      </c>
      <c r="D110" t="s">
        <v>40</v>
      </c>
      <c r="E110" t="s">
        <v>111</v>
      </c>
      <c r="F110" t="s">
        <v>18</v>
      </c>
      <c r="G110" t="s">
        <v>35</v>
      </c>
      <c r="H110">
        <v>357</v>
      </c>
      <c r="I110">
        <v>20</v>
      </c>
      <c r="J110">
        <v>0</v>
      </c>
      <c r="K110" t="s">
        <v>20</v>
      </c>
      <c r="L110">
        <v>24</v>
      </c>
      <c r="M110" t="s">
        <v>21</v>
      </c>
      <c r="N110">
        <f>COUNTIF(order_data[Order_ID],order_data[[#This Row],[Order_ID]])</f>
        <v>1</v>
      </c>
      <c r="O110">
        <f>order_data[[#This Row],[Order_Value]]-order_data[[#This Row],[Discount]]</f>
        <v>357</v>
      </c>
      <c r="P110">
        <f>order_data[[#This Row],[Order_Value]]+order_data[[#This Row],[Delivery_Fee]]-order_data[[#This Row],[Discount]]</f>
        <v>377</v>
      </c>
      <c r="Q110" t="str">
        <f>TEXT(order_data[[#This Row],[Order_Date]],"mmm")</f>
        <v>Jan</v>
      </c>
      <c r="R110">
        <f>MONTH(order_data[[#This Row],[Order_Date]])</f>
        <v>1</v>
      </c>
    </row>
    <row r="111" spans="1:18" x14ac:dyDescent="0.35">
      <c r="A111" t="s">
        <v>314</v>
      </c>
      <c r="B111" t="s">
        <v>186</v>
      </c>
      <c r="C111" t="s">
        <v>315</v>
      </c>
      <c r="D111" t="s">
        <v>46</v>
      </c>
      <c r="E111" t="s">
        <v>148</v>
      </c>
      <c r="F111" t="s">
        <v>27</v>
      </c>
      <c r="G111" t="s">
        <v>35</v>
      </c>
      <c r="H111">
        <v>380</v>
      </c>
      <c r="I111">
        <v>50</v>
      </c>
      <c r="J111">
        <v>0</v>
      </c>
      <c r="K111" t="s">
        <v>20</v>
      </c>
      <c r="L111">
        <v>32</v>
      </c>
      <c r="M111" t="s">
        <v>21</v>
      </c>
      <c r="N111">
        <f>COUNTIF(order_data[Order_ID],order_data[[#This Row],[Order_ID]])</f>
        <v>1</v>
      </c>
      <c r="O111">
        <f>order_data[[#This Row],[Order_Value]]-order_data[[#This Row],[Discount]]</f>
        <v>380</v>
      </c>
      <c r="P111">
        <f>order_data[[#This Row],[Order_Value]]+order_data[[#This Row],[Delivery_Fee]]-order_data[[#This Row],[Discount]]</f>
        <v>430</v>
      </c>
      <c r="Q111" t="str">
        <f>TEXT(order_data[[#This Row],[Order_Date]],"mmm")</f>
        <v>Mar</v>
      </c>
      <c r="R111">
        <f>MONTH(order_data[[#This Row],[Order_Date]])</f>
        <v>3</v>
      </c>
    </row>
    <row r="112" spans="1:18" x14ac:dyDescent="0.35">
      <c r="A112" t="s">
        <v>316</v>
      </c>
      <c r="B112" t="s">
        <v>252</v>
      </c>
      <c r="C112" t="s">
        <v>317</v>
      </c>
      <c r="D112" t="s">
        <v>16</v>
      </c>
      <c r="E112" t="s">
        <v>131</v>
      </c>
      <c r="F112" t="s">
        <v>55</v>
      </c>
      <c r="G112" t="s">
        <v>107</v>
      </c>
      <c r="H112">
        <v>447</v>
      </c>
      <c r="I112">
        <v>40</v>
      </c>
      <c r="J112">
        <v>50</v>
      </c>
      <c r="K112" t="s">
        <v>20</v>
      </c>
      <c r="L112">
        <v>33</v>
      </c>
      <c r="M112" t="s">
        <v>21</v>
      </c>
      <c r="N112">
        <f>COUNTIF(order_data[Order_ID],order_data[[#This Row],[Order_ID]])</f>
        <v>1</v>
      </c>
      <c r="O112">
        <f>order_data[[#This Row],[Order_Value]]-order_data[[#This Row],[Discount]]</f>
        <v>397</v>
      </c>
      <c r="P112">
        <f>order_data[[#This Row],[Order_Value]]+order_data[[#This Row],[Delivery_Fee]]-order_data[[#This Row],[Discount]]</f>
        <v>437</v>
      </c>
      <c r="Q112" t="str">
        <f>TEXT(order_data[[#This Row],[Order_Date]],"mmm")</f>
        <v>Jan</v>
      </c>
      <c r="R112">
        <f>MONTH(order_data[[#This Row],[Order_Date]])</f>
        <v>1</v>
      </c>
    </row>
    <row r="113" spans="1:18" x14ac:dyDescent="0.35">
      <c r="A113" t="s">
        <v>318</v>
      </c>
      <c r="B113" t="s">
        <v>310</v>
      </c>
      <c r="C113" t="s">
        <v>298</v>
      </c>
      <c r="D113" t="s">
        <v>25</v>
      </c>
      <c r="E113" t="s">
        <v>78</v>
      </c>
      <c r="F113" t="s">
        <v>48</v>
      </c>
      <c r="G113" t="s">
        <v>35</v>
      </c>
      <c r="H113">
        <v>477</v>
      </c>
      <c r="I113">
        <v>30</v>
      </c>
      <c r="J113">
        <v>50</v>
      </c>
      <c r="K113" t="s">
        <v>20</v>
      </c>
      <c r="L113">
        <v>34</v>
      </c>
      <c r="M113" t="s">
        <v>21</v>
      </c>
      <c r="N113">
        <f>COUNTIF(order_data[Order_ID],order_data[[#This Row],[Order_ID]])</f>
        <v>1</v>
      </c>
      <c r="O113">
        <f>order_data[[#This Row],[Order_Value]]-order_data[[#This Row],[Discount]]</f>
        <v>427</v>
      </c>
      <c r="P113">
        <f>order_data[[#This Row],[Order_Value]]+order_data[[#This Row],[Delivery_Fee]]-order_data[[#This Row],[Discount]]</f>
        <v>457</v>
      </c>
      <c r="Q113" t="str">
        <f>TEXT(order_data[[#This Row],[Order_Date]],"mmm")</f>
        <v>Feb</v>
      </c>
      <c r="R113">
        <f>MONTH(order_data[[#This Row],[Order_Date]])</f>
        <v>2</v>
      </c>
    </row>
    <row r="114" spans="1:18" x14ac:dyDescent="0.35">
      <c r="A114" t="s">
        <v>319</v>
      </c>
      <c r="B114" t="s">
        <v>267</v>
      </c>
      <c r="C114" t="s">
        <v>320</v>
      </c>
      <c r="D114" t="s">
        <v>53</v>
      </c>
      <c r="E114" t="s">
        <v>84</v>
      </c>
      <c r="F114" t="s">
        <v>85</v>
      </c>
      <c r="G114" t="s">
        <v>49</v>
      </c>
      <c r="H114">
        <v>202</v>
      </c>
      <c r="I114">
        <v>30</v>
      </c>
      <c r="J114">
        <v>30</v>
      </c>
      <c r="K114" t="s">
        <v>36</v>
      </c>
      <c r="L114">
        <v>27</v>
      </c>
      <c r="M114" t="s">
        <v>21</v>
      </c>
      <c r="N114">
        <f>COUNTIF(order_data[Order_ID],order_data[[#This Row],[Order_ID]])</f>
        <v>1</v>
      </c>
      <c r="O114">
        <f>order_data[[#This Row],[Order_Value]]-order_data[[#This Row],[Discount]]</f>
        <v>172</v>
      </c>
      <c r="P114">
        <f>order_data[[#This Row],[Order_Value]]+order_data[[#This Row],[Delivery_Fee]]-order_data[[#This Row],[Discount]]</f>
        <v>202</v>
      </c>
      <c r="Q114" t="str">
        <f>TEXT(order_data[[#This Row],[Order_Date]],"mmm")</f>
        <v>Jan</v>
      </c>
      <c r="R114">
        <f>MONTH(order_data[[#This Row],[Order_Date]])</f>
        <v>1</v>
      </c>
    </row>
    <row r="115" spans="1:18" x14ac:dyDescent="0.35">
      <c r="A115" t="s">
        <v>321</v>
      </c>
      <c r="B115" t="s">
        <v>322</v>
      </c>
      <c r="C115" t="s">
        <v>323</v>
      </c>
      <c r="D115" t="s">
        <v>16</v>
      </c>
      <c r="E115" t="s">
        <v>89</v>
      </c>
      <c r="F115" t="s">
        <v>18</v>
      </c>
      <c r="G115" t="s">
        <v>107</v>
      </c>
      <c r="H115">
        <v>770</v>
      </c>
      <c r="I115">
        <v>40</v>
      </c>
      <c r="J115">
        <v>20</v>
      </c>
      <c r="K115" t="s">
        <v>20</v>
      </c>
      <c r="L115">
        <v>27</v>
      </c>
      <c r="M115" t="s">
        <v>30</v>
      </c>
      <c r="N115">
        <f>COUNTIF(order_data[Order_ID],order_data[[#This Row],[Order_ID]])</f>
        <v>1</v>
      </c>
      <c r="O115">
        <f>order_data[[#This Row],[Order_Value]]-order_data[[#This Row],[Discount]]</f>
        <v>750</v>
      </c>
      <c r="P115">
        <f>order_data[[#This Row],[Order_Value]]+order_data[[#This Row],[Delivery_Fee]]-order_data[[#This Row],[Discount]]</f>
        <v>790</v>
      </c>
      <c r="Q115" t="str">
        <f>TEXT(order_data[[#This Row],[Order_Date]],"mmm")</f>
        <v>Jan</v>
      </c>
      <c r="R115">
        <f>MONTH(order_data[[#This Row],[Order_Date]])</f>
        <v>1</v>
      </c>
    </row>
    <row r="116" spans="1:18" x14ac:dyDescent="0.35">
      <c r="A116" t="s">
        <v>324</v>
      </c>
      <c r="B116" t="s">
        <v>118</v>
      </c>
      <c r="C116" t="s">
        <v>175</v>
      </c>
      <c r="D116" t="s">
        <v>16</v>
      </c>
      <c r="E116" t="s">
        <v>131</v>
      </c>
      <c r="F116" t="s">
        <v>55</v>
      </c>
      <c r="G116" t="s">
        <v>176</v>
      </c>
      <c r="H116">
        <v>252</v>
      </c>
      <c r="I116">
        <v>20</v>
      </c>
      <c r="J116">
        <v>30</v>
      </c>
      <c r="K116" t="s">
        <v>20</v>
      </c>
      <c r="L116">
        <v>34</v>
      </c>
      <c r="M116" t="s">
        <v>21</v>
      </c>
      <c r="N116">
        <f>COUNTIF(order_data[Order_ID],order_data[[#This Row],[Order_ID]])</f>
        <v>1</v>
      </c>
      <c r="O116">
        <f>order_data[[#This Row],[Order_Value]]-order_data[[#This Row],[Discount]]</f>
        <v>222</v>
      </c>
      <c r="P116">
        <f>order_data[[#This Row],[Order_Value]]+order_data[[#This Row],[Delivery_Fee]]-order_data[[#This Row],[Discount]]</f>
        <v>242</v>
      </c>
      <c r="Q116" t="str">
        <f>TEXT(order_data[[#This Row],[Order_Date]],"mmm")</f>
        <v>Mar</v>
      </c>
      <c r="R116">
        <f>MONTH(order_data[[#This Row],[Order_Date]])</f>
        <v>3</v>
      </c>
    </row>
    <row r="117" spans="1:18" x14ac:dyDescent="0.35">
      <c r="A117" t="s">
        <v>325</v>
      </c>
      <c r="B117" t="s">
        <v>326</v>
      </c>
      <c r="C117" t="s">
        <v>327</v>
      </c>
      <c r="D117" t="s">
        <v>40</v>
      </c>
      <c r="E117" t="s">
        <v>111</v>
      </c>
      <c r="F117" t="s">
        <v>18</v>
      </c>
      <c r="G117" t="s">
        <v>74</v>
      </c>
      <c r="H117">
        <v>360</v>
      </c>
      <c r="I117">
        <v>40</v>
      </c>
      <c r="J117">
        <v>100</v>
      </c>
      <c r="K117" t="s">
        <v>20</v>
      </c>
      <c r="L117">
        <v>30</v>
      </c>
      <c r="M117" t="s">
        <v>21</v>
      </c>
      <c r="N117">
        <f>COUNTIF(order_data[Order_ID],order_data[[#This Row],[Order_ID]])</f>
        <v>1</v>
      </c>
      <c r="O117">
        <f>order_data[[#This Row],[Order_Value]]-order_data[[#This Row],[Discount]]</f>
        <v>260</v>
      </c>
      <c r="P117">
        <f>order_data[[#This Row],[Order_Value]]+order_data[[#This Row],[Delivery_Fee]]-order_data[[#This Row],[Discount]]</f>
        <v>300</v>
      </c>
      <c r="Q117" t="str">
        <f>TEXT(order_data[[#This Row],[Order_Date]],"mmm")</f>
        <v>Mar</v>
      </c>
      <c r="R117">
        <f>MONTH(order_data[[#This Row],[Order_Date]])</f>
        <v>3</v>
      </c>
    </row>
    <row r="118" spans="1:18" x14ac:dyDescent="0.35">
      <c r="A118" t="s">
        <v>328</v>
      </c>
      <c r="B118" t="s">
        <v>329</v>
      </c>
      <c r="C118" t="s">
        <v>330</v>
      </c>
      <c r="D118" t="s">
        <v>16</v>
      </c>
      <c r="E118" t="s">
        <v>17</v>
      </c>
      <c r="F118" t="s">
        <v>18</v>
      </c>
      <c r="G118" t="s">
        <v>74</v>
      </c>
      <c r="H118">
        <v>545</v>
      </c>
      <c r="I118">
        <v>40</v>
      </c>
      <c r="J118">
        <v>100</v>
      </c>
      <c r="K118" t="s">
        <v>36</v>
      </c>
      <c r="L118">
        <v>51</v>
      </c>
      <c r="M118" t="s">
        <v>21</v>
      </c>
      <c r="N118">
        <f>COUNTIF(order_data[Order_ID],order_data[[#This Row],[Order_ID]])</f>
        <v>1</v>
      </c>
      <c r="O118">
        <f>order_data[[#This Row],[Order_Value]]-order_data[[#This Row],[Discount]]</f>
        <v>445</v>
      </c>
      <c r="P118">
        <f>order_data[[#This Row],[Order_Value]]+order_data[[#This Row],[Delivery_Fee]]-order_data[[#This Row],[Discount]]</f>
        <v>485</v>
      </c>
      <c r="Q118" t="str">
        <f>TEXT(order_data[[#This Row],[Order_Date]],"mmm")</f>
        <v>Mar</v>
      </c>
      <c r="R118">
        <f>MONTH(order_data[[#This Row],[Order_Date]])</f>
        <v>3</v>
      </c>
    </row>
    <row r="119" spans="1:18" x14ac:dyDescent="0.35">
      <c r="A119" t="s">
        <v>331</v>
      </c>
      <c r="B119" t="s">
        <v>213</v>
      </c>
      <c r="C119" t="s">
        <v>332</v>
      </c>
      <c r="D119" t="s">
        <v>25</v>
      </c>
      <c r="E119" t="s">
        <v>78</v>
      </c>
      <c r="F119" t="s">
        <v>48</v>
      </c>
      <c r="G119" t="s">
        <v>42</v>
      </c>
      <c r="H119">
        <v>427</v>
      </c>
      <c r="I119">
        <v>20</v>
      </c>
      <c r="J119">
        <v>30</v>
      </c>
      <c r="K119" t="s">
        <v>36</v>
      </c>
      <c r="L119">
        <v>37</v>
      </c>
      <c r="M119" t="s">
        <v>21</v>
      </c>
      <c r="N119">
        <f>COUNTIF(order_data[Order_ID],order_data[[#This Row],[Order_ID]])</f>
        <v>1</v>
      </c>
      <c r="O119">
        <f>order_data[[#This Row],[Order_Value]]-order_data[[#This Row],[Discount]]</f>
        <v>397</v>
      </c>
      <c r="P119">
        <f>order_data[[#This Row],[Order_Value]]+order_data[[#This Row],[Delivery_Fee]]-order_data[[#This Row],[Discount]]</f>
        <v>417</v>
      </c>
      <c r="Q119" t="str">
        <f>TEXT(order_data[[#This Row],[Order_Date]],"mmm")</f>
        <v>Jan</v>
      </c>
      <c r="R119">
        <f>MONTH(order_data[[#This Row],[Order_Date]])</f>
        <v>1</v>
      </c>
    </row>
    <row r="120" spans="1:18" x14ac:dyDescent="0.35">
      <c r="A120" t="s">
        <v>333</v>
      </c>
      <c r="B120" t="s">
        <v>241</v>
      </c>
      <c r="C120" t="s">
        <v>334</v>
      </c>
      <c r="D120" t="s">
        <v>40</v>
      </c>
      <c r="E120" t="s">
        <v>67</v>
      </c>
      <c r="F120" t="s">
        <v>48</v>
      </c>
      <c r="G120" t="s">
        <v>74</v>
      </c>
      <c r="H120">
        <v>166</v>
      </c>
      <c r="I120">
        <v>20</v>
      </c>
      <c r="J120">
        <v>50</v>
      </c>
      <c r="K120" t="s">
        <v>20</v>
      </c>
      <c r="L120">
        <v>31</v>
      </c>
      <c r="M120" t="s">
        <v>21</v>
      </c>
      <c r="N120">
        <f>COUNTIF(order_data[Order_ID],order_data[[#This Row],[Order_ID]])</f>
        <v>1</v>
      </c>
      <c r="O120">
        <f>order_data[[#This Row],[Order_Value]]-order_data[[#This Row],[Discount]]</f>
        <v>116</v>
      </c>
      <c r="P120">
        <f>order_data[[#This Row],[Order_Value]]+order_data[[#This Row],[Delivery_Fee]]-order_data[[#This Row],[Discount]]</f>
        <v>136</v>
      </c>
      <c r="Q120" t="str">
        <f>TEXT(order_data[[#This Row],[Order_Date]],"mmm")</f>
        <v>Mar</v>
      </c>
      <c r="R120">
        <f>MONTH(order_data[[#This Row],[Order_Date]])</f>
        <v>3</v>
      </c>
    </row>
    <row r="121" spans="1:18" x14ac:dyDescent="0.35">
      <c r="A121" t="s">
        <v>335</v>
      </c>
      <c r="B121" t="s">
        <v>336</v>
      </c>
      <c r="C121" t="s">
        <v>337</v>
      </c>
      <c r="D121" t="s">
        <v>53</v>
      </c>
      <c r="E121" t="s">
        <v>84</v>
      </c>
      <c r="F121" t="s">
        <v>85</v>
      </c>
      <c r="G121" t="s">
        <v>74</v>
      </c>
      <c r="H121">
        <v>326</v>
      </c>
      <c r="I121">
        <v>40</v>
      </c>
      <c r="J121">
        <v>100</v>
      </c>
      <c r="K121" t="s">
        <v>29</v>
      </c>
      <c r="L121">
        <v>25</v>
      </c>
      <c r="M121" t="s">
        <v>21</v>
      </c>
      <c r="N121">
        <f>COUNTIF(order_data[Order_ID],order_data[[#This Row],[Order_ID]])</f>
        <v>1</v>
      </c>
      <c r="O121">
        <f>order_data[[#This Row],[Order_Value]]-order_data[[#This Row],[Discount]]</f>
        <v>226</v>
      </c>
      <c r="P121">
        <f>order_data[[#This Row],[Order_Value]]+order_data[[#This Row],[Delivery_Fee]]-order_data[[#This Row],[Discount]]</f>
        <v>266</v>
      </c>
      <c r="Q121" t="str">
        <f>TEXT(order_data[[#This Row],[Order_Date]],"mmm")</f>
        <v>Feb</v>
      </c>
      <c r="R121">
        <f>MONTH(order_data[[#This Row],[Order_Date]])</f>
        <v>2</v>
      </c>
    </row>
    <row r="122" spans="1:18" x14ac:dyDescent="0.35">
      <c r="A122" t="s">
        <v>338</v>
      </c>
      <c r="B122" t="s">
        <v>339</v>
      </c>
      <c r="C122" t="s">
        <v>340</v>
      </c>
      <c r="D122" t="s">
        <v>25</v>
      </c>
      <c r="E122" t="s">
        <v>78</v>
      </c>
      <c r="F122" t="s">
        <v>48</v>
      </c>
      <c r="G122" t="s">
        <v>176</v>
      </c>
      <c r="H122">
        <v>523</v>
      </c>
      <c r="I122">
        <v>50</v>
      </c>
      <c r="J122">
        <v>0</v>
      </c>
      <c r="K122" t="s">
        <v>29</v>
      </c>
      <c r="L122">
        <v>37</v>
      </c>
      <c r="M122" t="s">
        <v>21</v>
      </c>
      <c r="N122">
        <f>COUNTIF(order_data[Order_ID],order_data[[#This Row],[Order_ID]])</f>
        <v>1</v>
      </c>
      <c r="O122">
        <f>order_data[[#This Row],[Order_Value]]-order_data[[#This Row],[Discount]]</f>
        <v>523</v>
      </c>
      <c r="P122">
        <f>order_data[[#This Row],[Order_Value]]+order_data[[#This Row],[Delivery_Fee]]-order_data[[#This Row],[Discount]]</f>
        <v>573</v>
      </c>
      <c r="Q122" t="str">
        <f>TEXT(order_data[[#This Row],[Order_Date]],"mmm")</f>
        <v>Jan</v>
      </c>
      <c r="R122">
        <f>MONTH(order_data[[#This Row],[Order_Date]])</f>
        <v>1</v>
      </c>
    </row>
    <row r="123" spans="1:18" x14ac:dyDescent="0.35">
      <c r="A123" t="s">
        <v>341</v>
      </c>
      <c r="B123" t="s">
        <v>342</v>
      </c>
      <c r="C123" t="s">
        <v>343</v>
      </c>
      <c r="D123" t="s">
        <v>46</v>
      </c>
      <c r="E123" t="s">
        <v>70</v>
      </c>
      <c r="F123" t="s">
        <v>18</v>
      </c>
      <c r="G123" t="s">
        <v>19</v>
      </c>
      <c r="H123">
        <v>208</v>
      </c>
      <c r="I123">
        <v>30</v>
      </c>
      <c r="J123">
        <v>50</v>
      </c>
      <c r="K123" t="s">
        <v>36</v>
      </c>
      <c r="L123">
        <v>25</v>
      </c>
      <c r="M123" t="s">
        <v>21</v>
      </c>
      <c r="N123">
        <f>COUNTIF(order_data[Order_ID],order_data[[#This Row],[Order_ID]])</f>
        <v>1</v>
      </c>
      <c r="O123">
        <f>order_data[[#This Row],[Order_Value]]-order_data[[#This Row],[Discount]]</f>
        <v>158</v>
      </c>
      <c r="P123">
        <f>order_data[[#This Row],[Order_Value]]+order_data[[#This Row],[Delivery_Fee]]-order_data[[#This Row],[Discount]]</f>
        <v>188</v>
      </c>
      <c r="Q123" t="str">
        <f>TEXT(order_data[[#This Row],[Order_Date]],"mmm")</f>
        <v>Jan</v>
      </c>
      <c r="R123">
        <f>MONTH(order_data[[#This Row],[Order_Date]])</f>
        <v>1</v>
      </c>
    </row>
    <row r="124" spans="1:18" x14ac:dyDescent="0.35">
      <c r="A124" t="s">
        <v>344</v>
      </c>
      <c r="B124" t="s">
        <v>129</v>
      </c>
      <c r="C124" t="s">
        <v>345</v>
      </c>
      <c r="D124" t="s">
        <v>25</v>
      </c>
      <c r="E124" t="s">
        <v>34</v>
      </c>
      <c r="F124" t="s">
        <v>27</v>
      </c>
      <c r="G124" t="s">
        <v>35</v>
      </c>
      <c r="H124">
        <v>177</v>
      </c>
      <c r="I124">
        <v>50</v>
      </c>
      <c r="J124">
        <v>20</v>
      </c>
      <c r="K124" t="s">
        <v>20</v>
      </c>
      <c r="L124">
        <v>54</v>
      </c>
      <c r="M124" t="s">
        <v>21</v>
      </c>
      <c r="N124">
        <f>COUNTIF(order_data[Order_ID],order_data[[#This Row],[Order_ID]])</f>
        <v>1</v>
      </c>
      <c r="O124">
        <f>order_data[[#This Row],[Order_Value]]-order_data[[#This Row],[Discount]]</f>
        <v>157</v>
      </c>
      <c r="P124">
        <f>order_data[[#This Row],[Order_Value]]+order_data[[#This Row],[Delivery_Fee]]-order_data[[#This Row],[Discount]]</f>
        <v>207</v>
      </c>
      <c r="Q124" t="str">
        <f>TEXT(order_data[[#This Row],[Order_Date]],"mmm")</f>
        <v>Feb</v>
      </c>
      <c r="R124">
        <f>MONTH(order_data[[#This Row],[Order_Date]])</f>
        <v>2</v>
      </c>
    </row>
    <row r="125" spans="1:18" x14ac:dyDescent="0.35">
      <c r="A125" t="s">
        <v>346</v>
      </c>
      <c r="B125" t="s">
        <v>44</v>
      </c>
      <c r="C125" t="s">
        <v>347</v>
      </c>
      <c r="D125" t="s">
        <v>16</v>
      </c>
      <c r="E125" t="s">
        <v>131</v>
      </c>
      <c r="F125" t="s">
        <v>55</v>
      </c>
      <c r="G125" t="s">
        <v>176</v>
      </c>
      <c r="H125">
        <v>380</v>
      </c>
      <c r="I125">
        <v>50</v>
      </c>
      <c r="J125">
        <v>30</v>
      </c>
      <c r="K125" t="s">
        <v>29</v>
      </c>
      <c r="L125">
        <v>54</v>
      </c>
      <c r="M125" t="s">
        <v>21</v>
      </c>
      <c r="N125">
        <f>COUNTIF(order_data[Order_ID],order_data[[#This Row],[Order_ID]])</f>
        <v>1</v>
      </c>
      <c r="O125">
        <f>order_data[[#This Row],[Order_Value]]-order_data[[#This Row],[Discount]]</f>
        <v>350</v>
      </c>
      <c r="P125">
        <f>order_data[[#This Row],[Order_Value]]+order_data[[#This Row],[Delivery_Fee]]-order_data[[#This Row],[Discount]]</f>
        <v>400</v>
      </c>
      <c r="Q125" t="str">
        <f>TEXT(order_data[[#This Row],[Order_Date]],"mmm")</f>
        <v>Jan</v>
      </c>
      <c r="R125">
        <f>MONTH(order_data[[#This Row],[Order_Date]])</f>
        <v>1</v>
      </c>
    </row>
    <row r="126" spans="1:18" x14ac:dyDescent="0.35">
      <c r="A126" t="s">
        <v>348</v>
      </c>
      <c r="B126" t="s">
        <v>297</v>
      </c>
      <c r="C126" t="s">
        <v>349</v>
      </c>
      <c r="D126" t="s">
        <v>40</v>
      </c>
      <c r="E126" t="s">
        <v>67</v>
      </c>
      <c r="F126" t="s">
        <v>48</v>
      </c>
      <c r="G126" t="s">
        <v>19</v>
      </c>
      <c r="H126">
        <v>732</v>
      </c>
      <c r="I126">
        <v>40</v>
      </c>
      <c r="J126">
        <v>50</v>
      </c>
      <c r="K126" t="s">
        <v>20</v>
      </c>
      <c r="L126">
        <v>40</v>
      </c>
      <c r="M126" t="s">
        <v>21</v>
      </c>
      <c r="N126">
        <f>COUNTIF(order_data[Order_ID],order_data[[#This Row],[Order_ID]])</f>
        <v>1</v>
      </c>
      <c r="O126">
        <f>order_data[[#This Row],[Order_Value]]-order_data[[#This Row],[Discount]]</f>
        <v>682</v>
      </c>
      <c r="P126">
        <f>order_data[[#This Row],[Order_Value]]+order_data[[#This Row],[Delivery_Fee]]-order_data[[#This Row],[Discount]]</f>
        <v>722</v>
      </c>
      <c r="Q126" t="str">
        <f>TEXT(order_data[[#This Row],[Order_Date]],"mmm")</f>
        <v>Feb</v>
      </c>
      <c r="R126">
        <f>MONTH(order_data[[#This Row],[Order_Date]])</f>
        <v>2</v>
      </c>
    </row>
    <row r="127" spans="1:18" x14ac:dyDescent="0.35">
      <c r="A127" t="s">
        <v>350</v>
      </c>
      <c r="B127" t="s">
        <v>342</v>
      </c>
      <c r="C127" t="s">
        <v>351</v>
      </c>
      <c r="D127" t="s">
        <v>53</v>
      </c>
      <c r="E127" t="s">
        <v>152</v>
      </c>
      <c r="F127" t="s">
        <v>18</v>
      </c>
      <c r="G127" t="s">
        <v>49</v>
      </c>
      <c r="H127">
        <v>428</v>
      </c>
      <c r="I127">
        <v>40</v>
      </c>
      <c r="J127">
        <v>0</v>
      </c>
      <c r="K127" t="s">
        <v>20</v>
      </c>
      <c r="L127">
        <v>36</v>
      </c>
      <c r="M127" t="s">
        <v>21</v>
      </c>
      <c r="N127">
        <f>COUNTIF(order_data[Order_ID],order_data[[#This Row],[Order_ID]])</f>
        <v>1</v>
      </c>
      <c r="O127">
        <f>order_data[[#This Row],[Order_Value]]-order_data[[#This Row],[Discount]]</f>
        <v>428</v>
      </c>
      <c r="P127">
        <f>order_data[[#This Row],[Order_Value]]+order_data[[#This Row],[Delivery_Fee]]-order_data[[#This Row],[Discount]]</f>
        <v>468</v>
      </c>
      <c r="Q127" t="str">
        <f>TEXT(order_data[[#This Row],[Order_Date]],"mmm")</f>
        <v>Jan</v>
      </c>
      <c r="R127">
        <f>MONTH(order_data[[#This Row],[Order_Date]])</f>
        <v>1</v>
      </c>
    </row>
    <row r="128" spans="1:18" x14ac:dyDescent="0.35">
      <c r="A128" t="s">
        <v>352</v>
      </c>
      <c r="B128" t="s">
        <v>192</v>
      </c>
      <c r="C128" t="s">
        <v>353</v>
      </c>
      <c r="D128" t="s">
        <v>40</v>
      </c>
      <c r="E128" t="s">
        <v>67</v>
      </c>
      <c r="F128" t="s">
        <v>48</v>
      </c>
      <c r="G128" t="s">
        <v>107</v>
      </c>
      <c r="H128">
        <v>250</v>
      </c>
      <c r="I128">
        <v>20</v>
      </c>
      <c r="J128">
        <v>20</v>
      </c>
      <c r="K128" t="s">
        <v>29</v>
      </c>
      <c r="L128">
        <v>53</v>
      </c>
      <c r="M128" t="s">
        <v>21</v>
      </c>
      <c r="N128">
        <f>COUNTIF(order_data[Order_ID],order_data[[#This Row],[Order_ID]])</f>
        <v>1</v>
      </c>
      <c r="O128">
        <f>order_data[[#This Row],[Order_Value]]-order_data[[#This Row],[Discount]]</f>
        <v>230</v>
      </c>
      <c r="P128">
        <f>order_data[[#This Row],[Order_Value]]+order_data[[#This Row],[Delivery_Fee]]-order_data[[#This Row],[Discount]]</f>
        <v>250</v>
      </c>
      <c r="Q128" t="str">
        <f>TEXT(order_data[[#This Row],[Order_Date]],"mmm")</f>
        <v>Mar</v>
      </c>
      <c r="R128">
        <f>MONTH(order_data[[#This Row],[Order_Date]])</f>
        <v>3</v>
      </c>
    </row>
    <row r="129" spans="1:18" x14ac:dyDescent="0.35">
      <c r="A129" t="s">
        <v>354</v>
      </c>
      <c r="B129" t="s">
        <v>342</v>
      </c>
      <c r="C129" t="s">
        <v>355</v>
      </c>
      <c r="D129" t="s">
        <v>53</v>
      </c>
      <c r="E129" t="s">
        <v>54</v>
      </c>
      <c r="F129" t="s">
        <v>55</v>
      </c>
      <c r="G129" t="s">
        <v>28</v>
      </c>
      <c r="H129">
        <v>798</v>
      </c>
      <c r="I129">
        <v>20</v>
      </c>
      <c r="J129">
        <v>100</v>
      </c>
      <c r="K129" t="s">
        <v>20</v>
      </c>
      <c r="L129">
        <v>57</v>
      </c>
      <c r="M129" t="s">
        <v>21</v>
      </c>
      <c r="N129">
        <f>COUNTIF(order_data[Order_ID],order_data[[#This Row],[Order_ID]])</f>
        <v>1</v>
      </c>
      <c r="O129">
        <f>order_data[[#This Row],[Order_Value]]-order_data[[#This Row],[Discount]]</f>
        <v>698</v>
      </c>
      <c r="P129">
        <f>order_data[[#This Row],[Order_Value]]+order_data[[#This Row],[Delivery_Fee]]-order_data[[#This Row],[Discount]]</f>
        <v>718</v>
      </c>
      <c r="Q129" t="str">
        <f>TEXT(order_data[[#This Row],[Order_Date]],"mmm")</f>
        <v>Jan</v>
      </c>
      <c r="R129">
        <f>MONTH(order_data[[#This Row],[Order_Date]])</f>
        <v>1</v>
      </c>
    </row>
    <row r="130" spans="1:18" x14ac:dyDescent="0.35">
      <c r="A130" t="s">
        <v>356</v>
      </c>
      <c r="B130" t="s">
        <v>329</v>
      </c>
      <c r="C130" t="s">
        <v>357</v>
      </c>
      <c r="D130" t="s">
        <v>16</v>
      </c>
      <c r="E130" t="s">
        <v>89</v>
      </c>
      <c r="F130" t="s">
        <v>18</v>
      </c>
      <c r="G130" t="s">
        <v>63</v>
      </c>
      <c r="H130">
        <v>646</v>
      </c>
      <c r="I130">
        <v>50</v>
      </c>
      <c r="J130">
        <v>30</v>
      </c>
      <c r="K130" t="s">
        <v>29</v>
      </c>
      <c r="L130">
        <v>35</v>
      </c>
      <c r="M130" t="s">
        <v>21</v>
      </c>
      <c r="N130">
        <f>COUNTIF(order_data[Order_ID],order_data[[#This Row],[Order_ID]])</f>
        <v>1</v>
      </c>
      <c r="O130">
        <f>order_data[[#This Row],[Order_Value]]-order_data[[#This Row],[Discount]]</f>
        <v>616</v>
      </c>
      <c r="P130">
        <f>order_data[[#This Row],[Order_Value]]+order_data[[#This Row],[Delivery_Fee]]-order_data[[#This Row],[Discount]]</f>
        <v>666</v>
      </c>
      <c r="Q130" t="str">
        <f>TEXT(order_data[[#This Row],[Order_Date]],"mmm")</f>
        <v>Mar</v>
      </c>
      <c r="R130">
        <f>MONTH(order_data[[#This Row],[Order_Date]])</f>
        <v>3</v>
      </c>
    </row>
    <row r="131" spans="1:18" x14ac:dyDescent="0.35">
      <c r="A131" t="s">
        <v>358</v>
      </c>
      <c r="B131" t="s">
        <v>223</v>
      </c>
      <c r="C131" t="s">
        <v>359</v>
      </c>
      <c r="D131" t="s">
        <v>46</v>
      </c>
      <c r="E131" t="s">
        <v>70</v>
      </c>
      <c r="F131" t="s">
        <v>18</v>
      </c>
      <c r="G131" t="s">
        <v>42</v>
      </c>
      <c r="H131">
        <v>510</v>
      </c>
      <c r="I131">
        <v>50</v>
      </c>
      <c r="J131">
        <v>50</v>
      </c>
      <c r="K131" t="s">
        <v>29</v>
      </c>
      <c r="L131">
        <v>45</v>
      </c>
      <c r="M131" t="s">
        <v>21</v>
      </c>
      <c r="N131">
        <f>COUNTIF(order_data[Order_ID],order_data[[#This Row],[Order_ID]])</f>
        <v>1</v>
      </c>
      <c r="O131">
        <f>order_data[[#This Row],[Order_Value]]-order_data[[#This Row],[Discount]]</f>
        <v>460</v>
      </c>
      <c r="P131">
        <f>order_data[[#This Row],[Order_Value]]+order_data[[#This Row],[Delivery_Fee]]-order_data[[#This Row],[Discount]]</f>
        <v>510</v>
      </c>
      <c r="Q131" t="str">
        <f>TEXT(order_data[[#This Row],[Order_Date]],"mmm")</f>
        <v>Mar</v>
      </c>
      <c r="R131">
        <f>MONTH(order_data[[#This Row],[Order_Date]])</f>
        <v>3</v>
      </c>
    </row>
    <row r="132" spans="1:18" x14ac:dyDescent="0.35">
      <c r="A132" t="s">
        <v>360</v>
      </c>
      <c r="B132" t="s">
        <v>310</v>
      </c>
      <c r="C132" t="s">
        <v>361</v>
      </c>
      <c r="D132" t="s">
        <v>25</v>
      </c>
      <c r="E132" t="s">
        <v>34</v>
      </c>
      <c r="F132" t="s">
        <v>27</v>
      </c>
      <c r="G132" t="s">
        <v>63</v>
      </c>
      <c r="H132">
        <v>232</v>
      </c>
      <c r="I132">
        <v>50</v>
      </c>
      <c r="J132">
        <v>0</v>
      </c>
      <c r="K132" t="s">
        <v>20</v>
      </c>
      <c r="L132">
        <v>30</v>
      </c>
      <c r="M132" t="s">
        <v>21</v>
      </c>
      <c r="N132">
        <f>COUNTIF(order_data[Order_ID],order_data[[#This Row],[Order_ID]])</f>
        <v>1</v>
      </c>
      <c r="O132">
        <f>order_data[[#This Row],[Order_Value]]-order_data[[#This Row],[Discount]]</f>
        <v>232</v>
      </c>
      <c r="P132">
        <f>order_data[[#This Row],[Order_Value]]+order_data[[#This Row],[Delivery_Fee]]-order_data[[#This Row],[Discount]]</f>
        <v>282</v>
      </c>
      <c r="Q132" t="str">
        <f>TEXT(order_data[[#This Row],[Order_Date]],"mmm")</f>
        <v>Feb</v>
      </c>
      <c r="R132">
        <f>MONTH(order_data[[#This Row],[Order_Date]])</f>
        <v>2</v>
      </c>
    </row>
    <row r="133" spans="1:18" x14ac:dyDescent="0.35">
      <c r="A133" t="s">
        <v>362</v>
      </c>
      <c r="B133" t="s">
        <v>291</v>
      </c>
      <c r="C133" t="s">
        <v>363</v>
      </c>
      <c r="D133" t="s">
        <v>53</v>
      </c>
      <c r="E133" t="s">
        <v>54</v>
      </c>
      <c r="F133" t="s">
        <v>55</v>
      </c>
      <c r="G133" t="s">
        <v>59</v>
      </c>
      <c r="H133">
        <v>453</v>
      </c>
      <c r="I133">
        <v>50</v>
      </c>
      <c r="J133">
        <v>30</v>
      </c>
      <c r="K133" t="s">
        <v>36</v>
      </c>
      <c r="L133">
        <v>29</v>
      </c>
      <c r="M133" t="s">
        <v>21</v>
      </c>
      <c r="N133">
        <f>COUNTIF(order_data[Order_ID],order_data[[#This Row],[Order_ID]])</f>
        <v>1</v>
      </c>
      <c r="O133">
        <f>order_data[[#This Row],[Order_Value]]-order_data[[#This Row],[Discount]]</f>
        <v>423</v>
      </c>
      <c r="P133">
        <f>order_data[[#This Row],[Order_Value]]+order_data[[#This Row],[Delivery_Fee]]-order_data[[#This Row],[Discount]]</f>
        <v>473</v>
      </c>
      <c r="Q133" t="str">
        <f>TEXT(order_data[[#This Row],[Order_Date]],"mmm")</f>
        <v>Feb</v>
      </c>
      <c r="R133">
        <f>MONTH(order_data[[#This Row],[Order_Date]])</f>
        <v>2</v>
      </c>
    </row>
    <row r="134" spans="1:18" x14ac:dyDescent="0.35">
      <c r="A134" t="s">
        <v>364</v>
      </c>
      <c r="B134" t="s">
        <v>365</v>
      </c>
      <c r="C134" t="s">
        <v>366</v>
      </c>
      <c r="D134" t="s">
        <v>25</v>
      </c>
      <c r="E134" t="s">
        <v>26</v>
      </c>
      <c r="F134" t="s">
        <v>27</v>
      </c>
      <c r="G134" t="s">
        <v>19</v>
      </c>
      <c r="H134">
        <v>264</v>
      </c>
      <c r="I134">
        <v>40</v>
      </c>
      <c r="J134">
        <v>50</v>
      </c>
      <c r="K134" t="s">
        <v>36</v>
      </c>
      <c r="L134">
        <v>40</v>
      </c>
      <c r="M134" t="s">
        <v>21</v>
      </c>
      <c r="N134">
        <f>COUNTIF(order_data[Order_ID],order_data[[#This Row],[Order_ID]])</f>
        <v>1</v>
      </c>
      <c r="O134">
        <f>order_data[[#This Row],[Order_Value]]-order_data[[#This Row],[Discount]]</f>
        <v>214</v>
      </c>
      <c r="P134">
        <f>order_data[[#This Row],[Order_Value]]+order_data[[#This Row],[Delivery_Fee]]-order_data[[#This Row],[Discount]]</f>
        <v>254</v>
      </c>
      <c r="Q134" t="str">
        <f>TEXT(order_data[[#This Row],[Order_Date]],"mmm")</f>
        <v>Jan</v>
      </c>
      <c r="R134">
        <f>MONTH(order_data[[#This Row],[Order_Date]])</f>
        <v>1</v>
      </c>
    </row>
    <row r="135" spans="1:18" x14ac:dyDescent="0.35">
      <c r="A135" t="s">
        <v>367</v>
      </c>
      <c r="B135" t="s">
        <v>368</v>
      </c>
      <c r="C135" t="s">
        <v>369</v>
      </c>
      <c r="D135" t="s">
        <v>16</v>
      </c>
      <c r="E135" t="s">
        <v>89</v>
      </c>
      <c r="F135" t="s">
        <v>18</v>
      </c>
      <c r="G135" t="s">
        <v>42</v>
      </c>
      <c r="H135">
        <v>646</v>
      </c>
      <c r="I135">
        <v>40</v>
      </c>
      <c r="J135">
        <v>50</v>
      </c>
      <c r="K135" t="s">
        <v>36</v>
      </c>
      <c r="L135">
        <v>49</v>
      </c>
      <c r="M135" t="s">
        <v>21</v>
      </c>
      <c r="N135">
        <f>COUNTIF(order_data[Order_ID],order_data[[#This Row],[Order_ID]])</f>
        <v>1</v>
      </c>
      <c r="O135">
        <f>order_data[[#This Row],[Order_Value]]-order_data[[#This Row],[Discount]]</f>
        <v>596</v>
      </c>
      <c r="P135">
        <f>order_data[[#This Row],[Order_Value]]+order_data[[#This Row],[Delivery_Fee]]-order_data[[#This Row],[Discount]]</f>
        <v>636</v>
      </c>
      <c r="Q135" t="str">
        <f>TEXT(order_data[[#This Row],[Order_Date]],"mmm")</f>
        <v>Feb</v>
      </c>
      <c r="R135">
        <f>MONTH(order_data[[#This Row],[Order_Date]])</f>
        <v>2</v>
      </c>
    </row>
    <row r="136" spans="1:18" x14ac:dyDescent="0.35">
      <c r="A136" t="s">
        <v>370</v>
      </c>
      <c r="B136" t="s">
        <v>69</v>
      </c>
      <c r="C136" t="s">
        <v>371</v>
      </c>
      <c r="D136" t="s">
        <v>53</v>
      </c>
      <c r="E136" t="s">
        <v>84</v>
      </c>
      <c r="F136" t="s">
        <v>85</v>
      </c>
      <c r="G136" t="s">
        <v>19</v>
      </c>
      <c r="H136">
        <v>303</v>
      </c>
      <c r="I136">
        <v>30</v>
      </c>
      <c r="J136">
        <v>100</v>
      </c>
      <c r="K136" t="s">
        <v>20</v>
      </c>
      <c r="L136">
        <v>23</v>
      </c>
      <c r="M136" t="s">
        <v>21</v>
      </c>
      <c r="N136">
        <f>COUNTIF(order_data[Order_ID],order_data[[#This Row],[Order_ID]])</f>
        <v>1</v>
      </c>
      <c r="O136">
        <f>order_data[[#This Row],[Order_Value]]-order_data[[#This Row],[Discount]]</f>
        <v>203</v>
      </c>
      <c r="P136">
        <f>order_data[[#This Row],[Order_Value]]+order_data[[#This Row],[Delivery_Fee]]-order_data[[#This Row],[Discount]]</f>
        <v>233</v>
      </c>
      <c r="Q136" t="str">
        <f>TEXT(order_data[[#This Row],[Order_Date]],"mmm")</f>
        <v>Feb</v>
      </c>
      <c r="R136">
        <f>MONTH(order_data[[#This Row],[Order_Date]])</f>
        <v>2</v>
      </c>
    </row>
    <row r="137" spans="1:18" x14ac:dyDescent="0.35">
      <c r="A137" t="s">
        <v>372</v>
      </c>
      <c r="B137" t="s">
        <v>96</v>
      </c>
      <c r="C137" t="s">
        <v>373</v>
      </c>
      <c r="D137" t="s">
        <v>46</v>
      </c>
      <c r="E137" t="s">
        <v>70</v>
      </c>
      <c r="F137" t="s">
        <v>18</v>
      </c>
      <c r="G137" t="s">
        <v>35</v>
      </c>
      <c r="H137">
        <v>664</v>
      </c>
      <c r="I137">
        <v>30</v>
      </c>
      <c r="J137">
        <v>30</v>
      </c>
      <c r="K137" t="s">
        <v>29</v>
      </c>
      <c r="L137">
        <v>59</v>
      </c>
      <c r="M137" t="s">
        <v>21</v>
      </c>
      <c r="N137">
        <f>COUNTIF(order_data[Order_ID],order_data[[#This Row],[Order_ID]])</f>
        <v>1</v>
      </c>
      <c r="O137">
        <f>order_data[[#This Row],[Order_Value]]-order_data[[#This Row],[Discount]]</f>
        <v>634</v>
      </c>
      <c r="P137">
        <f>order_data[[#This Row],[Order_Value]]+order_data[[#This Row],[Delivery_Fee]]-order_data[[#This Row],[Discount]]</f>
        <v>664</v>
      </c>
      <c r="Q137" t="str">
        <f>TEXT(order_data[[#This Row],[Order_Date]],"mmm")</f>
        <v>Mar</v>
      </c>
      <c r="R137">
        <f>MONTH(order_data[[#This Row],[Order_Date]])</f>
        <v>3</v>
      </c>
    </row>
    <row r="138" spans="1:18" x14ac:dyDescent="0.35">
      <c r="A138" t="s">
        <v>374</v>
      </c>
      <c r="B138" t="s">
        <v>80</v>
      </c>
      <c r="C138" t="s">
        <v>375</v>
      </c>
      <c r="D138" t="s">
        <v>46</v>
      </c>
      <c r="E138" t="s">
        <v>148</v>
      </c>
      <c r="F138" t="s">
        <v>27</v>
      </c>
      <c r="G138" t="s">
        <v>35</v>
      </c>
      <c r="H138">
        <v>424</v>
      </c>
      <c r="I138">
        <v>40</v>
      </c>
      <c r="J138">
        <v>50</v>
      </c>
      <c r="K138" t="s">
        <v>36</v>
      </c>
      <c r="L138">
        <v>50</v>
      </c>
      <c r="M138" t="s">
        <v>21</v>
      </c>
      <c r="N138">
        <f>COUNTIF(order_data[Order_ID],order_data[[#This Row],[Order_ID]])</f>
        <v>1</v>
      </c>
      <c r="O138">
        <f>order_data[[#This Row],[Order_Value]]-order_data[[#This Row],[Discount]]</f>
        <v>374</v>
      </c>
      <c r="P138">
        <f>order_data[[#This Row],[Order_Value]]+order_data[[#This Row],[Delivery_Fee]]-order_data[[#This Row],[Discount]]</f>
        <v>414</v>
      </c>
      <c r="Q138" t="str">
        <f>TEXT(order_data[[#This Row],[Order_Date]],"mmm")</f>
        <v>Feb</v>
      </c>
      <c r="R138">
        <f>MONTH(order_data[[#This Row],[Order_Date]])</f>
        <v>2</v>
      </c>
    </row>
    <row r="139" spans="1:18" x14ac:dyDescent="0.35">
      <c r="A139" t="s">
        <v>376</v>
      </c>
      <c r="B139" t="s">
        <v>133</v>
      </c>
      <c r="C139" t="s">
        <v>377</v>
      </c>
      <c r="D139" t="s">
        <v>46</v>
      </c>
      <c r="E139" t="s">
        <v>148</v>
      </c>
      <c r="F139" t="s">
        <v>27</v>
      </c>
      <c r="G139" t="s">
        <v>74</v>
      </c>
      <c r="H139">
        <v>769</v>
      </c>
      <c r="I139">
        <v>50</v>
      </c>
      <c r="J139">
        <v>50</v>
      </c>
      <c r="K139" t="s">
        <v>36</v>
      </c>
      <c r="L139">
        <v>37</v>
      </c>
      <c r="M139" t="s">
        <v>21</v>
      </c>
      <c r="N139">
        <f>COUNTIF(order_data[Order_ID],order_data[[#This Row],[Order_ID]])</f>
        <v>1</v>
      </c>
      <c r="O139">
        <f>order_data[[#This Row],[Order_Value]]-order_data[[#This Row],[Discount]]</f>
        <v>719</v>
      </c>
      <c r="P139">
        <f>order_data[[#This Row],[Order_Value]]+order_data[[#This Row],[Delivery_Fee]]-order_data[[#This Row],[Discount]]</f>
        <v>769</v>
      </c>
      <c r="Q139" t="str">
        <f>TEXT(order_data[[#This Row],[Order_Date]],"mmm")</f>
        <v>Mar</v>
      </c>
      <c r="R139">
        <f>MONTH(order_data[[#This Row],[Order_Date]])</f>
        <v>3</v>
      </c>
    </row>
    <row r="140" spans="1:18" x14ac:dyDescent="0.35">
      <c r="A140" t="s">
        <v>378</v>
      </c>
      <c r="B140" t="s">
        <v>379</v>
      </c>
      <c r="C140" t="s">
        <v>380</v>
      </c>
      <c r="D140" t="s">
        <v>25</v>
      </c>
      <c r="E140" t="s">
        <v>78</v>
      </c>
      <c r="F140" t="s">
        <v>48</v>
      </c>
      <c r="G140" t="s">
        <v>176</v>
      </c>
      <c r="H140">
        <v>431</v>
      </c>
      <c r="I140">
        <v>50</v>
      </c>
      <c r="J140">
        <v>50</v>
      </c>
      <c r="K140" t="s">
        <v>36</v>
      </c>
      <c r="L140">
        <v>48</v>
      </c>
      <c r="M140" t="s">
        <v>21</v>
      </c>
      <c r="N140">
        <f>COUNTIF(order_data[Order_ID],order_data[[#This Row],[Order_ID]])</f>
        <v>1</v>
      </c>
      <c r="O140">
        <f>order_data[[#This Row],[Order_Value]]-order_data[[#This Row],[Discount]]</f>
        <v>381</v>
      </c>
      <c r="P140">
        <f>order_data[[#This Row],[Order_Value]]+order_data[[#This Row],[Delivery_Fee]]-order_data[[#This Row],[Discount]]</f>
        <v>431</v>
      </c>
      <c r="Q140" t="str">
        <f>TEXT(order_data[[#This Row],[Order_Date]],"mmm")</f>
        <v>Mar</v>
      </c>
      <c r="R140">
        <f>MONTH(order_data[[#This Row],[Order_Date]])</f>
        <v>3</v>
      </c>
    </row>
    <row r="141" spans="1:18" x14ac:dyDescent="0.35">
      <c r="A141" t="s">
        <v>381</v>
      </c>
      <c r="B141" t="s">
        <v>154</v>
      </c>
      <c r="C141" t="s">
        <v>382</v>
      </c>
      <c r="D141" t="s">
        <v>40</v>
      </c>
      <c r="E141" t="s">
        <v>67</v>
      </c>
      <c r="F141" t="s">
        <v>48</v>
      </c>
      <c r="G141" t="s">
        <v>49</v>
      </c>
      <c r="H141">
        <v>238</v>
      </c>
      <c r="I141">
        <v>30</v>
      </c>
      <c r="J141">
        <v>30</v>
      </c>
      <c r="K141" t="s">
        <v>36</v>
      </c>
      <c r="L141">
        <v>52</v>
      </c>
      <c r="M141" t="s">
        <v>21</v>
      </c>
      <c r="N141">
        <f>COUNTIF(order_data[Order_ID],order_data[[#This Row],[Order_ID]])</f>
        <v>1</v>
      </c>
      <c r="O141">
        <f>order_data[[#This Row],[Order_Value]]-order_data[[#This Row],[Discount]]</f>
        <v>208</v>
      </c>
      <c r="P141">
        <f>order_data[[#This Row],[Order_Value]]+order_data[[#This Row],[Delivery_Fee]]-order_data[[#This Row],[Discount]]</f>
        <v>238</v>
      </c>
      <c r="Q141" t="str">
        <f>TEXT(order_data[[#This Row],[Order_Date]],"mmm")</f>
        <v>Jan</v>
      </c>
      <c r="R141">
        <f>MONTH(order_data[[#This Row],[Order_Date]])</f>
        <v>1</v>
      </c>
    </row>
    <row r="142" spans="1:18" x14ac:dyDescent="0.35">
      <c r="A142" t="s">
        <v>383</v>
      </c>
      <c r="B142" t="s">
        <v>65</v>
      </c>
      <c r="C142" t="s">
        <v>182</v>
      </c>
      <c r="D142" t="s">
        <v>25</v>
      </c>
      <c r="E142" t="s">
        <v>34</v>
      </c>
      <c r="F142" t="s">
        <v>27</v>
      </c>
      <c r="G142" t="s">
        <v>19</v>
      </c>
      <c r="H142">
        <v>652</v>
      </c>
      <c r="I142">
        <v>20</v>
      </c>
      <c r="J142">
        <v>100</v>
      </c>
      <c r="K142" t="s">
        <v>29</v>
      </c>
      <c r="L142">
        <v>47</v>
      </c>
      <c r="M142" t="s">
        <v>21</v>
      </c>
      <c r="N142">
        <f>COUNTIF(order_data[Order_ID],order_data[[#This Row],[Order_ID]])</f>
        <v>1</v>
      </c>
      <c r="O142">
        <f>order_data[[#This Row],[Order_Value]]-order_data[[#This Row],[Discount]]</f>
        <v>552</v>
      </c>
      <c r="P142">
        <f>order_data[[#This Row],[Order_Value]]+order_data[[#This Row],[Delivery_Fee]]-order_data[[#This Row],[Discount]]</f>
        <v>572</v>
      </c>
      <c r="Q142" t="str">
        <f>TEXT(order_data[[#This Row],[Order_Date]],"mmm")</f>
        <v>Mar</v>
      </c>
      <c r="R142">
        <f>MONTH(order_data[[#This Row],[Order_Date]])</f>
        <v>3</v>
      </c>
    </row>
    <row r="143" spans="1:18" x14ac:dyDescent="0.35">
      <c r="A143" t="s">
        <v>384</v>
      </c>
      <c r="B143" t="s">
        <v>241</v>
      </c>
      <c r="C143" t="s">
        <v>385</v>
      </c>
      <c r="D143" t="s">
        <v>46</v>
      </c>
      <c r="E143" t="s">
        <v>70</v>
      </c>
      <c r="F143" t="s">
        <v>18</v>
      </c>
      <c r="G143" t="s">
        <v>107</v>
      </c>
      <c r="H143">
        <v>656</v>
      </c>
      <c r="I143">
        <v>40</v>
      </c>
      <c r="J143">
        <v>50</v>
      </c>
      <c r="K143" t="s">
        <v>20</v>
      </c>
      <c r="L143">
        <v>38</v>
      </c>
      <c r="M143" t="s">
        <v>30</v>
      </c>
      <c r="N143">
        <f>COUNTIF(order_data[Order_ID],order_data[[#This Row],[Order_ID]])</f>
        <v>1</v>
      </c>
      <c r="O143">
        <f>order_data[[#This Row],[Order_Value]]-order_data[[#This Row],[Discount]]</f>
        <v>606</v>
      </c>
      <c r="P143">
        <f>order_data[[#This Row],[Order_Value]]+order_data[[#This Row],[Delivery_Fee]]-order_data[[#This Row],[Discount]]</f>
        <v>646</v>
      </c>
      <c r="Q143" t="str">
        <f>TEXT(order_data[[#This Row],[Order_Date]],"mmm")</f>
        <v>Mar</v>
      </c>
      <c r="R143">
        <f>MONTH(order_data[[#This Row],[Order_Date]])</f>
        <v>3</v>
      </c>
    </row>
    <row r="144" spans="1:18" x14ac:dyDescent="0.35">
      <c r="A144" t="s">
        <v>386</v>
      </c>
      <c r="B144" t="s">
        <v>280</v>
      </c>
      <c r="C144" t="s">
        <v>197</v>
      </c>
      <c r="D144" t="s">
        <v>46</v>
      </c>
      <c r="E144" t="s">
        <v>70</v>
      </c>
      <c r="F144" t="s">
        <v>18</v>
      </c>
      <c r="G144" t="s">
        <v>35</v>
      </c>
      <c r="H144">
        <v>222</v>
      </c>
      <c r="I144">
        <v>20</v>
      </c>
      <c r="J144">
        <v>100</v>
      </c>
      <c r="K144" t="s">
        <v>36</v>
      </c>
      <c r="L144">
        <v>36</v>
      </c>
      <c r="M144" t="s">
        <v>21</v>
      </c>
      <c r="N144">
        <f>COUNTIF(order_data[Order_ID],order_data[[#This Row],[Order_ID]])</f>
        <v>1</v>
      </c>
      <c r="O144">
        <f>order_data[[#This Row],[Order_Value]]-order_data[[#This Row],[Discount]]</f>
        <v>122</v>
      </c>
      <c r="P144">
        <f>order_data[[#This Row],[Order_Value]]+order_data[[#This Row],[Delivery_Fee]]-order_data[[#This Row],[Discount]]</f>
        <v>142</v>
      </c>
      <c r="Q144" t="str">
        <f>TEXT(order_data[[#This Row],[Order_Date]],"mmm")</f>
        <v>Jan</v>
      </c>
      <c r="R144">
        <f>MONTH(order_data[[#This Row],[Order_Date]])</f>
        <v>1</v>
      </c>
    </row>
    <row r="145" spans="1:18" x14ac:dyDescent="0.35">
      <c r="A145" t="s">
        <v>387</v>
      </c>
      <c r="B145" t="s">
        <v>388</v>
      </c>
      <c r="C145" t="s">
        <v>389</v>
      </c>
      <c r="D145" t="s">
        <v>46</v>
      </c>
      <c r="E145" t="s">
        <v>47</v>
      </c>
      <c r="F145" t="s">
        <v>48</v>
      </c>
      <c r="G145" t="s">
        <v>19</v>
      </c>
      <c r="H145">
        <v>434</v>
      </c>
      <c r="I145">
        <v>30</v>
      </c>
      <c r="J145">
        <v>0</v>
      </c>
      <c r="K145" t="s">
        <v>20</v>
      </c>
      <c r="L145">
        <v>40</v>
      </c>
      <c r="M145" t="s">
        <v>21</v>
      </c>
      <c r="N145">
        <f>COUNTIF(order_data[Order_ID],order_data[[#This Row],[Order_ID]])</f>
        <v>1</v>
      </c>
      <c r="O145">
        <f>order_data[[#This Row],[Order_Value]]-order_data[[#This Row],[Discount]]</f>
        <v>434</v>
      </c>
      <c r="P145">
        <f>order_data[[#This Row],[Order_Value]]+order_data[[#This Row],[Delivery_Fee]]-order_data[[#This Row],[Discount]]</f>
        <v>464</v>
      </c>
      <c r="Q145" t="str">
        <f>TEXT(order_data[[#This Row],[Order_Date]],"mmm")</f>
        <v>Mar</v>
      </c>
      <c r="R145">
        <f>MONTH(order_data[[#This Row],[Order_Date]])</f>
        <v>3</v>
      </c>
    </row>
    <row r="146" spans="1:18" x14ac:dyDescent="0.35">
      <c r="A146" t="s">
        <v>390</v>
      </c>
      <c r="B146" t="s">
        <v>241</v>
      </c>
      <c r="C146" t="s">
        <v>391</v>
      </c>
      <c r="D146" t="s">
        <v>25</v>
      </c>
      <c r="E146" t="s">
        <v>78</v>
      </c>
      <c r="F146" t="s">
        <v>48</v>
      </c>
      <c r="G146" t="s">
        <v>49</v>
      </c>
      <c r="H146">
        <v>587</v>
      </c>
      <c r="I146">
        <v>20</v>
      </c>
      <c r="J146">
        <v>30</v>
      </c>
      <c r="K146" t="s">
        <v>20</v>
      </c>
      <c r="L146">
        <v>47</v>
      </c>
      <c r="M146" t="s">
        <v>21</v>
      </c>
      <c r="N146">
        <f>COUNTIF(order_data[Order_ID],order_data[[#This Row],[Order_ID]])</f>
        <v>1</v>
      </c>
      <c r="O146">
        <f>order_data[[#This Row],[Order_Value]]-order_data[[#This Row],[Discount]]</f>
        <v>557</v>
      </c>
      <c r="P146">
        <f>order_data[[#This Row],[Order_Value]]+order_data[[#This Row],[Delivery_Fee]]-order_data[[#This Row],[Discount]]</f>
        <v>577</v>
      </c>
      <c r="Q146" t="str">
        <f>TEXT(order_data[[#This Row],[Order_Date]],"mmm")</f>
        <v>Mar</v>
      </c>
      <c r="R146">
        <f>MONTH(order_data[[#This Row],[Order_Date]])</f>
        <v>3</v>
      </c>
    </row>
    <row r="147" spans="1:18" x14ac:dyDescent="0.35">
      <c r="A147" t="s">
        <v>392</v>
      </c>
      <c r="B147" t="s">
        <v>393</v>
      </c>
      <c r="C147" t="s">
        <v>394</v>
      </c>
      <c r="D147" t="s">
        <v>40</v>
      </c>
      <c r="E147" t="s">
        <v>67</v>
      </c>
      <c r="F147" t="s">
        <v>48</v>
      </c>
      <c r="G147" t="s">
        <v>42</v>
      </c>
      <c r="H147">
        <v>406</v>
      </c>
      <c r="I147">
        <v>40</v>
      </c>
      <c r="J147">
        <v>30</v>
      </c>
      <c r="K147" t="s">
        <v>29</v>
      </c>
      <c r="L147">
        <v>52</v>
      </c>
      <c r="M147" t="s">
        <v>21</v>
      </c>
      <c r="N147">
        <f>COUNTIF(order_data[Order_ID],order_data[[#This Row],[Order_ID]])</f>
        <v>1</v>
      </c>
      <c r="O147">
        <f>order_data[[#This Row],[Order_Value]]-order_data[[#This Row],[Discount]]</f>
        <v>376</v>
      </c>
      <c r="P147">
        <f>order_data[[#This Row],[Order_Value]]+order_data[[#This Row],[Delivery_Fee]]-order_data[[#This Row],[Discount]]</f>
        <v>416</v>
      </c>
      <c r="Q147" t="str">
        <f>TEXT(order_data[[#This Row],[Order_Date]],"mmm")</f>
        <v>Feb</v>
      </c>
      <c r="R147">
        <f>MONTH(order_data[[#This Row],[Order_Date]])</f>
        <v>2</v>
      </c>
    </row>
    <row r="148" spans="1:18" x14ac:dyDescent="0.35">
      <c r="A148" t="s">
        <v>395</v>
      </c>
      <c r="B148" t="s">
        <v>388</v>
      </c>
      <c r="C148" t="s">
        <v>396</v>
      </c>
      <c r="D148" t="s">
        <v>16</v>
      </c>
      <c r="E148" t="s">
        <v>131</v>
      </c>
      <c r="F148" t="s">
        <v>55</v>
      </c>
      <c r="G148" t="s">
        <v>74</v>
      </c>
      <c r="H148">
        <v>301</v>
      </c>
      <c r="I148">
        <v>30</v>
      </c>
      <c r="J148">
        <v>30</v>
      </c>
      <c r="K148" t="s">
        <v>20</v>
      </c>
      <c r="L148">
        <v>60</v>
      </c>
      <c r="M148" t="s">
        <v>21</v>
      </c>
      <c r="N148">
        <f>COUNTIF(order_data[Order_ID],order_data[[#This Row],[Order_ID]])</f>
        <v>1</v>
      </c>
      <c r="O148">
        <f>order_data[[#This Row],[Order_Value]]-order_data[[#This Row],[Discount]]</f>
        <v>271</v>
      </c>
      <c r="P148">
        <f>order_data[[#This Row],[Order_Value]]+order_data[[#This Row],[Delivery_Fee]]-order_data[[#This Row],[Discount]]</f>
        <v>301</v>
      </c>
      <c r="Q148" t="str">
        <f>TEXT(order_data[[#This Row],[Order_Date]],"mmm")</f>
        <v>Mar</v>
      </c>
      <c r="R148">
        <f>MONTH(order_data[[#This Row],[Order_Date]])</f>
        <v>3</v>
      </c>
    </row>
    <row r="149" spans="1:18" x14ac:dyDescent="0.35">
      <c r="A149" t="s">
        <v>397</v>
      </c>
      <c r="B149" t="s">
        <v>398</v>
      </c>
      <c r="C149" t="s">
        <v>399</v>
      </c>
      <c r="D149" t="s">
        <v>16</v>
      </c>
      <c r="E149" t="s">
        <v>131</v>
      </c>
      <c r="F149" t="s">
        <v>55</v>
      </c>
      <c r="G149" t="s">
        <v>19</v>
      </c>
      <c r="H149">
        <v>375</v>
      </c>
      <c r="I149">
        <v>50</v>
      </c>
      <c r="J149">
        <v>50</v>
      </c>
      <c r="K149" t="s">
        <v>29</v>
      </c>
      <c r="L149">
        <v>25</v>
      </c>
      <c r="M149" t="s">
        <v>21</v>
      </c>
      <c r="N149">
        <f>COUNTIF(order_data[Order_ID],order_data[[#This Row],[Order_ID]])</f>
        <v>1</v>
      </c>
      <c r="O149">
        <f>order_data[[#This Row],[Order_Value]]-order_data[[#This Row],[Discount]]</f>
        <v>325</v>
      </c>
      <c r="P149">
        <f>order_data[[#This Row],[Order_Value]]+order_data[[#This Row],[Delivery_Fee]]-order_data[[#This Row],[Discount]]</f>
        <v>375</v>
      </c>
      <c r="Q149" t="str">
        <f>TEXT(order_data[[#This Row],[Order_Date]],"mmm")</f>
        <v>Feb</v>
      </c>
      <c r="R149">
        <f>MONTH(order_data[[#This Row],[Order_Date]])</f>
        <v>2</v>
      </c>
    </row>
    <row r="150" spans="1:18" x14ac:dyDescent="0.35">
      <c r="A150" t="s">
        <v>400</v>
      </c>
      <c r="B150" t="s">
        <v>305</v>
      </c>
      <c r="C150" t="s">
        <v>401</v>
      </c>
      <c r="D150" t="s">
        <v>16</v>
      </c>
      <c r="E150" t="s">
        <v>131</v>
      </c>
      <c r="F150" t="s">
        <v>55</v>
      </c>
      <c r="G150" t="s">
        <v>35</v>
      </c>
      <c r="H150">
        <v>189</v>
      </c>
      <c r="I150">
        <v>50</v>
      </c>
      <c r="J150">
        <v>100</v>
      </c>
      <c r="K150" t="s">
        <v>20</v>
      </c>
      <c r="L150">
        <v>27</v>
      </c>
      <c r="M150" t="s">
        <v>21</v>
      </c>
      <c r="N150">
        <f>COUNTIF(order_data[Order_ID],order_data[[#This Row],[Order_ID]])</f>
        <v>1</v>
      </c>
      <c r="O150">
        <f>order_data[[#This Row],[Order_Value]]-order_data[[#This Row],[Discount]]</f>
        <v>89</v>
      </c>
      <c r="P150">
        <f>order_data[[#This Row],[Order_Value]]+order_data[[#This Row],[Delivery_Fee]]-order_data[[#This Row],[Discount]]</f>
        <v>139</v>
      </c>
      <c r="Q150" t="str">
        <f>TEXT(order_data[[#This Row],[Order_Date]],"mmm")</f>
        <v>Jan</v>
      </c>
      <c r="R150">
        <f>MONTH(order_data[[#This Row],[Order_Date]])</f>
        <v>1</v>
      </c>
    </row>
    <row r="151" spans="1:18" x14ac:dyDescent="0.35">
      <c r="A151" t="s">
        <v>402</v>
      </c>
      <c r="B151" t="s">
        <v>388</v>
      </c>
      <c r="C151" t="s">
        <v>403</v>
      </c>
      <c r="D151" t="s">
        <v>53</v>
      </c>
      <c r="E151" t="s">
        <v>152</v>
      </c>
      <c r="F151" t="s">
        <v>18</v>
      </c>
      <c r="G151" t="s">
        <v>107</v>
      </c>
      <c r="H151">
        <v>408</v>
      </c>
      <c r="I151">
        <v>20</v>
      </c>
      <c r="J151">
        <v>50</v>
      </c>
      <c r="K151" t="s">
        <v>29</v>
      </c>
      <c r="L151">
        <v>55</v>
      </c>
      <c r="M151" t="s">
        <v>21</v>
      </c>
      <c r="N151">
        <f>COUNTIF(order_data[Order_ID],order_data[[#This Row],[Order_ID]])</f>
        <v>1</v>
      </c>
      <c r="O151">
        <f>order_data[[#This Row],[Order_Value]]-order_data[[#This Row],[Discount]]</f>
        <v>358</v>
      </c>
      <c r="P151">
        <f>order_data[[#This Row],[Order_Value]]+order_data[[#This Row],[Delivery_Fee]]-order_data[[#This Row],[Discount]]</f>
        <v>378</v>
      </c>
      <c r="Q151" t="str">
        <f>TEXT(order_data[[#This Row],[Order_Date]],"mmm")</f>
        <v>Mar</v>
      </c>
      <c r="R151">
        <f>MONTH(order_data[[#This Row],[Order_Date]])</f>
        <v>3</v>
      </c>
    </row>
    <row r="152" spans="1:18" x14ac:dyDescent="0.35">
      <c r="A152" t="s">
        <v>404</v>
      </c>
      <c r="B152" t="s">
        <v>69</v>
      </c>
      <c r="C152" t="s">
        <v>405</v>
      </c>
      <c r="D152" t="s">
        <v>25</v>
      </c>
      <c r="E152" t="s">
        <v>26</v>
      </c>
      <c r="F152" t="s">
        <v>27</v>
      </c>
      <c r="G152" t="s">
        <v>74</v>
      </c>
      <c r="H152">
        <v>611</v>
      </c>
      <c r="I152">
        <v>40</v>
      </c>
      <c r="J152">
        <v>30</v>
      </c>
      <c r="K152" t="s">
        <v>29</v>
      </c>
      <c r="L152">
        <v>60</v>
      </c>
      <c r="M152" t="s">
        <v>21</v>
      </c>
      <c r="N152">
        <f>COUNTIF(order_data[Order_ID],order_data[[#This Row],[Order_ID]])</f>
        <v>1</v>
      </c>
      <c r="O152">
        <f>order_data[[#This Row],[Order_Value]]-order_data[[#This Row],[Discount]]</f>
        <v>581</v>
      </c>
      <c r="P152">
        <f>order_data[[#This Row],[Order_Value]]+order_data[[#This Row],[Delivery_Fee]]-order_data[[#This Row],[Discount]]</f>
        <v>621</v>
      </c>
      <c r="Q152" t="str">
        <f>TEXT(order_data[[#This Row],[Order_Date]],"mmm")</f>
        <v>Feb</v>
      </c>
      <c r="R152">
        <f>MONTH(order_data[[#This Row],[Order_Date]])</f>
        <v>2</v>
      </c>
    </row>
    <row r="153" spans="1:18" x14ac:dyDescent="0.35">
      <c r="A153" t="s">
        <v>406</v>
      </c>
      <c r="B153" t="s">
        <v>223</v>
      </c>
      <c r="C153" t="s">
        <v>407</v>
      </c>
      <c r="D153" t="s">
        <v>53</v>
      </c>
      <c r="E153" t="s">
        <v>54</v>
      </c>
      <c r="F153" t="s">
        <v>55</v>
      </c>
      <c r="G153" t="s">
        <v>74</v>
      </c>
      <c r="H153">
        <v>640</v>
      </c>
      <c r="I153">
        <v>40</v>
      </c>
      <c r="J153">
        <v>50</v>
      </c>
      <c r="K153" t="s">
        <v>29</v>
      </c>
      <c r="L153">
        <v>40</v>
      </c>
      <c r="M153" t="s">
        <v>21</v>
      </c>
      <c r="N153">
        <f>COUNTIF(order_data[Order_ID],order_data[[#This Row],[Order_ID]])</f>
        <v>1</v>
      </c>
      <c r="O153">
        <f>order_data[[#This Row],[Order_Value]]-order_data[[#This Row],[Discount]]</f>
        <v>590</v>
      </c>
      <c r="P153">
        <f>order_data[[#This Row],[Order_Value]]+order_data[[#This Row],[Delivery_Fee]]-order_data[[#This Row],[Discount]]</f>
        <v>630</v>
      </c>
      <c r="Q153" t="str">
        <f>TEXT(order_data[[#This Row],[Order_Date]],"mmm")</f>
        <v>Mar</v>
      </c>
      <c r="R153">
        <f>MONTH(order_data[[#This Row],[Order_Date]])</f>
        <v>3</v>
      </c>
    </row>
    <row r="154" spans="1:18" x14ac:dyDescent="0.35">
      <c r="A154" t="s">
        <v>408</v>
      </c>
      <c r="B154" t="s">
        <v>178</v>
      </c>
      <c r="C154" t="s">
        <v>409</v>
      </c>
      <c r="D154" t="s">
        <v>46</v>
      </c>
      <c r="E154" t="s">
        <v>70</v>
      </c>
      <c r="F154" t="s">
        <v>18</v>
      </c>
      <c r="G154" t="s">
        <v>19</v>
      </c>
      <c r="H154">
        <v>526</v>
      </c>
      <c r="I154">
        <v>20</v>
      </c>
      <c r="J154">
        <v>20</v>
      </c>
      <c r="K154" t="s">
        <v>29</v>
      </c>
      <c r="L154">
        <v>21</v>
      </c>
      <c r="M154" t="s">
        <v>21</v>
      </c>
      <c r="N154">
        <f>COUNTIF(order_data[Order_ID],order_data[[#This Row],[Order_ID]])</f>
        <v>1</v>
      </c>
      <c r="O154">
        <f>order_data[[#This Row],[Order_Value]]-order_data[[#This Row],[Discount]]</f>
        <v>506</v>
      </c>
      <c r="P154">
        <f>order_data[[#This Row],[Order_Value]]+order_data[[#This Row],[Delivery_Fee]]-order_data[[#This Row],[Discount]]</f>
        <v>526</v>
      </c>
      <c r="Q154" t="str">
        <f>TEXT(order_data[[#This Row],[Order_Date]],"mmm")</f>
        <v>Feb</v>
      </c>
      <c r="R154">
        <f>MONTH(order_data[[#This Row],[Order_Date]])</f>
        <v>2</v>
      </c>
    </row>
    <row r="155" spans="1:18" x14ac:dyDescent="0.35">
      <c r="A155" t="s">
        <v>410</v>
      </c>
      <c r="B155" t="s">
        <v>51</v>
      </c>
      <c r="C155" t="s">
        <v>411</v>
      </c>
      <c r="D155" t="s">
        <v>40</v>
      </c>
      <c r="E155" t="s">
        <v>67</v>
      </c>
      <c r="F155" t="s">
        <v>48</v>
      </c>
      <c r="G155" t="s">
        <v>176</v>
      </c>
      <c r="H155">
        <v>367</v>
      </c>
      <c r="I155">
        <v>40</v>
      </c>
      <c r="J155">
        <v>30</v>
      </c>
      <c r="K155" t="s">
        <v>20</v>
      </c>
      <c r="L155">
        <v>60</v>
      </c>
      <c r="M155" t="s">
        <v>21</v>
      </c>
      <c r="N155">
        <f>COUNTIF(order_data[Order_ID],order_data[[#This Row],[Order_ID]])</f>
        <v>1</v>
      </c>
      <c r="O155">
        <f>order_data[[#This Row],[Order_Value]]-order_data[[#This Row],[Discount]]</f>
        <v>337</v>
      </c>
      <c r="P155">
        <f>order_data[[#This Row],[Order_Value]]+order_data[[#This Row],[Delivery_Fee]]-order_data[[#This Row],[Discount]]</f>
        <v>377</v>
      </c>
      <c r="Q155" t="str">
        <f>TEXT(order_data[[#This Row],[Order_Date]],"mmm")</f>
        <v>Feb</v>
      </c>
      <c r="R155">
        <f>MONTH(order_data[[#This Row],[Order_Date]])</f>
        <v>2</v>
      </c>
    </row>
    <row r="156" spans="1:18" x14ac:dyDescent="0.35">
      <c r="A156" t="s">
        <v>412</v>
      </c>
      <c r="B156" t="s">
        <v>413</v>
      </c>
      <c r="C156" t="s">
        <v>414</v>
      </c>
      <c r="D156" t="s">
        <v>40</v>
      </c>
      <c r="E156" t="s">
        <v>41</v>
      </c>
      <c r="F156" t="s">
        <v>27</v>
      </c>
      <c r="G156" t="s">
        <v>59</v>
      </c>
      <c r="H156">
        <v>774</v>
      </c>
      <c r="I156">
        <v>30</v>
      </c>
      <c r="J156">
        <v>30</v>
      </c>
      <c r="K156" t="s">
        <v>29</v>
      </c>
      <c r="L156">
        <v>32</v>
      </c>
      <c r="M156" t="s">
        <v>21</v>
      </c>
      <c r="N156">
        <f>COUNTIF(order_data[Order_ID],order_data[[#This Row],[Order_ID]])</f>
        <v>1</v>
      </c>
      <c r="O156">
        <f>order_data[[#This Row],[Order_Value]]-order_data[[#This Row],[Discount]]</f>
        <v>744</v>
      </c>
      <c r="P156">
        <f>order_data[[#This Row],[Order_Value]]+order_data[[#This Row],[Delivery_Fee]]-order_data[[#This Row],[Discount]]</f>
        <v>774</v>
      </c>
      <c r="Q156" t="str">
        <f>TEXT(order_data[[#This Row],[Order_Date]],"mmm")</f>
        <v>Mar</v>
      </c>
      <c r="R156">
        <f>MONTH(order_data[[#This Row],[Order_Date]])</f>
        <v>3</v>
      </c>
    </row>
    <row r="157" spans="1:18" x14ac:dyDescent="0.35">
      <c r="A157" t="s">
        <v>415</v>
      </c>
      <c r="B157" t="s">
        <v>416</v>
      </c>
      <c r="C157" t="s">
        <v>417</v>
      </c>
      <c r="D157" t="s">
        <v>25</v>
      </c>
      <c r="E157" t="s">
        <v>34</v>
      </c>
      <c r="F157" t="s">
        <v>27</v>
      </c>
      <c r="G157" t="s">
        <v>59</v>
      </c>
      <c r="H157">
        <v>282</v>
      </c>
      <c r="I157">
        <v>40</v>
      </c>
      <c r="J157">
        <v>30</v>
      </c>
      <c r="K157" t="s">
        <v>29</v>
      </c>
      <c r="L157">
        <v>33</v>
      </c>
      <c r="M157" t="s">
        <v>21</v>
      </c>
      <c r="N157">
        <f>COUNTIF(order_data[Order_ID],order_data[[#This Row],[Order_ID]])</f>
        <v>1</v>
      </c>
      <c r="O157">
        <f>order_data[[#This Row],[Order_Value]]-order_data[[#This Row],[Discount]]</f>
        <v>252</v>
      </c>
      <c r="P157">
        <f>order_data[[#This Row],[Order_Value]]+order_data[[#This Row],[Delivery_Fee]]-order_data[[#This Row],[Discount]]</f>
        <v>292</v>
      </c>
      <c r="Q157" t="str">
        <f>TEXT(order_data[[#This Row],[Order_Date]],"mmm")</f>
        <v>Mar</v>
      </c>
      <c r="R157">
        <f>MONTH(order_data[[#This Row],[Order_Date]])</f>
        <v>3</v>
      </c>
    </row>
    <row r="158" spans="1:18" x14ac:dyDescent="0.35">
      <c r="A158" t="s">
        <v>418</v>
      </c>
      <c r="B158" t="s">
        <v>218</v>
      </c>
      <c r="C158" t="s">
        <v>127</v>
      </c>
      <c r="D158" t="s">
        <v>25</v>
      </c>
      <c r="E158" t="s">
        <v>78</v>
      </c>
      <c r="F158" t="s">
        <v>48</v>
      </c>
      <c r="G158" t="s">
        <v>35</v>
      </c>
      <c r="H158">
        <v>388</v>
      </c>
      <c r="I158">
        <v>20</v>
      </c>
      <c r="J158">
        <v>30</v>
      </c>
      <c r="K158" t="s">
        <v>29</v>
      </c>
      <c r="L158">
        <v>53</v>
      </c>
      <c r="M158" t="s">
        <v>21</v>
      </c>
      <c r="N158">
        <f>COUNTIF(order_data[Order_ID],order_data[[#This Row],[Order_ID]])</f>
        <v>1</v>
      </c>
      <c r="O158">
        <f>order_data[[#This Row],[Order_Value]]-order_data[[#This Row],[Discount]]</f>
        <v>358</v>
      </c>
      <c r="P158">
        <f>order_data[[#This Row],[Order_Value]]+order_data[[#This Row],[Delivery_Fee]]-order_data[[#This Row],[Discount]]</f>
        <v>378</v>
      </c>
      <c r="Q158" t="str">
        <f>TEXT(order_data[[#This Row],[Order_Date]],"mmm")</f>
        <v>Feb</v>
      </c>
      <c r="R158">
        <f>MONTH(order_data[[#This Row],[Order_Date]])</f>
        <v>2</v>
      </c>
    </row>
    <row r="159" spans="1:18" x14ac:dyDescent="0.35">
      <c r="A159" t="s">
        <v>419</v>
      </c>
      <c r="B159" t="s">
        <v>38</v>
      </c>
      <c r="C159" t="s">
        <v>389</v>
      </c>
      <c r="D159" t="s">
        <v>46</v>
      </c>
      <c r="E159" t="s">
        <v>148</v>
      </c>
      <c r="F159" t="s">
        <v>27</v>
      </c>
      <c r="G159" t="s">
        <v>42</v>
      </c>
      <c r="H159">
        <v>177</v>
      </c>
      <c r="I159">
        <v>50</v>
      </c>
      <c r="J159">
        <v>0</v>
      </c>
      <c r="K159" t="s">
        <v>20</v>
      </c>
      <c r="L159">
        <v>51</v>
      </c>
      <c r="M159" t="s">
        <v>21</v>
      </c>
      <c r="N159">
        <f>COUNTIF(order_data[Order_ID],order_data[[#This Row],[Order_ID]])</f>
        <v>1</v>
      </c>
      <c r="O159">
        <f>order_data[[#This Row],[Order_Value]]-order_data[[#This Row],[Discount]]</f>
        <v>177</v>
      </c>
      <c r="P159">
        <f>order_data[[#This Row],[Order_Value]]+order_data[[#This Row],[Delivery_Fee]]-order_data[[#This Row],[Discount]]</f>
        <v>227</v>
      </c>
      <c r="Q159" t="str">
        <f>TEXT(order_data[[#This Row],[Order_Date]],"mmm")</f>
        <v>Jan</v>
      </c>
      <c r="R159">
        <f>MONTH(order_data[[#This Row],[Order_Date]])</f>
        <v>1</v>
      </c>
    </row>
    <row r="160" spans="1:18" x14ac:dyDescent="0.35">
      <c r="A160" t="s">
        <v>420</v>
      </c>
      <c r="B160" t="s">
        <v>121</v>
      </c>
      <c r="C160" t="s">
        <v>421</v>
      </c>
      <c r="D160" t="s">
        <v>46</v>
      </c>
      <c r="E160" t="s">
        <v>70</v>
      </c>
      <c r="F160" t="s">
        <v>18</v>
      </c>
      <c r="G160" t="s">
        <v>19</v>
      </c>
      <c r="H160">
        <v>705</v>
      </c>
      <c r="I160">
        <v>30</v>
      </c>
      <c r="J160">
        <v>30</v>
      </c>
      <c r="K160" t="s">
        <v>20</v>
      </c>
      <c r="L160">
        <v>42</v>
      </c>
      <c r="M160" t="s">
        <v>21</v>
      </c>
      <c r="N160">
        <f>COUNTIF(order_data[Order_ID],order_data[[#This Row],[Order_ID]])</f>
        <v>1</v>
      </c>
      <c r="O160">
        <f>order_data[[#This Row],[Order_Value]]-order_data[[#This Row],[Discount]]</f>
        <v>675</v>
      </c>
      <c r="P160">
        <f>order_data[[#This Row],[Order_Value]]+order_data[[#This Row],[Delivery_Fee]]-order_data[[#This Row],[Discount]]</f>
        <v>705</v>
      </c>
      <c r="Q160" t="str">
        <f>TEXT(order_data[[#This Row],[Order_Date]],"mmm")</f>
        <v>Feb</v>
      </c>
      <c r="R160">
        <f>MONTH(order_data[[#This Row],[Order_Date]])</f>
        <v>2</v>
      </c>
    </row>
    <row r="161" spans="1:18" x14ac:dyDescent="0.35">
      <c r="A161" t="s">
        <v>422</v>
      </c>
      <c r="B161" t="s">
        <v>398</v>
      </c>
      <c r="C161" t="s">
        <v>423</v>
      </c>
      <c r="D161" t="s">
        <v>40</v>
      </c>
      <c r="E161" t="s">
        <v>67</v>
      </c>
      <c r="F161" t="s">
        <v>48</v>
      </c>
      <c r="G161" t="s">
        <v>59</v>
      </c>
      <c r="H161">
        <v>165</v>
      </c>
      <c r="I161">
        <v>40</v>
      </c>
      <c r="J161">
        <v>50</v>
      </c>
      <c r="K161" t="s">
        <v>20</v>
      </c>
      <c r="L161">
        <v>27</v>
      </c>
      <c r="M161" t="s">
        <v>21</v>
      </c>
      <c r="N161">
        <f>COUNTIF(order_data[Order_ID],order_data[[#This Row],[Order_ID]])</f>
        <v>1</v>
      </c>
      <c r="O161">
        <f>order_data[[#This Row],[Order_Value]]-order_data[[#This Row],[Discount]]</f>
        <v>115</v>
      </c>
      <c r="P161">
        <f>order_data[[#This Row],[Order_Value]]+order_data[[#This Row],[Delivery_Fee]]-order_data[[#This Row],[Discount]]</f>
        <v>155</v>
      </c>
      <c r="Q161" t="str">
        <f>TEXT(order_data[[#This Row],[Order_Date]],"mmm")</f>
        <v>Feb</v>
      </c>
      <c r="R161">
        <f>MONTH(order_data[[#This Row],[Order_Date]])</f>
        <v>2</v>
      </c>
    </row>
    <row r="162" spans="1:18" x14ac:dyDescent="0.35">
      <c r="A162" t="s">
        <v>424</v>
      </c>
      <c r="B162" t="s">
        <v>72</v>
      </c>
      <c r="C162" t="s">
        <v>425</v>
      </c>
      <c r="D162" t="s">
        <v>53</v>
      </c>
      <c r="E162" t="s">
        <v>84</v>
      </c>
      <c r="F162" t="s">
        <v>85</v>
      </c>
      <c r="G162" t="s">
        <v>59</v>
      </c>
      <c r="H162">
        <v>505</v>
      </c>
      <c r="I162">
        <v>40</v>
      </c>
      <c r="J162">
        <v>30</v>
      </c>
      <c r="K162" t="s">
        <v>29</v>
      </c>
      <c r="L162">
        <v>21</v>
      </c>
      <c r="M162" t="s">
        <v>30</v>
      </c>
      <c r="N162">
        <f>COUNTIF(order_data[Order_ID],order_data[[#This Row],[Order_ID]])</f>
        <v>1</v>
      </c>
      <c r="O162">
        <f>order_data[[#This Row],[Order_Value]]-order_data[[#This Row],[Discount]]</f>
        <v>475</v>
      </c>
      <c r="P162">
        <f>order_data[[#This Row],[Order_Value]]+order_data[[#This Row],[Delivery_Fee]]-order_data[[#This Row],[Discount]]</f>
        <v>515</v>
      </c>
      <c r="Q162" t="str">
        <f>TEXT(order_data[[#This Row],[Order_Date]],"mmm")</f>
        <v>Jan</v>
      </c>
      <c r="R162">
        <f>MONTH(order_data[[#This Row],[Order_Date]])</f>
        <v>1</v>
      </c>
    </row>
    <row r="163" spans="1:18" x14ac:dyDescent="0.35">
      <c r="A163" t="s">
        <v>426</v>
      </c>
      <c r="B163" t="s">
        <v>305</v>
      </c>
      <c r="C163" t="s">
        <v>427</v>
      </c>
      <c r="D163" t="s">
        <v>40</v>
      </c>
      <c r="E163" t="s">
        <v>67</v>
      </c>
      <c r="F163" t="s">
        <v>48</v>
      </c>
      <c r="G163" t="s">
        <v>28</v>
      </c>
      <c r="H163">
        <v>736</v>
      </c>
      <c r="I163">
        <v>30</v>
      </c>
      <c r="J163">
        <v>50</v>
      </c>
      <c r="K163" t="s">
        <v>20</v>
      </c>
      <c r="L163">
        <v>49</v>
      </c>
      <c r="M163" t="s">
        <v>21</v>
      </c>
      <c r="N163">
        <f>COUNTIF(order_data[Order_ID],order_data[[#This Row],[Order_ID]])</f>
        <v>1</v>
      </c>
      <c r="O163">
        <f>order_data[[#This Row],[Order_Value]]-order_data[[#This Row],[Discount]]</f>
        <v>686</v>
      </c>
      <c r="P163">
        <f>order_data[[#This Row],[Order_Value]]+order_data[[#This Row],[Delivery_Fee]]-order_data[[#This Row],[Discount]]</f>
        <v>716</v>
      </c>
      <c r="Q163" t="str">
        <f>TEXT(order_data[[#This Row],[Order_Date]],"mmm")</f>
        <v>Jan</v>
      </c>
      <c r="R163">
        <f>MONTH(order_data[[#This Row],[Order_Date]])</f>
        <v>1</v>
      </c>
    </row>
    <row r="164" spans="1:18" x14ac:dyDescent="0.35">
      <c r="A164" t="s">
        <v>428</v>
      </c>
      <c r="B164" t="s">
        <v>305</v>
      </c>
      <c r="C164" t="s">
        <v>409</v>
      </c>
      <c r="D164" t="s">
        <v>16</v>
      </c>
      <c r="E164" t="s">
        <v>89</v>
      </c>
      <c r="F164" t="s">
        <v>18</v>
      </c>
      <c r="G164" t="s">
        <v>74</v>
      </c>
      <c r="H164">
        <v>567</v>
      </c>
      <c r="I164">
        <v>40</v>
      </c>
      <c r="J164">
        <v>100</v>
      </c>
      <c r="K164" t="s">
        <v>29</v>
      </c>
      <c r="L164">
        <v>44</v>
      </c>
      <c r="M164" t="s">
        <v>21</v>
      </c>
      <c r="N164">
        <f>COUNTIF(order_data[Order_ID],order_data[[#This Row],[Order_ID]])</f>
        <v>1</v>
      </c>
      <c r="O164">
        <f>order_data[[#This Row],[Order_Value]]-order_data[[#This Row],[Discount]]</f>
        <v>467</v>
      </c>
      <c r="P164">
        <f>order_data[[#This Row],[Order_Value]]+order_data[[#This Row],[Delivery_Fee]]-order_data[[#This Row],[Discount]]</f>
        <v>507</v>
      </c>
      <c r="Q164" t="str">
        <f>TEXT(order_data[[#This Row],[Order_Date]],"mmm")</f>
        <v>Jan</v>
      </c>
      <c r="R164">
        <f>MONTH(order_data[[#This Row],[Order_Date]])</f>
        <v>1</v>
      </c>
    </row>
    <row r="165" spans="1:18" x14ac:dyDescent="0.35">
      <c r="A165" t="s">
        <v>429</v>
      </c>
      <c r="B165" t="s">
        <v>61</v>
      </c>
      <c r="C165" t="s">
        <v>430</v>
      </c>
      <c r="D165" t="s">
        <v>40</v>
      </c>
      <c r="E165" t="s">
        <v>111</v>
      </c>
      <c r="F165" t="s">
        <v>18</v>
      </c>
      <c r="G165" t="s">
        <v>19</v>
      </c>
      <c r="H165">
        <v>199</v>
      </c>
      <c r="I165">
        <v>50</v>
      </c>
      <c r="J165">
        <v>0</v>
      </c>
      <c r="K165" t="s">
        <v>20</v>
      </c>
      <c r="L165">
        <v>44</v>
      </c>
      <c r="M165" t="s">
        <v>21</v>
      </c>
      <c r="N165">
        <f>COUNTIF(order_data[Order_ID],order_data[[#This Row],[Order_ID]])</f>
        <v>1</v>
      </c>
      <c r="O165">
        <f>order_data[[#This Row],[Order_Value]]-order_data[[#This Row],[Discount]]</f>
        <v>199</v>
      </c>
      <c r="P165">
        <f>order_data[[#This Row],[Order_Value]]+order_data[[#This Row],[Delivery_Fee]]-order_data[[#This Row],[Discount]]</f>
        <v>249</v>
      </c>
      <c r="Q165" t="str">
        <f>TEXT(order_data[[#This Row],[Order_Date]],"mmm")</f>
        <v>Jan</v>
      </c>
      <c r="R165">
        <f>MONTH(order_data[[#This Row],[Order_Date]])</f>
        <v>1</v>
      </c>
    </row>
    <row r="166" spans="1:18" x14ac:dyDescent="0.35">
      <c r="A166" t="s">
        <v>431</v>
      </c>
      <c r="B166" t="s">
        <v>432</v>
      </c>
      <c r="C166" t="s">
        <v>433</v>
      </c>
      <c r="D166" t="s">
        <v>16</v>
      </c>
      <c r="E166" t="s">
        <v>17</v>
      </c>
      <c r="F166" t="s">
        <v>18</v>
      </c>
      <c r="G166" t="s">
        <v>35</v>
      </c>
      <c r="H166">
        <v>375</v>
      </c>
      <c r="I166">
        <v>30</v>
      </c>
      <c r="J166">
        <v>30</v>
      </c>
      <c r="K166" t="s">
        <v>20</v>
      </c>
      <c r="L166">
        <v>54</v>
      </c>
      <c r="M166" t="s">
        <v>21</v>
      </c>
      <c r="N166">
        <f>COUNTIF(order_data[Order_ID],order_data[[#This Row],[Order_ID]])</f>
        <v>1</v>
      </c>
      <c r="O166">
        <f>order_data[[#This Row],[Order_Value]]-order_data[[#This Row],[Discount]]</f>
        <v>345</v>
      </c>
      <c r="P166">
        <f>order_data[[#This Row],[Order_Value]]+order_data[[#This Row],[Delivery_Fee]]-order_data[[#This Row],[Discount]]</f>
        <v>375</v>
      </c>
      <c r="Q166" t="str">
        <f>TEXT(order_data[[#This Row],[Order_Date]],"mmm")</f>
        <v>Feb</v>
      </c>
      <c r="R166">
        <f>MONTH(order_data[[#This Row],[Order_Date]])</f>
        <v>2</v>
      </c>
    </row>
    <row r="167" spans="1:18" x14ac:dyDescent="0.35">
      <c r="A167" t="s">
        <v>434</v>
      </c>
      <c r="B167" t="s">
        <v>435</v>
      </c>
      <c r="C167" t="s">
        <v>423</v>
      </c>
      <c r="D167" t="s">
        <v>16</v>
      </c>
      <c r="E167" t="s">
        <v>17</v>
      </c>
      <c r="F167" t="s">
        <v>18</v>
      </c>
      <c r="G167" t="s">
        <v>63</v>
      </c>
      <c r="H167">
        <v>261</v>
      </c>
      <c r="I167">
        <v>20</v>
      </c>
      <c r="J167">
        <v>20</v>
      </c>
      <c r="K167" t="s">
        <v>36</v>
      </c>
      <c r="L167">
        <v>25</v>
      </c>
      <c r="M167" t="s">
        <v>21</v>
      </c>
      <c r="N167">
        <f>COUNTIF(order_data[Order_ID],order_data[[#This Row],[Order_ID]])</f>
        <v>1</v>
      </c>
      <c r="O167">
        <f>order_data[[#This Row],[Order_Value]]-order_data[[#This Row],[Discount]]</f>
        <v>241</v>
      </c>
      <c r="P167">
        <f>order_data[[#This Row],[Order_Value]]+order_data[[#This Row],[Delivery_Fee]]-order_data[[#This Row],[Discount]]</f>
        <v>261</v>
      </c>
      <c r="Q167" t="str">
        <f>TEXT(order_data[[#This Row],[Order_Date]],"mmm")</f>
        <v>Feb</v>
      </c>
      <c r="R167">
        <f>MONTH(order_data[[#This Row],[Order_Date]])</f>
        <v>2</v>
      </c>
    </row>
    <row r="168" spans="1:18" x14ac:dyDescent="0.35">
      <c r="A168" t="s">
        <v>436</v>
      </c>
      <c r="B168" t="s">
        <v>213</v>
      </c>
      <c r="C168" t="s">
        <v>437</v>
      </c>
      <c r="D168" t="s">
        <v>25</v>
      </c>
      <c r="E168" t="s">
        <v>78</v>
      </c>
      <c r="F168" t="s">
        <v>48</v>
      </c>
      <c r="G168" t="s">
        <v>63</v>
      </c>
      <c r="H168">
        <v>427</v>
      </c>
      <c r="I168">
        <v>30</v>
      </c>
      <c r="J168">
        <v>100</v>
      </c>
      <c r="K168" t="s">
        <v>20</v>
      </c>
      <c r="L168">
        <v>32</v>
      </c>
      <c r="M168" t="s">
        <v>21</v>
      </c>
      <c r="N168">
        <f>COUNTIF(order_data[Order_ID],order_data[[#This Row],[Order_ID]])</f>
        <v>1</v>
      </c>
      <c r="O168">
        <f>order_data[[#This Row],[Order_Value]]-order_data[[#This Row],[Discount]]</f>
        <v>327</v>
      </c>
      <c r="P168">
        <f>order_data[[#This Row],[Order_Value]]+order_data[[#This Row],[Delivery_Fee]]-order_data[[#This Row],[Discount]]</f>
        <v>357</v>
      </c>
      <c r="Q168" t="str">
        <f>TEXT(order_data[[#This Row],[Order_Date]],"mmm")</f>
        <v>Jan</v>
      </c>
      <c r="R168">
        <f>MONTH(order_data[[#This Row],[Order_Date]])</f>
        <v>1</v>
      </c>
    </row>
    <row r="169" spans="1:18" x14ac:dyDescent="0.35">
      <c r="A169" t="s">
        <v>438</v>
      </c>
      <c r="B169" t="s">
        <v>286</v>
      </c>
      <c r="C169" t="s">
        <v>439</v>
      </c>
      <c r="D169" t="s">
        <v>25</v>
      </c>
      <c r="E169" t="s">
        <v>78</v>
      </c>
      <c r="F169" t="s">
        <v>48</v>
      </c>
      <c r="G169" t="s">
        <v>49</v>
      </c>
      <c r="H169">
        <v>424</v>
      </c>
      <c r="I169">
        <v>20</v>
      </c>
      <c r="J169">
        <v>0</v>
      </c>
      <c r="K169" t="s">
        <v>36</v>
      </c>
      <c r="L169">
        <v>32</v>
      </c>
      <c r="M169" t="s">
        <v>21</v>
      </c>
      <c r="N169">
        <f>COUNTIF(order_data[Order_ID],order_data[[#This Row],[Order_ID]])</f>
        <v>1</v>
      </c>
      <c r="O169">
        <f>order_data[[#This Row],[Order_Value]]-order_data[[#This Row],[Discount]]</f>
        <v>424</v>
      </c>
      <c r="P169">
        <f>order_data[[#This Row],[Order_Value]]+order_data[[#This Row],[Delivery_Fee]]-order_data[[#This Row],[Discount]]</f>
        <v>444</v>
      </c>
      <c r="Q169" t="str">
        <f>TEXT(order_data[[#This Row],[Order_Date]],"mmm")</f>
        <v>Mar</v>
      </c>
      <c r="R169">
        <f>MONTH(order_data[[#This Row],[Order_Date]])</f>
        <v>3</v>
      </c>
    </row>
    <row r="170" spans="1:18" x14ac:dyDescent="0.35">
      <c r="A170" t="s">
        <v>440</v>
      </c>
      <c r="B170" t="s">
        <v>244</v>
      </c>
      <c r="C170" t="s">
        <v>441</v>
      </c>
      <c r="D170" t="s">
        <v>40</v>
      </c>
      <c r="E170" t="s">
        <v>67</v>
      </c>
      <c r="F170" t="s">
        <v>48</v>
      </c>
      <c r="G170" t="s">
        <v>59</v>
      </c>
      <c r="H170">
        <v>571</v>
      </c>
      <c r="I170">
        <v>50</v>
      </c>
      <c r="J170">
        <v>30</v>
      </c>
      <c r="K170" t="s">
        <v>29</v>
      </c>
      <c r="L170">
        <v>50</v>
      </c>
      <c r="M170" t="s">
        <v>30</v>
      </c>
      <c r="N170">
        <f>COUNTIF(order_data[Order_ID],order_data[[#This Row],[Order_ID]])</f>
        <v>1</v>
      </c>
      <c r="O170">
        <f>order_data[[#This Row],[Order_Value]]-order_data[[#This Row],[Discount]]</f>
        <v>541</v>
      </c>
      <c r="P170">
        <f>order_data[[#This Row],[Order_Value]]+order_data[[#This Row],[Delivery_Fee]]-order_data[[#This Row],[Discount]]</f>
        <v>591</v>
      </c>
      <c r="Q170" t="str">
        <f>TEXT(order_data[[#This Row],[Order_Date]],"mmm")</f>
        <v>Feb</v>
      </c>
      <c r="R170">
        <f>MONTH(order_data[[#This Row],[Order_Date]])</f>
        <v>2</v>
      </c>
    </row>
    <row r="171" spans="1:18" x14ac:dyDescent="0.35">
      <c r="A171" t="s">
        <v>442</v>
      </c>
      <c r="B171" t="s">
        <v>105</v>
      </c>
      <c r="C171" t="s">
        <v>443</v>
      </c>
      <c r="D171" t="s">
        <v>53</v>
      </c>
      <c r="E171" t="s">
        <v>152</v>
      </c>
      <c r="F171" t="s">
        <v>18</v>
      </c>
      <c r="G171" t="s">
        <v>63</v>
      </c>
      <c r="H171">
        <v>507</v>
      </c>
      <c r="I171">
        <v>50</v>
      </c>
      <c r="J171">
        <v>100</v>
      </c>
      <c r="K171" t="s">
        <v>29</v>
      </c>
      <c r="L171">
        <v>48</v>
      </c>
      <c r="M171" t="s">
        <v>21</v>
      </c>
      <c r="N171">
        <f>COUNTIF(order_data[Order_ID],order_data[[#This Row],[Order_ID]])</f>
        <v>1</v>
      </c>
      <c r="O171">
        <f>order_data[[#This Row],[Order_Value]]-order_data[[#This Row],[Discount]]</f>
        <v>407</v>
      </c>
      <c r="P171">
        <f>order_data[[#This Row],[Order_Value]]+order_data[[#This Row],[Delivery_Fee]]-order_data[[#This Row],[Discount]]</f>
        <v>457</v>
      </c>
      <c r="Q171" t="str">
        <f>TEXT(order_data[[#This Row],[Order_Date]],"mmm")</f>
        <v>Mar</v>
      </c>
      <c r="R171">
        <f>MONTH(order_data[[#This Row],[Order_Date]])</f>
        <v>3</v>
      </c>
    </row>
    <row r="172" spans="1:18" x14ac:dyDescent="0.35">
      <c r="A172" t="s">
        <v>444</v>
      </c>
      <c r="B172" t="s">
        <v>150</v>
      </c>
      <c r="C172" t="s">
        <v>301</v>
      </c>
      <c r="D172" t="s">
        <v>40</v>
      </c>
      <c r="E172" t="s">
        <v>41</v>
      </c>
      <c r="F172" t="s">
        <v>27</v>
      </c>
      <c r="G172" t="s">
        <v>49</v>
      </c>
      <c r="H172">
        <v>611</v>
      </c>
      <c r="I172">
        <v>50</v>
      </c>
      <c r="J172">
        <v>30</v>
      </c>
      <c r="K172" t="s">
        <v>29</v>
      </c>
      <c r="L172">
        <v>38</v>
      </c>
      <c r="M172" t="s">
        <v>21</v>
      </c>
      <c r="N172">
        <f>COUNTIF(order_data[Order_ID],order_data[[#This Row],[Order_ID]])</f>
        <v>1</v>
      </c>
      <c r="O172">
        <f>order_data[[#This Row],[Order_Value]]-order_data[[#This Row],[Discount]]</f>
        <v>581</v>
      </c>
      <c r="P172">
        <f>order_data[[#This Row],[Order_Value]]+order_data[[#This Row],[Delivery_Fee]]-order_data[[#This Row],[Discount]]</f>
        <v>631</v>
      </c>
      <c r="Q172" t="str">
        <f>TEXT(order_data[[#This Row],[Order_Date]],"mmm")</f>
        <v>Feb</v>
      </c>
      <c r="R172">
        <f>MONTH(order_data[[#This Row],[Order_Date]])</f>
        <v>2</v>
      </c>
    </row>
    <row r="173" spans="1:18" x14ac:dyDescent="0.35">
      <c r="A173" t="s">
        <v>445</v>
      </c>
      <c r="B173" t="s">
        <v>365</v>
      </c>
      <c r="C173" t="s">
        <v>446</v>
      </c>
      <c r="D173" t="s">
        <v>53</v>
      </c>
      <c r="E173" t="s">
        <v>152</v>
      </c>
      <c r="F173" t="s">
        <v>18</v>
      </c>
      <c r="G173" t="s">
        <v>59</v>
      </c>
      <c r="H173">
        <v>480</v>
      </c>
      <c r="I173">
        <v>50</v>
      </c>
      <c r="J173">
        <v>50</v>
      </c>
      <c r="K173" t="s">
        <v>29</v>
      </c>
      <c r="L173">
        <v>38</v>
      </c>
      <c r="M173" t="s">
        <v>21</v>
      </c>
      <c r="N173">
        <f>COUNTIF(order_data[Order_ID],order_data[[#This Row],[Order_ID]])</f>
        <v>1</v>
      </c>
      <c r="O173">
        <f>order_data[[#This Row],[Order_Value]]-order_data[[#This Row],[Discount]]</f>
        <v>430</v>
      </c>
      <c r="P173">
        <f>order_data[[#This Row],[Order_Value]]+order_data[[#This Row],[Delivery_Fee]]-order_data[[#This Row],[Discount]]</f>
        <v>480</v>
      </c>
      <c r="Q173" t="str">
        <f>TEXT(order_data[[#This Row],[Order_Date]],"mmm")</f>
        <v>Jan</v>
      </c>
      <c r="R173">
        <f>MONTH(order_data[[#This Row],[Order_Date]])</f>
        <v>1</v>
      </c>
    </row>
    <row r="174" spans="1:18" x14ac:dyDescent="0.35">
      <c r="A174" t="s">
        <v>447</v>
      </c>
      <c r="B174" t="s">
        <v>207</v>
      </c>
      <c r="C174" t="s">
        <v>417</v>
      </c>
      <c r="D174" t="s">
        <v>16</v>
      </c>
      <c r="E174" t="s">
        <v>89</v>
      </c>
      <c r="F174" t="s">
        <v>18</v>
      </c>
      <c r="G174" t="s">
        <v>74</v>
      </c>
      <c r="H174">
        <v>588</v>
      </c>
      <c r="I174">
        <v>40</v>
      </c>
      <c r="J174">
        <v>0</v>
      </c>
      <c r="K174" t="s">
        <v>29</v>
      </c>
      <c r="L174">
        <v>39</v>
      </c>
      <c r="M174" t="s">
        <v>21</v>
      </c>
      <c r="N174">
        <f>COUNTIF(order_data[Order_ID],order_data[[#This Row],[Order_ID]])</f>
        <v>1</v>
      </c>
      <c r="O174">
        <f>order_data[[#This Row],[Order_Value]]-order_data[[#This Row],[Discount]]</f>
        <v>588</v>
      </c>
      <c r="P174">
        <f>order_data[[#This Row],[Order_Value]]+order_data[[#This Row],[Delivery_Fee]]-order_data[[#This Row],[Discount]]</f>
        <v>628</v>
      </c>
      <c r="Q174" t="str">
        <f>TEXT(order_data[[#This Row],[Order_Date]],"mmm")</f>
        <v>Jan</v>
      </c>
      <c r="R174">
        <f>MONTH(order_data[[#This Row],[Order_Date]])</f>
        <v>1</v>
      </c>
    </row>
    <row r="175" spans="1:18" x14ac:dyDescent="0.35">
      <c r="A175" t="s">
        <v>448</v>
      </c>
      <c r="B175" t="s">
        <v>449</v>
      </c>
      <c r="C175" t="s">
        <v>161</v>
      </c>
      <c r="D175" t="s">
        <v>46</v>
      </c>
      <c r="E175" t="s">
        <v>47</v>
      </c>
      <c r="F175" t="s">
        <v>48</v>
      </c>
      <c r="G175" t="s">
        <v>107</v>
      </c>
      <c r="H175">
        <v>266</v>
      </c>
      <c r="I175">
        <v>40</v>
      </c>
      <c r="J175">
        <v>30</v>
      </c>
      <c r="K175" t="s">
        <v>36</v>
      </c>
      <c r="L175">
        <v>52</v>
      </c>
      <c r="M175" t="s">
        <v>21</v>
      </c>
      <c r="N175">
        <f>COUNTIF(order_data[Order_ID],order_data[[#This Row],[Order_ID]])</f>
        <v>1</v>
      </c>
      <c r="O175">
        <f>order_data[[#This Row],[Order_Value]]-order_data[[#This Row],[Discount]]</f>
        <v>236</v>
      </c>
      <c r="P175">
        <f>order_data[[#This Row],[Order_Value]]+order_data[[#This Row],[Delivery_Fee]]-order_data[[#This Row],[Discount]]</f>
        <v>276</v>
      </c>
      <c r="Q175" t="str">
        <f>TEXT(order_data[[#This Row],[Order_Date]],"mmm")</f>
        <v>Mar</v>
      </c>
      <c r="R175">
        <f>MONTH(order_data[[#This Row],[Order_Date]])</f>
        <v>3</v>
      </c>
    </row>
    <row r="176" spans="1:18" x14ac:dyDescent="0.35">
      <c r="A176" t="s">
        <v>450</v>
      </c>
      <c r="B176" t="s">
        <v>295</v>
      </c>
      <c r="C176" t="s">
        <v>130</v>
      </c>
      <c r="D176" t="s">
        <v>16</v>
      </c>
      <c r="E176" t="s">
        <v>131</v>
      </c>
      <c r="F176" t="s">
        <v>55</v>
      </c>
      <c r="G176" t="s">
        <v>28</v>
      </c>
      <c r="H176">
        <v>361</v>
      </c>
      <c r="I176">
        <v>20</v>
      </c>
      <c r="J176">
        <v>30</v>
      </c>
      <c r="K176" t="s">
        <v>20</v>
      </c>
      <c r="L176">
        <v>21</v>
      </c>
      <c r="M176" t="s">
        <v>21</v>
      </c>
      <c r="N176">
        <f>COUNTIF(order_data[Order_ID],order_data[[#This Row],[Order_ID]])</f>
        <v>1</v>
      </c>
      <c r="O176">
        <f>order_data[[#This Row],[Order_Value]]-order_data[[#This Row],[Discount]]</f>
        <v>331</v>
      </c>
      <c r="P176">
        <f>order_data[[#This Row],[Order_Value]]+order_data[[#This Row],[Delivery_Fee]]-order_data[[#This Row],[Discount]]</f>
        <v>351</v>
      </c>
      <c r="Q176" t="str">
        <f>TEXT(order_data[[#This Row],[Order_Date]],"mmm")</f>
        <v>Jan</v>
      </c>
      <c r="R176">
        <f>MONTH(order_data[[#This Row],[Order_Date]])</f>
        <v>1</v>
      </c>
    </row>
    <row r="177" spans="1:18" x14ac:dyDescent="0.35">
      <c r="A177" t="s">
        <v>451</v>
      </c>
      <c r="B177" t="s">
        <v>413</v>
      </c>
      <c r="C177" t="s">
        <v>452</v>
      </c>
      <c r="D177" t="s">
        <v>53</v>
      </c>
      <c r="E177" t="s">
        <v>54</v>
      </c>
      <c r="F177" t="s">
        <v>55</v>
      </c>
      <c r="G177" t="s">
        <v>63</v>
      </c>
      <c r="H177">
        <v>677</v>
      </c>
      <c r="I177">
        <v>20</v>
      </c>
      <c r="J177">
        <v>20</v>
      </c>
      <c r="K177" t="s">
        <v>36</v>
      </c>
      <c r="L177">
        <v>39</v>
      </c>
      <c r="M177" t="s">
        <v>21</v>
      </c>
      <c r="N177">
        <f>COUNTIF(order_data[Order_ID],order_data[[#This Row],[Order_ID]])</f>
        <v>1</v>
      </c>
      <c r="O177">
        <f>order_data[[#This Row],[Order_Value]]-order_data[[#This Row],[Discount]]</f>
        <v>657</v>
      </c>
      <c r="P177">
        <f>order_data[[#This Row],[Order_Value]]+order_data[[#This Row],[Delivery_Fee]]-order_data[[#This Row],[Discount]]</f>
        <v>677</v>
      </c>
      <c r="Q177" t="str">
        <f>TEXT(order_data[[#This Row],[Order_Date]],"mmm")</f>
        <v>Mar</v>
      </c>
      <c r="R177">
        <f>MONTH(order_data[[#This Row],[Order_Date]])</f>
        <v>3</v>
      </c>
    </row>
    <row r="178" spans="1:18" x14ac:dyDescent="0.35">
      <c r="A178" t="s">
        <v>453</v>
      </c>
      <c r="B178" t="s">
        <v>454</v>
      </c>
      <c r="C178" t="s">
        <v>455</v>
      </c>
      <c r="D178" t="s">
        <v>46</v>
      </c>
      <c r="E178" t="s">
        <v>148</v>
      </c>
      <c r="F178" t="s">
        <v>27</v>
      </c>
      <c r="G178" t="s">
        <v>74</v>
      </c>
      <c r="H178">
        <v>481</v>
      </c>
      <c r="I178">
        <v>30</v>
      </c>
      <c r="J178">
        <v>30</v>
      </c>
      <c r="K178" t="s">
        <v>20</v>
      </c>
      <c r="L178">
        <v>41</v>
      </c>
      <c r="M178" t="s">
        <v>21</v>
      </c>
      <c r="N178">
        <f>COUNTIF(order_data[Order_ID],order_data[[#This Row],[Order_ID]])</f>
        <v>1</v>
      </c>
      <c r="O178">
        <f>order_data[[#This Row],[Order_Value]]-order_data[[#This Row],[Discount]]</f>
        <v>451</v>
      </c>
      <c r="P178">
        <f>order_data[[#This Row],[Order_Value]]+order_data[[#This Row],[Delivery_Fee]]-order_data[[#This Row],[Discount]]</f>
        <v>481</v>
      </c>
      <c r="Q178" t="str">
        <f>TEXT(order_data[[#This Row],[Order_Date]],"mmm")</f>
        <v>Jan</v>
      </c>
      <c r="R178">
        <f>MONTH(order_data[[#This Row],[Order_Date]])</f>
        <v>1</v>
      </c>
    </row>
    <row r="179" spans="1:18" x14ac:dyDescent="0.35">
      <c r="A179" t="s">
        <v>456</v>
      </c>
      <c r="B179" t="s">
        <v>121</v>
      </c>
      <c r="C179" t="s">
        <v>457</v>
      </c>
      <c r="D179" t="s">
        <v>53</v>
      </c>
      <c r="E179" t="s">
        <v>84</v>
      </c>
      <c r="F179" t="s">
        <v>85</v>
      </c>
      <c r="G179" t="s">
        <v>42</v>
      </c>
      <c r="H179">
        <v>666</v>
      </c>
      <c r="I179">
        <v>20</v>
      </c>
      <c r="J179">
        <v>100</v>
      </c>
      <c r="K179" t="s">
        <v>36</v>
      </c>
      <c r="L179">
        <v>45</v>
      </c>
      <c r="M179" t="s">
        <v>21</v>
      </c>
      <c r="N179">
        <f>COUNTIF(order_data[Order_ID],order_data[[#This Row],[Order_ID]])</f>
        <v>1</v>
      </c>
      <c r="O179">
        <f>order_data[[#This Row],[Order_Value]]-order_data[[#This Row],[Discount]]</f>
        <v>566</v>
      </c>
      <c r="P179">
        <f>order_data[[#This Row],[Order_Value]]+order_data[[#This Row],[Delivery_Fee]]-order_data[[#This Row],[Discount]]</f>
        <v>586</v>
      </c>
      <c r="Q179" t="str">
        <f>TEXT(order_data[[#This Row],[Order_Date]],"mmm")</f>
        <v>Feb</v>
      </c>
      <c r="R179">
        <f>MONTH(order_data[[#This Row],[Order_Date]])</f>
        <v>2</v>
      </c>
    </row>
    <row r="180" spans="1:18" x14ac:dyDescent="0.35">
      <c r="A180" t="s">
        <v>458</v>
      </c>
      <c r="B180" t="s">
        <v>118</v>
      </c>
      <c r="C180" t="s">
        <v>459</v>
      </c>
      <c r="D180" t="s">
        <v>46</v>
      </c>
      <c r="E180" t="s">
        <v>47</v>
      </c>
      <c r="F180" t="s">
        <v>48</v>
      </c>
      <c r="G180" t="s">
        <v>107</v>
      </c>
      <c r="H180">
        <v>543</v>
      </c>
      <c r="I180">
        <v>50</v>
      </c>
      <c r="J180">
        <v>20</v>
      </c>
      <c r="K180" t="s">
        <v>36</v>
      </c>
      <c r="L180">
        <v>27</v>
      </c>
      <c r="M180" t="s">
        <v>30</v>
      </c>
      <c r="N180">
        <f>COUNTIF(order_data[Order_ID],order_data[[#This Row],[Order_ID]])</f>
        <v>1</v>
      </c>
      <c r="O180">
        <f>order_data[[#This Row],[Order_Value]]-order_data[[#This Row],[Discount]]</f>
        <v>523</v>
      </c>
      <c r="P180">
        <f>order_data[[#This Row],[Order_Value]]+order_data[[#This Row],[Delivery_Fee]]-order_data[[#This Row],[Discount]]</f>
        <v>573</v>
      </c>
      <c r="Q180" t="str">
        <f>TEXT(order_data[[#This Row],[Order_Date]],"mmm")</f>
        <v>Mar</v>
      </c>
      <c r="R180">
        <f>MONTH(order_data[[#This Row],[Order_Date]])</f>
        <v>3</v>
      </c>
    </row>
    <row r="181" spans="1:18" x14ac:dyDescent="0.35">
      <c r="A181" t="s">
        <v>460</v>
      </c>
      <c r="B181" t="s">
        <v>186</v>
      </c>
      <c r="C181" t="s">
        <v>375</v>
      </c>
      <c r="D181" t="s">
        <v>16</v>
      </c>
      <c r="E181" t="s">
        <v>131</v>
      </c>
      <c r="F181" t="s">
        <v>55</v>
      </c>
      <c r="G181" t="s">
        <v>49</v>
      </c>
      <c r="H181">
        <v>307</v>
      </c>
      <c r="I181">
        <v>50</v>
      </c>
      <c r="J181">
        <v>100</v>
      </c>
      <c r="K181" t="s">
        <v>20</v>
      </c>
      <c r="L181">
        <v>26</v>
      </c>
      <c r="M181" t="s">
        <v>30</v>
      </c>
      <c r="N181">
        <f>COUNTIF(order_data[Order_ID],order_data[[#This Row],[Order_ID]])</f>
        <v>1</v>
      </c>
      <c r="O181">
        <f>order_data[[#This Row],[Order_Value]]-order_data[[#This Row],[Discount]]</f>
        <v>207</v>
      </c>
      <c r="P181">
        <f>order_data[[#This Row],[Order_Value]]+order_data[[#This Row],[Delivery_Fee]]-order_data[[#This Row],[Discount]]</f>
        <v>257</v>
      </c>
      <c r="Q181" t="str">
        <f>TEXT(order_data[[#This Row],[Order_Date]],"mmm")</f>
        <v>Mar</v>
      </c>
      <c r="R181">
        <f>MONTH(order_data[[#This Row],[Order_Date]])</f>
        <v>3</v>
      </c>
    </row>
    <row r="182" spans="1:18" x14ac:dyDescent="0.35">
      <c r="A182" t="s">
        <v>461</v>
      </c>
      <c r="B182" t="s">
        <v>80</v>
      </c>
      <c r="C182" t="s">
        <v>239</v>
      </c>
      <c r="D182" t="s">
        <v>53</v>
      </c>
      <c r="E182" t="s">
        <v>84</v>
      </c>
      <c r="F182" t="s">
        <v>85</v>
      </c>
      <c r="G182" t="s">
        <v>42</v>
      </c>
      <c r="H182">
        <v>482</v>
      </c>
      <c r="I182">
        <v>30</v>
      </c>
      <c r="J182">
        <v>20</v>
      </c>
      <c r="K182" t="s">
        <v>36</v>
      </c>
      <c r="L182">
        <v>47</v>
      </c>
      <c r="M182" t="s">
        <v>21</v>
      </c>
      <c r="N182">
        <f>COUNTIF(order_data[Order_ID],order_data[[#This Row],[Order_ID]])</f>
        <v>1</v>
      </c>
      <c r="O182">
        <f>order_data[[#This Row],[Order_Value]]-order_data[[#This Row],[Discount]]</f>
        <v>462</v>
      </c>
      <c r="P182">
        <f>order_data[[#This Row],[Order_Value]]+order_data[[#This Row],[Delivery_Fee]]-order_data[[#This Row],[Discount]]</f>
        <v>492</v>
      </c>
      <c r="Q182" t="str">
        <f>TEXT(order_data[[#This Row],[Order_Date]],"mmm")</f>
        <v>Feb</v>
      </c>
      <c r="R182">
        <f>MONTH(order_data[[#This Row],[Order_Date]])</f>
        <v>2</v>
      </c>
    </row>
    <row r="183" spans="1:18" x14ac:dyDescent="0.35">
      <c r="A183" t="s">
        <v>462</v>
      </c>
      <c r="B183" t="s">
        <v>449</v>
      </c>
      <c r="C183" t="s">
        <v>463</v>
      </c>
      <c r="D183" t="s">
        <v>25</v>
      </c>
      <c r="E183" t="s">
        <v>34</v>
      </c>
      <c r="F183" t="s">
        <v>27</v>
      </c>
      <c r="G183" t="s">
        <v>19</v>
      </c>
      <c r="H183">
        <v>441</v>
      </c>
      <c r="I183">
        <v>20</v>
      </c>
      <c r="J183">
        <v>0</v>
      </c>
      <c r="K183" t="s">
        <v>20</v>
      </c>
      <c r="L183">
        <v>37</v>
      </c>
      <c r="M183" t="s">
        <v>21</v>
      </c>
      <c r="N183">
        <f>COUNTIF(order_data[Order_ID],order_data[[#This Row],[Order_ID]])</f>
        <v>1</v>
      </c>
      <c r="O183">
        <f>order_data[[#This Row],[Order_Value]]-order_data[[#This Row],[Discount]]</f>
        <v>441</v>
      </c>
      <c r="P183">
        <f>order_data[[#This Row],[Order_Value]]+order_data[[#This Row],[Delivery_Fee]]-order_data[[#This Row],[Discount]]</f>
        <v>461</v>
      </c>
      <c r="Q183" t="str">
        <f>TEXT(order_data[[#This Row],[Order_Date]],"mmm")</f>
        <v>Mar</v>
      </c>
      <c r="R183">
        <f>MONTH(order_data[[#This Row],[Order_Date]])</f>
        <v>3</v>
      </c>
    </row>
    <row r="184" spans="1:18" x14ac:dyDescent="0.35">
      <c r="A184" t="s">
        <v>464</v>
      </c>
      <c r="B184" t="s">
        <v>178</v>
      </c>
      <c r="C184" t="s">
        <v>465</v>
      </c>
      <c r="D184" t="s">
        <v>16</v>
      </c>
      <c r="E184" t="s">
        <v>89</v>
      </c>
      <c r="F184" t="s">
        <v>18</v>
      </c>
      <c r="G184" t="s">
        <v>19</v>
      </c>
      <c r="H184">
        <v>707</v>
      </c>
      <c r="I184">
        <v>50</v>
      </c>
      <c r="J184">
        <v>0</v>
      </c>
      <c r="K184" t="s">
        <v>20</v>
      </c>
      <c r="L184">
        <v>20</v>
      </c>
      <c r="M184" t="s">
        <v>21</v>
      </c>
      <c r="N184">
        <f>COUNTIF(order_data[Order_ID],order_data[[#This Row],[Order_ID]])</f>
        <v>1</v>
      </c>
      <c r="O184">
        <f>order_data[[#This Row],[Order_Value]]-order_data[[#This Row],[Discount]]</f>
        <v>707</v>
      </c>
      <c r="P184">
        <f>order_data[[#This Row],[Order_Value]]+order_data[[#This Row],[Delivery_Fee]]-order_data[[#This Row],[Discount]]</f>
        <v>757</v>
      </c>
      <c r="Q184" t="str">
        <f>TEXT(order_data[[#This Row],[Order_Date]],"mmm")</f>
        <v>Feb</v>
      </c>
      <c r="R184">
        <f>MONTH(order_data[[#This Row],[Order_Date]])</f>
        <v>2</v>
      </c>
    </row>
    <row r="185" spans="1:18" x14ac:dyDescent="0.35">
      <c r="A185" t="s">
        <v>466</v>
      </c>
      <c r="B185" t="s">
        <v>51</v>
      </c>
      <c r="C185" t="s">
        <v>467</v>
      </c>
      <c r="D185" t="s">
        <v>40</v>
      </c>
      <c r="E185" t="s">
        <v>111</v>
      </c>
      <c r="F185" t="s">
        <v>18</v>
      </c>
      <c r="G185" t="s">
        <v>19</v>
      </c>
      <c r="H185">
        <v>276</v>
      </c>
      <c r="I185">
        <v>30</v>
      </c>
      <c r="J185">
        <v>100</v>
      </c>
      <c r="K185" t="s">
        <v>20</v>
      </c>
      <c r="L185">
        <v>52</v>
      </c>
      <c r="M185" t="s">
        <v>30</v>
      </c>
      <c r="N185">
        <f>COUNTIF(order_data[Order_ID],order_data[[#This Row],[Order_ID]])</f>
        <v>1</v>
      </c>
      <c r="O185">
        <f>order_data[[#This Row],[Order_Value]]-order_data[[#This Row],[Discount]]</f>
        <v>176</v>
      </c>
      <c r="P185">
        <f>order_data[[#This Row],[Order_Value]]+order_data[[#This Row],[Delivery_Fee]]-order_data[[#This Row],[Discount]]</f>
        <v>206</v>
      </c>
      <c r="Q185" t="str">
        <f>TEXT(order_data[[#This Row],[Order_Date]],"mmm")</f>
        <v>Feb</v>
      </c>
      <c r="R185">
        <f>MONTH(order_data[[#This Row],[Order_Date]])</f>
        <v>2</v>
      </c>
    </row>
    <row r="186" spans="1:18" x14ac:dyDescent="0.35">
      <c r="A186" t="s">
        <v>468</v>
      </c>
      <c r="B186" t="s">
        <v>280</v>
      </c>
      <c r="C186" t="s">
        <v>469</v>
      </c>
      <c r="D186" t="s">
        <v>16</v>
      </c>
      <c r="E186" t="s">
        <v>89</v>
      </c>
      <c r="F186" t="s">
        <v>18</v>
      </c>
      <c r="G186" t="s">
        <v>19</v>
      </c>
      <c r="H186">
        <v>390</v>
      </c>
      <c r="I186">
        <v>50</v>
      </c>
      <c r="J186">
        <v>30</v>
      </c>
      <c r="K186" t="s">
        <v>29</v>
      </c>
      <c r="L186">
        <v>54</v>
      </c>
      <c r="M186" t="s">
        <v>21</v>
      </c>
      <c r="N186">
        <f>COUNTIF(order_data[Order_ID],order_data[[#This Row],[Order_ID]])</f>
        <v>1</v>
      </c>
      <c r="O186">
        <f>order_data[[#This Row],[Order_Value]]-order_data[[#This Row],[Discount]]</f>
        <v>360</v>
      </c>
      <c r="P186">
        <f>order_data[[#This Row],[Order_Value]]+order_data[[#This Row],[Delivery_Fee]]-order_data[[#This Row],[Discount]]</f>
        <v>410</v>
      </c>
      <c r="Q186" t="str">
        <f>TEXT(order_data[[#This Row],[Order_Date]],"mmm")</f>
        <v>Jan</v>
      </c>
      <c r="R186">
        <f>MONTH(order_data[[#This Row],[Order_Date]])</f>
        <v>1</v>
      </c>
    </row>
    <row r="187" spans="1:18" x14ac:dyDescent="0.35">
      <c r="A187" t="s">
        <v>470</v>
      </c>
      <c r="B187" t="s">
        <v>38</v>
      </c>
      <c r="C187" t="s">
        <v>471</v>
      </c>
      <c r="D187" t="s">
        <v>46</v>
      </c>
      <c r="E187" t="s">
        <v>47</v>
      </c>
      <c r="F187" t="s">
        <v>48</v>
      </c>
      <c r="G187" t="s">
        <v>42</v>
      </c>
      <c r="H187">
        <v>369</v>
      </c>
      <c r="I187">
        <v>40</v>
      </c>
      <c r="J187">
        <v>50</v>
      </c>
      <c r="K187" t="s">
        <v>36</v>
      </c>
      <c r="L187">
        <v>58</v>
      </c>
      <c r="M187" t="s">
        <v>21</v>
      </c>
      <c r="N187">
        <f>COUNTIF(order_data[Order_ID],order_data[[#This Row],[Order_ID]])</f>
        <v>1</v>
      </c>
      <c r="O187">
        <f>order_data[[#This Row],[Order_Value]]-order_data[[#This Row],[Discount]]</f>
        <v>319</v>
      </c>
      <c r="P187">
        <f>order_data[[#This Row],[Order_Value]]+order_data[[#This Row],[Delivery_Fee]]-order_data[[#This Row],[Discount]]</f>
        <v>359</v>
      </c>
      <c r="Q187" t="str">
        <f>TEXT(order_data[[#This Row],[Order_Date]],"mmm")</f>
        <v>Jan</v>
      </c>
      <c r="R187">
        <f>MONTH(order_data[[#This Row],[Order_Date]])</f>
        <v>1</v>
      </c>
    </row>
    <row r="188" spans="1:18" x14ac:dyDescent="0.35">
      <c r="A188" t="s">
        <v>472</v>
      </c>
      <c r="B188" t="s">
        <v>473</v>
      </c>
      <c r="C188" t="s">
        <v>474</v>
      </c>
      <c r="D188" t="s">
        <v>46</v>
      </c>
      <c r="E188" t="s">
        <v>47</v>
      </c>
      <c r="F188" t="s">
        <v>48</v>
      </c>
      <c r="G188" t="s">
        <v>107</v>
      </c>
      <c r="H188">
        <v>368</v>
      </c>
      <c r="I188">
        <v>30</v>
      </c>
      <c r="J188">
        <v>30</v>
      </c>
      <c r="K188" t="s">
        <v>36</v>
      </c>
      <c r="L188">
        <v>41</v>
      </c>
      <c r="M188" t="s">
        <v>21</v>
      </c>
      <c r="N188">
        <f>COUNTIF(order_data[Order_ID],order_data[[#This Row],[Order_ID]])</f>
        <v>1</v>
      </c>
      <c r="O188">
        <f>order_data[[#This Row],[Order_Value]]-order_data[[#This Row],[Discount]]</f>
        <v>338</v>
      </c>
      <c r="P188">
        <f>order_data[[#This Row],[Order_Value]]+order_data[[#This Row],[Delivery_Fee]]-order_data[[#This Row],[Discount]]</f>
        <v>368</v>
      </c>
      <c r="Q188" t="str">
        <f>TEXT(order_data[[#This Row],[Order_Date]],"mmm")</f>
        <v>Mar</v>
      </c>
      <c r="R188">
        <f>MONTH(order_data[[#This Row],[Order_Date]])</f>
        <v>3</v>
      </c>
    </row>
    <row r="189" spans="1:18" x14ac:dyDescent="0.35">
      <c r="A189" t="s">
        <v>475</v>
      </c>
      <c r="B189" t="s">
        <v>476</v>
      </c>
      <c r="C189" t="s">
        <v>165</v>
      </c>
      <c r="D189" t="s">
        <v>25</v>
      </c>
      <c r="E189" t="s">
        <v>26</v>
      </c>
      <c r="F189" t="s">
        <v>27</v>
      </c>
      <c r="G189" t="s">
        <v>63</v>
      </c>
      <c r="H189">
        <v>788</v>
      </c>
      <c r="I189">
        <v>50</v>
      </c>
      <c r="J189">
        <v>30</v>
      </c>
      <c r="K189" t="s">
        <v>29</v>
      </c>
      <c r="L189">
        <v>26</v>
      </c>
      <c r="M189" t="s">
        <v>21</v>
      </c>
      <c r="N189">
        <f>COUNTIF(order_data[Order_ID],order_data[[#This Row],[Order_ID]])</f>
        <v>1</v>
      </c>
      <c r="O189">
        <f>order_data[[#This Row],[Order_Value]]-order_data[[#This Row],[Discount]]</f>
        <v>758</v>
      </c>
      <c r="P189">
        <f>order_data[[#This Row],[Order_Value]]+order_data[[#This Row],[Delivery_Fee]]-order_data[[#This Row],[Discount]]</f>
        <v>808</v>
      </c>
      <c r="Q189" t="str">
        <f>TEXT(order_data[[#This Row],[Order_Date]],"mmm")</f>
        <v>Jan</v>
      </c>
      <c r="R189">
        <f>MONTH(order_data[[#This Row],[Order_Date]])</f>
        <v>1</v>
      </c>
    </row>
    <row r="190" spans="1:18" x14ac:dyDescent="0.35">
      <c r="A190" t="s">
        <v>477</v>
      </c>
      <c r="B190" t="s">
        <v>329</v>
      </c>
      <c r="C190" t="s">
        <v>478</v>
      </c>
      <c r="D190" t="s">
        <v>46</v>
      </c>
      <c r="E190" t="s">
        <v>70</v>
      </c>
      <c r="F190" t="s">
        <v>18</v>
      </c>
      <c r="G190" t="s">
        <v>63</v>
      </c>
      <c r="H190">
        <v>429</v>
      </c>
      <c r="I190">
        <v>30</v>
      </c>
      <c r="J190">
        <v>100</v>
      </c>
      <c r="K190" t="s">
        <v>36</v>
      </c>
      <c r="L190">
        <v>57</v>
      </c>
      <c r="M190" t="s">
        <v>21</v>
      </c>
      <c r="N190">
        <f>COUNTIF(order_data[Order_ID],order_data[[#This Row],[Order_ID]])</f>
        <v>1</v>
      </c>
      <c r="O190">
        <f>order_data[[#This Row],[Order_Value]]-order_data[[#This Row],[Discount]]</f>
        <v>329</v>
      </c>
      <c r="P190">
        <f>order_data[[#This Row],[Order_Value]]+order_data[[#This Row],[Delivery_Fee]]-order_data[[#This Row],[Discount]]</f>
        <v>359</v>
      </c>
      <c r="Q190" t="str">
        <f>TEXT(order_data[[#This Row],[Order_Date]],"mmm")</f>
        <v>Mar</v>
      </c>
      <c r="R190">
        <f>MONTH(order_data[[#This Row],[Order_Date]])</f>
        <v>3</v>
      </c>
    </row>
    <row r="191" spans="1:18" x14ac:dyDescent="0.35">
      <c r="A191" t="s">
        <v>479</v>
      </c>
      <c r="B191" t="s">
        <v>416</v>
      </c>
      <c r="C191" t="s">
        <v>480</v>
      </c>
      <c r="D191" t="s">
        <v>40</v>
      </c>
      <c r="E191" t="s">
        <v>41</v>
      </c>
      <c r="F191" t="s">
        <v>27</v>
      </c>
      <c r="G191" t="s">
        <v>63</v>
      </c>
      <c r="H191">
        <v>202</v>
      </c>
      <c r="I191">
        <v>30</v>
      </c>
      <c r="J191">
        <v>100</v>
      </c>
      <c r="K191" t="s">
        <v>20</v>
      </c>
      <c r="L191">
        <v>35</v>
      </c>
      <c r="M191" t="s">
        <v>21</v>
      </c>
      <c r="N191">
        <f>COUNTIF(order_data[Order_ID],order_data[[#This Row],[Order_ID]])</f>
        <v>1</v>
      </c>
      <c r="O191">
        <f>order_data[[#This Row],[Order_Value]]-order_data[[#This Row],[Discount]]</f>
        <v>102</v>
      </c>
      <c r="P191">
        <f>order_data[[#This Row],[Order_Value]]+order_data[[#This Row],[Delivery_Fee]]-order_data[[#This Row],[Discount]]</f>
        <v>132</v>
      </c>
      <c r="Q191" t="str">
        <f>TEXT(order_data[[#This Row],[Order_Date]],"mmm")</f>
        <v>Mar</v>
      </c>
      <c r="R191">
        <f>MONTH(order_data[[#This Row],[Order_Date]])</f>
        <v>3</v>
      </c>
    </row>
    <row r="192" spans="1:18" x14ac:dyDescent="0.35">
      <c r="A192" t="s">
        <v>481</v>
      </c>
      <c r="B192" t="s">
        <v>226</v>
      </c>
      <c r="C192" t="s">
        <v>482</v>
      </c>
      <c r="D192" t="s">
        <v>25</v>
      </c>
      <c r="E192" t="s">
        <v>34</v>
      </c>
      <c r="F192" t="s">
        <v>27</v>
      </c>
      <c r="G192" t="s">
        <v>59</v>
      </c>
      <c r="H192">
        <v>763</v>
      </c>
      <c r="I192">
        <v>20</v>
      </c>
      <c r="J192">
        <v>20</v>
      </c>
      <c r="K192" t="s">
        <v>29</v>
      </c>
      <c r="L192">
        <v>48</v>
      </c>
      <c r="M192" t="s">
        <v>21</v>
      </c>
      <c r="N192">
        <f>COUNTIF(order_data[Order_ID],order_data[[#This Row],[Order_ID]])</f>
        <v>1</v>
      </c>
      <c r="O192">
        <f>order_data[[#This Row],[Order_Value]]-order_data[[#This Row],[Discount]]</f>
        <v>743</v>
      </c>
      <c r="P192">
        <f>order_data[[#This Row],[Order_Value]]+order_data[[#This Row],[Delivery_Fee]]-order_data[[#This Row],[Discount]]</f>
        <v>763</v>
      </c>
      <c r="Q192" t="str">
        <f>TEXT(order_data[[#This Row],[Order_Date]],"mmm")</f>
        <v>Jan</v>
      </c>
      <c r="R192">
        <f>MONTH(order_data[[#This Row],[Order_Date]])</f>
        <v>1</v>
      </c>
    </row>
    <row r="193" spans="1:18" x14ac:dyDescent="0.35">
      <c r="A193" t="s">
        <v>483</v>
      </c>
      <c r="B193" t="s">
        <v>267</v>
      </c>
      <c r="C193" t="s">
        <v>484</v>
      </c>
      <c r="D193" t="s">
        <v>16</v>
      </c>
      <c r="E193" t="s">
        <v>131</v>
      </c>
      <c r="F193" t="s">
        <v>55</v>
      </c>
      <c r="G193" t="s">
        <v>42</v>
      </c>
      <c r="H193">
        <v>471</v>
      </c>
      <c r="I193">
        <v>50</v>
      </c>
      <c r="J193">
        <v>0</v>
      </c>
      <c r="K193" t="s">
        <v>29</v>
      </c>
      <c r="L193">
        <v>22</v>
      </c>
      <c r="M193" t="s">
        <v>21</v>
      </c>
      <c r="N193">
        <f>COUNTIF(order_data[Order_ID],order_data[[#This Row],[Order_ID]])</f>
        <v>1</v>
      </c>
      <c r="O193">
        <f>order_data[[#This Row],[Order_Value]]-order_data[[#This Row],[Discount]]</f>
        <v>471</v>
      </c>
      <c r="P193">
        <f>order_data[[#This Row],[Order_Value]]+order_data[[#This Row],[Delivery_Fee]]-order_data[[#This Row],[Discount]]</f>
        <v>521</v>
      </c>
      <c r="Q193" t="str">
        <f>TEXT(order_data[[#This Row],[Order_Date]],"mmm")</f>
        <v>Jan</v>
      </c>
      <c r="R193">
        <f>MONTH(order_data[[#This Row],[Order_Date]])</f>
        <v>1</v>
      </c>
    </row>
    <row r="194" spans="1:18" x14ac:dyDescent="0.35">
      <c r="A194" t="s">
        <v>485</v>
      </c>
      <c r="B194" t="s">
        <v>486</v>
      </c>
      <c r="C194" t="s">
        <v>487</v>
      </c>
      <c r="D194" t="s">
        <v>46</v>
      </c>
      <c r="E194" t="s">
        <v>47</v>
      </c>
      <c r="F194" t="s">
        <v>48</v>
      </c>
      <c r="G194" t="s">
        <v>63</v>
      </c>
      <c r="H194">
        <v>618</v>
      </c>
      <c r="I194">
        <v>50</v>
      </c>
      <c r="J194">
        <v>20</v>
      </c>
      <c r="K194" t="s">
        <v>29</v>
      </c>
      <c r="L194">
        <v>58</v>
      </c>
      <c r="M194" t="s">
        <v>21</v>
      </c>
      <c r="N194">
        <f>COUNTIF(order_data[Order_ID],order_data[[#This Row],[Order_ID]])</f>
        <v>1</v>
      </c>
      <c r="O194">
        <f>order_data[[#This Row],[Order_Value]]-order_data[[#This Row],[Discount]]</f>
        <v>598</v>
      </c>
      <c r="P194">
        <f>order_data[[#This Row],[Order_Value]]+order_data[[#This Row],[Delivery_Fee]]-order_data[[#This Row],[Discount]]</f>
        <v>648</v>
      </c>
      <c r="Q194" t="str">
        <f>TEXT(order_data[[#This Row],[Order_Date]],"mmm")</f>
        <v>Jan</v>
      </c>
      <c r="R194">
        <f>MONTH(order_data[[#This Row],[Order_Date]])</f>
        <v>1</v>
      </c>
    </row>
    <row r="195" spans="1:18" x14ac:dyDescent="0.35">
      <c r="A195" t="s">
        <v>488</v>
      </c>
      <c r="B195" t="s">
        <v>76</v>
      </c>
      <c r="C195" t="s">
        <v>489</v>
      </c>
      <c r="D195" t="s">
        <v>53</v>
      </c>
      <c r="E195" t="s">
        <v>152</v>
      </c>
      <c r="F195" t="s">
        <v>18</v>
      </c>
      <c r="G195" t="s">
        <v>107</v>
      </c>
      <c r="H195">
        <v>724</v>
      </c>
      <c r="I195">
        <v>50</v>
      </c>
      <c r="J195">
        <v>20</v>
      </c>
      <c r="K195" t="s">
        <v>29</v>
      </c>
      <c r="L195">
        <v>38</v>
      </c>
      <c r="M195" t="s">
        <v>21</v>
      </c>
      <c r="N195">
        <f>COUNTIF(order_data[Order_ID],order_data[[#This Row],[Order_ID]])</f>
        <v>1</v>
      </c>
      <c r="O195">
        <f>order_data[[#This Row],[Order_Value]]-order_data[[#This Row],[Discount]]</f>
        <v>704</v>
      </c>
      <c r="P195">
        <f>order_data[[#This Row],[Order_Value]]+order_data[[#This Row],[Delivery_Fee]]-order_data[[#This Row],[Discount]]</f>
        <v>754</v>
      </c>
      <c r="Q195" t="str">
        <f>TEXT(order_data[[#This Row],[Order_Date]],"mmm")</f>
        <v>Feb</v>
      </c>
      <c r="R195">
        <f>MONTH(order_data[[#This Row],[Order_Date]])</f>
        <v>2</v>
      </c>
    </row>
    <row r="196" spans="1:18" x14ac:dyDescent="0.35">
      <c r="A196" t="s">
        <v>490</v>
      </c>
      <c r="B196" t="s">
        <v>476</v>
      </c>
      <c r="C196" t="s">
        <v>491</v>
      </c>
      <c r="D196" t="s">
        <v>40</v>
      </c>
      <c r="E196" t="s">
        <v>111</v>
      </c>
      <c r="F196" t="s">
        <v>18</v>
      </c>
      <c r="G196" t="s">
        <v>49</v>
      </c>
      <c r="H196">
        <v>395</v>
      </c>
      <c r="I196">
        <v>40</v>
      </c>
      <c r="J196">
        <v>20</v>
      </c>
      <c r="K196" t="s">
        <v>29</v>
      </c>
      <c r="L196">
        <v>58</v>
      </c>
      <c r="M196" t="s">
        <v>21</v>
      </c>
      <c r="N196">
        <f>COUNTIF(order_data[Order_ID],order_data[[#This Row],[Order_ID]])</f>
        <v>1</v>
      </c>
      <c r="O196">
        <f>order_data[[#This Row],[Order_Value]]-order_data[[#This Row],[Discount]]</f>
        <v>375</v>
      </c>
      <c r="P196">
        <f>order_data[[#This Row],[Order_Value]]+order_data[[#This Row],[Delivery_Fee]]-order_data[[#This Row],[Discount]]</f>
        <v>415</v>
      </c>
      <c r="Q196" t="str">
        <f>TEXT(order_data[[#This Row],[Order_Date]],"mmm")</f>
        <v>Jan</v>
      </c>
      <c r="R196">
        <f>MONTH(order_data[[#This Row],[Order_Date]])</f>
        <v>1</v>
      </c>
    </row>
    <row r="197" spans="1:18" x14ac:dyDescent="0.35">
      <c r="A197" t="s">
        <v>492</v>
      </c>
      <c r="B197" t="s">
        <v>252</v>
      </c>
      <c r="C197" t="s">
        <v>92</v>
      </c>
      <c r="D197" t="s">
        <v>53</v>
      </c>
      <c r="E197" t="s">
        <v>54</v>
      </c>
      <c r="F197" t="s">
        <v>55</v>
      </c>
      <c r="G197" t="s">
        <v>19</v>
      </c>
      <c r="H197">
        <v>153</v>
      </c>
      <c r="I197">
        <v>50</v>
      </c>
      <c r="J197">
        <v>20</v>
      </c>
      <c r="K197" t="s">
        <v>29</v>
      </c>
      <c r="L197">
        <v>28</v>
      </c>
      <c r="M197" t="s">
        <v>21</v>
      </c>
      <c r="N197">
        <f>COUNTIF(order_data[Order_ID],order_data[[#This Row],[Order_ID]])</f>
        <v>1</v>
      </c>
      <c r="O197">
        <f>order_data[[#This Row],[Order_Value]]-order_data[[#This Row],[Discount]]</f>
        <v>133</v>
      </c>
      <c r="P197">
        <f>order_data[[#This Row],[Order_Value]]+order_data[[#This Row],[Delivery_Fee]]-order_data[[#This Row],[Discount]]</f>
        <v>183</v>
      </c>
      <c r="Q197" t="str">
        <f>TEXT(order_data[[#This Row],[Order_Date]],"mmm")</f>
        <v>Jan</v>
      </c>
      <c r="R197">
        <f>MONTH(order_data[[#This Row],[Order_Date]])</f>
        <v>1</v>
      </c>
    </row>
    <row r="198" spans="1:18" x14ac:dyDescent="0.35">
      <c r="A198" t="s">
        <v>493</v>
      </c>
      <c r="B198" t="s">
        <v>113</v>
      </c>
      <c r="C198" t="s">
        <v>494</v>
      </c>
      <c r="D198" t="s">
        <v>40</v>
      </c>
      <c r="E198" t="s">
        <v>41</v>
      </c>
      <c r="F198" t="s">
        <v>27</v>
      </c>
      <c r="G198" t="s">
        <v>63</v>
      </c>
      <c r="H198">
        <v>440</v>
      </c>
      <c r="I198">
        <v>50</v>
      </c>
      <c r="J198">
        <v>30</v>
      </c>
      <c r="K198" t="s">
        <v>29</v>
      </c>
      <c r="L198">
        <v>60</v>
      </c>
      <c r="M198" t="s">
        <v>21</v>
      </c>
      <c r="N198">
        <f>COUNTIF(order_data[Order_ID],order_data[[#This Row],[Order_ID]])</f>
        <v>1</v>
      </c>
      <c r="O198">
        <f>order_data[[#This Row],[Order_Value]]-order_data[[#This Row],[Discount]]</f>
        <v>410</v>
      </c>
      <c r="P198">
        <f>order_data[[#This Row],[Order_Value]]+order_data[[#This Row],[Delivery_Fee]]-order_data[[#This Row],[Discount]]</f>
        <v>460</v>
      </c>
      <c r="Q198" t="str">
        <f>TEXT(order_data[[#This Row],[Order_Date]],"mmm")</f>
        <v>Mar</v>
      </c>
      <c r="R198">
        <f>MONTH(order_data[[#This Row],[Order_Date]])</f>
        <v>3</v>
      </c>
    </row>
    <row r="199" spans="1:18" x14ac:dyDescent="0.35">
      <c r="A199" t="s">
        <v>495</v>
      </c>
      <c r="B199" t="s">
        <v>69</v>
      </c>
      <c r="C199" t="s">
        <v>496</v>
      </c>
      <c r="D199" t="s">
        <v>46</v>
      </c>
      <c r="E199" t="s">
        <v>148</v>
      </c>
      <c r="F199" t="s">
        <v>27</v>
      </c>
      <c r="G199" t="s">
        <v>42</v>
      </c>
      <c r="H199">
        <v>482</v>
      </c>
      <c r="I199">
        <v>50</v>
      </c>
      <c r="J199">
        <v>100</v>
      </c>
      <c r="K199" t="s">
        <v>20</v>
      </c>
      <c r="L199">
        <v>23</v>
      </c>
      <c r="M199" t="s">
        <v>21</v>
      </c>
      <c r="N199">
        <f>COUNTIF(order_data[Order_ID],order_data[[#This Row],[Order_ID]])</f>
        <v>1</v>
      </c>
      <c r="O199">
        <f>order_data[[#This Row],[Order_Value]]-order_data[[#This Row],[Discount]]</f>
        <v>382</v>
      </c>
      <c r="P199">
        <f>order_data[[#This Row],[Order_Value]]+order_data[[#This Row],[Delivery_Fee]]-order_data[[#This Row],[Discount]]</f>
        <v>432</v>
      </c>
      <c r="Q199" t="str">
        <f>TEXT(order_data[[#This Row],[Order_Date]],"mmm")</f>
        <v>Feb</v>
      </c>
      <c r="R199">
        <f>MONTH(order_data[[#This Row],[Order_Date]])</f>
        <v>2</v>
      </c>
    </row>
    <row r="200" spans="1:18" x14ac:dyDescent="0.35">
      <c r="A200" t="s">
        <v>497</v>
      </c>
      <c r="B200" t="s">
        <v>129</v>
      </c>
      <c r="C200" t="s">
        <v>83</v>
      </c>
      <c r="D200" t="s">
        <v>16</v>
      </c>
      <c r="E200" t="s">
        <v>89</v>
      </c>
      <c r="F200" t="s">
        <v>18</v>
      </c>
      <c r="G200" t="s">
        <v>42</v>
      </c>
      <c r="H200">
        <v>637</v>
      </c>
      <c r="I200">
        <v>20</v>
      </c>
      <c r="J200">
        <v>20</v>
      </c>
      <c r="K200" t="s">
        <v>29</v>
      </c>
      <c r="L200">
        <v>28</v>
      </c>
      <c r="M200" t="s">
        <v>21</v>
      </c>
      <c r="N200">
        <f>COUNTIF(order_data[Order_ID],order_data[[#This Row],[Order_ID]])</f>
        <v>1</v>
      </c>
      <c r="O200">
        <f>order_data[[#This Row],[Order_Value]]-order_data[[#This Row],[Discount]]</f>
        <v>617</v>
      </c>
      <c r="P200">
        <f>order_data[[#This Row],[Order_Value]]+order_data[[#This Row],[Delivery_Fee]]-order_data[[#This Row],[Discount]]</f>
        <v>637</v>
      </c>
      <c r="Q200" t="str">
        <f>TEXT(order_data[[#This Row],[Order_Date]],"mmm")</f>
        <v>Feb</v>
      </c>
      <c r="R200">
        <f>MONTH(order_data[[#This Row],[Order_Date]])</f>
        <v>2</v>
      </c>
    </row>
    <row r="201" spans="1:18" x14ac:dyDescent="0.35">
      <c r="A201" t="s">
        <v>498</v>
      </c>
      <c r="B201" t="s">
        <v>136</v>
      </c>
      <c r="C201" t="s">
        <v>499</v>
      </c>
      <c r="D201" t="s">
        <v>16</v>
      </c>
      <c r="E201" t="s">
        <v>17</v>
      </c>
      <c r="F201" t="s">
        <v>18</v>
      </c>
      <c r="G201" t="s">
        <v>63</v>
      </c>
      <c r="H201">
        <v>628</v>
      </c>
      <c r="I201">
        <v>40</v>
      </c>
      <c r="J201">
        <v>30</v>
      </c>
      <c r="K201" t="s">
        <v>29</v>
      </c>
      <c r="L201">
        <v>54</v>
      </c>
      <c r="M201" t="s">
        <v>30</v>
      </c>
      <c r="N201">
        <f>COUNTIF(order_data[Order_ID],order_data[[#This Row],[Order_ID]])</f>
        <v>1</v>
      </c>
      <c r="O201">
        <f>order_data[[#This Row],[Order_Value]]-order_data[[#This Row],[Discount]]</f>
        <v>598</v>
      </c>
      <c r="P201">
        <f>order_data[[#This Row],[Order_Value]]+order_data[[#This Row],[Delivery_Fee]]-order_data[[#This Row],[Discount]]</f>
        <v>638</v>
      </c>
      <c r="Q201" t="str">
        <f>TEXT(order_data[[#This Row],[Order_Date]],"mmm")</f>
        <v>Feb</v>
      </c>
      <c r="R201">
        <f>MONTH(order_data[[#This Row],[Order_Date]])</f>
        <v>2</v>
      </c>
    </row>
    <row r="202" spans="1:18" x14ac:dyDescent="0.35">
      <c r="A202" t="s">
        <v>500</v>
      </c>
      <c r="B202" t="s">
        <v>80</v>
      </c>
      <c r="C202" t="s">
        <v>501</v>
      </c>
      <c r="D202" t="s">
        <v>46</v>
      </c>
      <c r="E202" t="s">
        <v>47</v>
      </c>
      <c r="F202" t="s">
        <v>48</v>
      </c>
      <c r="G202" t="s">
        <v>28</v>
      </c>
      <c r="H202">
        <v>178</v>
      </c>
      <c r="I202">
        <v>40</v>
      </c>
      <c r="J202">
        <v>100</v>
      </c>
      <c r="K202" t="s">
        <v>36</v>
      </c>
      <c r="L202">
        <v>40</v>
      </c>
      <c r="M202" t="s">
        <v>21</v>
      </c>
      <c r="N202">
        <f>COUNTIF(order_data[Order_ID],order_data[[#This Row],[Order_ID]])</f>
        <v>1</v>
      </c>
      <c r="O202">
        <f>order_data[[#This Row],[Order_Value]]-order_data[[#This Row],[Discount]]</f>
        <v>78</v>
      </c>
      <c r="P202">
        <f>order_data[[#This Row],[Order_Value]]+order_data[[#This Row],[Delivery_Fee]]-order_data[[#This Row],[Discount]]</f>
        <v>118</v>
      </c>
      <c r="Q202" t="str">
        <f>TEXT(order_data[[#This Row],[Order_Date]],"mmm")</f>
        <v>Feb</v>
      </c>
      <c r="R202">
        <f>MONTH(order_data[[#This Row],[Order_Date]])</f>
        <v>2</v>
      </c>
    </row>
    <row r="203" spans="1:18" x14ac:dyDescent="0.35">
      <c r="A203" t="s">
        <v>502</v>
      </c>
      <c r="B203" t="s">
        <v>121</v>
      </c>
      <c r="C203" t="s">
        <v>503</v>
      </c>
      <c r="D203" t="s">
        <v>25</v>
      </c>
      <c r="E203" t="s">
        <v>26</v>
      </c>
      <c r="F203" t="s">
        <v>27</v>
      </c>
      <c r="G203" t="s">
        <v>176</v>
      </c>
      <c r="H203">
        <v>219</v>
      </c>
      <c r="I203">
        <v>20</v>
      </c>
      <c r="J203">
        <v>50</v>
      </c>
      <c r="K203" t="s">
        <v>36</v>
      </c>
      <c r="L203">
        <v>28</v>
      </c>
      <c r="M203" t="s">
        <v>30</v>
      </c>
      <c r="N203">
        <f>COUNTIF(order_data[Order_ID],order_data[[#This Row],[Order_ID]])</f>
        <v>1</v>
      </c>
      <c r="O203">
        <f>order_data[[#This Row],[Order_Value]]-order_data[[#This Row],[Discount]]</f>
        <v>169</v>
      </c>
      <c r="P203">
        <f>order_data[[#This Row],[Order_Value]]+order_data[[#This Row],[Delivery_Fee]]-order_data[[#This Row],[Discount]]</f>
        <v>189</v>
      </c>
      <c r="Q203" t="str">
        <f>TEXT(order_data[[#This Row],[Order_Date]],"mmm")</f>
        <v>Feb</v>
      </c>
      <c r="R203">
        <f>MONTH(order_data[[#This Row],[Order_Date]])</f>
        <v>2</v>
      </c>
    </row>
    <row r="204" spans="1:18" x14ac:dyDescent="0.35">
      <c r="A204" t="s">
        <v>504</v>
      </c>
      <c r="B204" t="s">
        <v>244</v>
      </c>
      <c r="C204" t="s">
        <v>347</v>
      </c>
      <c r="D204" t="s">
        <v>16</v>
      </c>
      <c r="E204" t="s">
        <v>17</v>
      </c>
      <c r="F204" t="s">
        <v>18</v>
      </c>
      <c r="G204" t="s">
        <v>59</v>
      </c>
      <c r="H204">
        <v>624</v>
      </c>
      <c r="I204">
        <v>20</v>
      </c>
      <c r="J204">
        <v>50</v>
      </c>
      <c r="K204" t="s">
        <v>29</v>
      </c>
      <c r="L204">
        <v>22</v>
      </c>
      <c r="M204" t="s">
        <v>21</v>
      </c>
      <c r="N204">
        <f>COUNTIF(order_data[Order_ID],order_data[[#This Row],[Order_ID]])</f>
        <v>1</v>
      </c>
      <c r="O204">
        <f>order_data[[#This Row],[Order_Value]]-order_data[[#This Row],[Discount]]</f>
        <v>574</v>
      </c>
      <c r="P204">
        <f>order_data[[#This Row],[Order_Value]]+order_data[[#This Row],[Delivery_Fee]]-order_data[[#This Row],[Discount]]</f>
        <v>594</v>
      </c>
      <c r="Q204" t="str">
        <f>TEXT(order_data[[#This Row],[Order_Date]],"mmm")</f>
        <v>Feb</v>
      </c>
      <c r="R204">
        <f>MONTH(order_data[[#This Row],[Order_Date]])</f>
        <v>2</v>
      </c>
    </row>
    <row r="205" spans="1:18" x14ac:dyDescent="0.35">
      <c r="A205" t="s">
        <v>505</v>
      </c>
      <c r="B205" t="s">
        <v>126</v>
      </c>
      <c r="C205" t="s">
        <v>506</v>
      </c>
      <c r="D205" t="s">
        <v>53</v>
      </c>
      <c r="E205" t="s">
        <v>54</v>
      </c>
      <c r="F205" t="s">
        <v>55</v>
      </c>
      <c r="G205" t="s">
        <v>35</v>
      </c>
      <c r="H205">
        <v>616</v>
      </c>
      <c r="I205">
        <v>20</v>
      </c>
      <c r="J205">
        <v>20</v>
      </c>
      <c r="K205" t="s">
        <v>20</v>
      </c>
      <c r="L205">
        <v>57</v>
      </c>
      <c r="M205" t="s">
        <v>21</v>
      </c>
      <c r="N205">
        <f>COUNTIF(order_data[Order_ID],order_data[[#This Row],[Order_ID]])</f>
        <v>1</v>
      </c>
      <c r="O205">
        <f>order_data[[#This Row],[Order_Value]]-order_data[[#This Row],[Discount]]</f>
        <v>596</v>
      </c>
      <c r="P205">
        <f>order_data[[#This Row],[Order_Value]]+order_data[[#This Row],[Delivery_Fee]]-order_data[[#This Row],[Discount]]</f>
        <v>616</v>
      </c>
      <c r="Q205" t="str">
        <f>TEXT(order_data[[#This Row],[Order_Date]],"mmm")</f>
        <v>Mar</v>
      </c>
      <c r="R205">
        <f>MONTH(order_data[[#This Row],[Order_Date]])</f>
        <v>3</v>
      </c>
    </row>
    <row r="206" spans="1:18" x14ac:dyDescent="0.35">
      <c r="A206" t="s">
        <v>507</v>
      </c>
      <c r="B206" t="s">
        <v>273</v>
      </c>
      <c r="C206" t="s">
        <v>508</v>
      </c>
      <c r="D206" t="s">
        <v>46</v>
      </c>
      <c r="E206" t="s">
        <v>70</v>
      </c>
      <c r="F206" t="s">
        <v>18</v>
      </c>
      <c r="G206" t="s">
        <v>28</v>
      </c>
      <c r="H206">
        <v>150</v>
      </c>
      <c r="I206">
        <v>50</v>
      </c>
      <c r="J206">
        <v>30</v>
      </c>
      <c r="K206" t="s">
        <v>20</v>
      </c>
      <c r="L206">
        <v>57</v>
      </c>
      <c r="M206" t="s">
        <v>21</v>
      </c>
      <c r="N206">
        <f>COUNTIF(order_data[Order_ID],order_data[[#This Row],[Order_ID]])</f>
        <v>1</v>
      </c>
      <c r="O206">
        <f>order_data[[#This Row],[Order_Value]]-order_data[[#This Row],[Discount]]</f>
        <v>120</v>
      </c>
      <c r="P206">
        <f>order_data[[#This Row],[Order_Value]]+order_data[[#This Row],[Delivery_Fee]]-order_data[[#This Row],[Discount]]</f>
        <v>170</v>
      </c>
      <c r="Q206" t="str">
        <f>TEXT(order_data[[#This Row],[Order_Date]],"mmm")</f>
        <v>Mar</v>
      </c>
      <c r="R206">
        <f>MONTH(order_data[[#This Row],[Order_Date]])</f>
        <v>3</v>
      </c>
    </row>
    <row r="207" spans="1:18" x14ac:dyDescent="0.35">
      <c r="A207" t="s">
        <v>509</v>
      </c>
      <c r="B207" t="s">
        <v>189</v>
      </c>
      <c r="C207" t="s">
        <v>510</v>
      </c>
      <c r="D207" t="s">
        <v>25</v>
      </c>
      <c r="E207" t="s">
        <v>26</v>
      </c>
      <c r="F207" t="s">
        <v>27</v>
      </c>
      <c r="G207" t="s">
        <v>35</v>
      </c>
      <c r="H207">
        <v>534</v>
      </c>
      <c r="I207">
        <v>30</v>
      </c>
      <c r="J207">
        <v>20</v>
      </c>
      <c r="K207" t="s">
        <v>29</v>
      </c>
      <c r="L207">
        <v>21</v>
      </c>
      <c r="M207" t="s">
        <v>21</v>
      </c>
      <c r="N207">
        <f>COUNTIF(order_data[Order_ID],order_data[[#This Row],[Order_ID]])</f>
        <v>1</v>
      </c>
      <c r="O207">
        <f>order_data[[#This Row],[Order_Value]]-order_data[[#This Row],[Discount]]</f>
        <v>514</v>
      </c>
      <c r="P207">
        <f>order_data[[#This Row],[Order_Value]]+order_data[[#This Row],[Delivery_Fee]]-order_data[[#This Row],[Discount]]</f>
        <v>544</v>
      </c>
      <c r="Q207" t="str">
        <f>TEXT(order_data[[#This Row],[Order_Date]],"mmm")</f>
        <v>Feb</v>
      </c>
      <c r="R207">
        <f>MONTH(order_data[[#This Row],[Order_Date]])</f>
        <v>2</v>
      </c>
    </row>
    <row r="208" spans="1:18" x14ac:dyDescent="0.35">
      <c r="A208" t="s">
        <v>511</v>
      </c>
      <c r="B208" t="s">
        <v>339</v>
      </c>
      <c r="C208" t="s">
        <v>510</v>
      </c>
      <c r="D208" t="s">
        <v>16</v>
      </c>
      <c r="E208" t="s">
        <v>17</v>
      </c>
      <c r="F208" t="s">
        <v>18</v>
      </c>
      <c r="G208" t="s">
        <v>63</v>
      </c>
      <c r="H208">
        <v>766</v>
      </c>
      <c r="I208">
        <v>30</v>
      </c>
      <c r="J208">
        <v>50</v>
      </c>
      <c r="K208" t="s">
        <v>29</v>
      </c>
      <c r="L208">
        <v>25</v>
      </c>
      <c r="M208" t="s">
        <v>21</v>
      </c>
      <c r="N208">
        <f>COUNTIF(order_data[Order_ID],order_data[[#This Row],[Order_ID]])</f>
        <v>1</v>
      </c>
      <c r="O208">
        <f>order_data[[#This Row],[Order_Value]]-order_data[[#This Row],[Discount]]</f>
        <v>716</v>
      </c>
      <c r="P208">
        <f>order_data[[#This Row],[Order_Value]]+order_data[[#This Row],[Delivery_Fee]]-order_data[[#This Row],[Discount]]</f>
        <v>746</v>
      </c>
      <c r="Q208" t="str">
        <f>TEXT(order_data[[#This Row],[Order_Date]],"mmm")</f>
        <v>Jan</v>
      </c>
      <c r="R208">
        <f>MONTH(order_data[[#This Row],[Order_Date]])</f>
        <v>1</v>
      </c>
    </row>
    <row r="209" spans="1:18" x14ac:dyDescent="0.35">
      <c r="A209" t="s">
        <v>512</v>
      </c>
      <c r="B209" t="s">
        <v>513</v>
      </c>
      <c r="C209" t="s">
        <v>514</v>
      </c>
      <c r="D209" t="s">
        <v>53</v>
      </c>
      <c r="E209" t="s">
        <v>84</v>
      </c>
      <c r="F209" t="s">
        <v>85</v>
      </c>
      <c r="G209" t="s">
        <v>28</v>
      </c>
      <c r="H209">
        <v>703</v>
      </c>
      <c r="I209">
        <v>50</v>
      </c>
      <c r="J209">
        <v>20</v>
      </c>
      <c r="K209" t="s">
        <v>20</v>
      </c>
      <c r="L209">
        <v>58</v>
      </c>
      <c r="M209" t="s">
        <v>21</v>
      </c>
      <c r="N209">
        <f>COUNTIF(order_data[Order_ID],order_data[[#This Row],[Order_ID]])</f>
        <v>1</v>
      </c>
      <c r="O209">
        <f>order_data[[#This Row],[Order_Value]]-order_data[[#This Row],[Discount]]</f>
        <v>683</v>
      </c>
      <c r="P209">
        <f>order_data[[#This Row],[Order_Value]]+order_data[[#This Row],[Delivery_Fee]]-order_data[[#This Row],[Discount]]</f>
        <v>733</v>
      </c>
      <c r="Q209" t="str">
        <f>TEXT(order_data[[#This Row],[Order_Date]],"mmm")</f>
        <v>Feb</v>
      </c>
      <c r="R209">
        <f>MONTH(order_data[[#This Row],[Order_Date]])</f>
        <v>2</v>
      </c>
    </row>
    <row r="210" spans="1:18" x14ac:dyDescent="0.35">
      <c r="A210" t="s">
        <v>515</v>
      </c>
      <c r="B210" t="s">
        <v>133</v>
      </c>
      <c r="C210" t="s">
        <v>516</v>
      </c>
      <c r="D210" t="s">
        <v>40</v>
      </c>
      <c r="E210" t="s">
        <v>67</v>
      </c>
      <c r="F210" t="s">
        <v>48</v>
      </c>
      <c r="G210" t="s">
        <v>63</v>
      </c>
      <c r="H210">
        <v>248</v>
      </c>
      <c r="I210">
        <v>20</v>
      </c>
      <c r="J210">
        <v>100</v>
      </c>
      <c r="K210" t="s">
        <v>29</v>
      </c>
      <c r="L210">
        <v>21</v>
      </c>
      <c r="M210" t="s">
        <v>21</v>
      </c>
      <c r="N210">
        <f>COUNTIF(order_data[Order_ID],order_data[[#This Row],[Order_ID]])</f>
        <v>1</v>
      </c>
      <c r="O210">
        <f>order_data[[#This Row],[Order_Value]]-order_data[[#This Row],[Discount]]</f>
        <v>148</v>
      </c>
      <c r="P210">
        <f>order_data[[#This Row],[Order_Value]]+order_data[[#This Row],[Delivery_Fee]]-order_data[[#This Row],[Discount]]</f>
        <v>168</v>
      </c>
      <c r="Q210" t="str">
        <f>TEXT(order_data[[#This Row],[Order_Date]],"mmm")</f>
        <v>Mar</v>
      </c>
      <c r="R210">
        <f>MONTH(order_data[[#This Row],[Order_Date]])</f>
        <v>3</v>
      </c>
    </row>
    <row r="211" spans="1:18" x14ac:dyDescent="0.35">
      <c r="A211" t="s">
        <v>517</v>
      </c>
      <c r="B211" t="s">
        <v>388</v>
      </c>
      <c r="C211" t="s">
        <v>265</v>
      </c>
      <c r="D211" t="s">
        <v>40</v>
      </c>
      <c r="E211" t="s">
        <v>41</v>
      </c>
      <c r="F211" t="s">
        <v>27</v>
      </c>
      <c r="G211" t="s">
        <v>63</v>
      </c>
      <c r="H211">
        <v>388</v>
      </c>
      <c r="I211">
        <v>30</v>
      </c>
      <c r="J211">
        <v>30</v>
      </c>
      <c r="K211" t="s">
        <v>29</v>
      </c>
      <c r="L211">
        <v>33</v>
      </c>
      <c r="M211" t="s">
        <v>21</v>
      </c>
      <c r="N211">
        <f>COUNTIF(order_data[Order_ID],order_data[[#This Row],[Order_ID]])</f>
        <v>1</v>
      </c>
      <c r="O211">
        <f>order_data[[#This Row],[Order_Value]]-order_data[[#This Row],[Discount]]</f>
        <v>358</v>
      </c>
      <c r="P211">
        <f>order_data[[#This Row],[Order_Value]]+order_data[[#This Row],[Delivery_Fee]]-order_data[[#This Row],[Discount]]</f>
        <v>388</v>
      </c>
      <c r="Q211" t="str">
        <f>TEXT(order_data[[#This Row],[Order_Date]],"mmm")</f>
        <v>Mar</v>
      </c>
      <c r="R211">
        <f>MONTH(order_data[[#This Row],[Order_Date]])</f>
        <v>3</v>
      </c>
    </row>
    <row r="212" spans="1:18" x14ac:dyDescent="0.35">
      <c r="A212" t="s">
        <v>518</v>
      </c>
      <c r="B212" t="s">
        <v>413</v>
      </c>
      <c r="C212" t="s">
        <v>519</v>
      </c>
      <c r="D212" t="s">
        <v>40</v>
      </c>
      <c r="E212" t="s">
        <v>41</v>
      </c>
      <c r="F212" t="s">
        <v>27</v>
      </c>
      <c r="G212" t="s">
        <v>107</v>
      </c>
      <c r="H212">
        <v>364</v>
      </c>
      <c r="I212">
        <v>20</v>
      </c>
      <c r="J212">
        <v>30</v>
      </c>
      <c r="K212" t="s">
        <v>36</v>
      </c>
      <c r="L212">
        <v>57</v>
      </c>
      <c r="M212" t="s">
        <v>21</v>
      </c>
      <c r="N212">
        <f>COUNTIF(order_data[Order_ID],order_data[[#This Row],[Order_ID]])</f>
        <v>1</v>
      </c>
      <c r="O212">
        <f>order_data[[#This Row],[Order_Value]]-order_data[[#This Row],[Discount]]</f>
        <v>334</v>
      </c>
      <c r="P212">
        <f>order_data[[#This Row],[Order_Value]]+order_data[[#This Row],[Delivery_Fee]]-order_data[[#This Row],[Discount]]</f>
        <v>354</v>
      </c>
      <c r="Q212" t="str">
        <f>TEXT(order_data[[#This Row],[Order_Date]],"mmm")</f>
        <v>Mar</v>
      </c>
      <c r="R212">
        <f>MONTH(order_data[[#This Row],[Order_Date]])</f>
        <v>3</v>
      </c>
    </row>
    <row r="213" spans="1:18" x14ac:dyDescent="0.35">
      <c r="A213" t="s">
        <v>520</v>
      </c>
      <c r="B213" t="s">
        <v>310</v>
      </c>
      <c r="C213" t="s">
        <v>521</v>
      </c>
      <c r="D213" t="s">
        <v>16</v>
      </c>
      <c r="E213" t="s">
        <v>131</v>
      </c>
      <c r="F213" t="s">
        <v>55</v>
      </c>
      <c r="G213" t="s">
        <v>28</v>
      </c>
      <c r="H213">
        <v>342</v>
      </c>
      <c r="I213">
        <v>50</v>
      </c>
      <c r="J213">
        <v>20</v>
      </c>
      <c r="K213" t="s">
        <v>29</v>
      </c>
      <c r="L213">
        <v>20</v>
      </c>
      <c r="M213" t="s">
        <v>30</v>
      </c>
      <c r="N213">
        <f>COUNTIF(order_data[Order_ID],order_data[[#This Row],[Order_ID]])</f>
        <v>1</v>
      </c>
      <c r="O213">
        <f>order_data[[#This Row],[Order_Value]]-order_data[[#This Row],[Discount]]</f>
        <v>322</v>
      </c>
      <c r="P213">
        <f>order_data[[#This Row],[Order_Value]]+order_data[[#This Row],[Delivery_Fee]]-order_data[[#This Row],[Discount]]</f>
        <v>372</v>
      </c>
      <c r="Q213" t="str">
        <f>TEXT(order_data[[#This Row],[Order_Date]],"mmm")</f>
        <v>Feb</v>
      </c>
      <c r="R213">
        <f>MONTH(order_data[[#This Row],[Order_Date]])</f>
        <v>2</v>
      </c>
    </row>
    <row r="214" spans="1:18" x14ac:dyDescent="0.35">
      <c r="A214" t="s">
        <v>522</v>
      </c>
      <c r="B214" t="s">
        <v>199</v>
      </c>
      <c r="C214" t="s">
        <v>375</v>
      </c>
      <c r="D214" t="s">
        <v>53</v>
      </c>
      <c r="E214" t="s">
        <v>84</v>
      </c>
      <c r="F214" t="s">
        <v>85</v>
      </c>
      <c r="G214" t="s">
        <v>107</v>
      </c>
      <c r="H214">
        <v>283</v>
      </c>
      <c r="I214">
        <v>30</v>
      </c>
      <c r="J214">
        <v>30</v>
      </c>
      <c r="K214" t="s">
        <v>36</v>
      </c>
      <c r="L214">
        <v>30</v>
      </c>
      <c r="M214" t="s">
        <v>21</v>
      </c>
      <c r="N214">
        <f>COUNTIF(order_data[Order_ID],order_data[[#This Row],[Order_ID]])</f>
        <v>1</v>
      </c>
      <c r="O214">
        <f>order_data[[#This Row],[Order_Value]]-order_data[[#This Row],[Discount]]</f>
        <v>253</v>
      </c>
      <c r="P214">
        <f>order_data[[#This Row],[Order_Value]]+order_data[[#This Row],[Delivery_Fee]]-order_data[[#This Row],[Discount]]</f>
        <v>283</v>
      </c>
      <c r="Q214" t="str">
        <f>TEXT(order_data[[#This Row],[Order_Date]],"mmm")</f>
        <v>Jan</v>
      </c>
      <c r="R214">
        <f>MONTH(order_data[[#This Row],[Order_Date]])</f>
        <v>1</v>
      </c>
    </row>
    <row r="215" spans="1:18" x14ac:dyDescent="0.35">
      <c r="A215" t="s">
        <v>523</v>
      </c>
      <c r="B215" t="s">
        <v>342</v>
      </c>
      <c r="C215" t="s">
        <v>524</v>
      </c>
      <c r="D215" t="s">
        <v>25</v>
      </c>
      <c r="E215" t="s">
        <v>34</v>
      </c>
      <c r="F215" t="s">
        <v>27</v>
      </c>
      <c r="G215" t="s">
        <v>35</v>
      </c>
      <c r="H215">
        <v>713</v>
      </c>
      <c r="I215">
        <v>40</v>
      </c>
      <c r="J215">
        <v>30</v>
      </c>
      <c r="K215" t="s">
        <v>36</v>
      </c>
      <c r="L215">
        <v>26</v>
      </c>
      <c r="M215" t="s">
        <v>21</v>
      </c>
      <c r="N215">
        <f>COUNTIF(order_data[Order_ID],order_data[[#This Row],[Order_ID]])</f>
        <v>1</v>
      </c>
      <c r="O215">
        <f>order_data[[#This Row],[Order_Value]]-order_data[[#This Row],[Discount]]</f>
        <v>683</v>
      </c>
      <c r="P215">
        <f>order_data[[#This Row],[Order_Value]]+order_data[[#This Row],[Delivery_Fee]]-order_data[[#This Row],[Discount]]</f>
        <v>723</v>
      </c>
      <c r="Q215" t="str">
        <f>TEXT(order_data[[#This Row],[Order_Date]],"mmm")</f>
        <v>Jan</v>
      </c>
      <c r="R215">
        <f>MONTH(order_data[[#This Row],[Order_Date]])</f>
        <v>1</v>
      </c>
    </row>
    <row r="216" spans="1:18" x14ac:dyDescent="0.35">
      <c r="A216" t="s">
        <v>525</v>
      </c>
      <c r="B216" t="s">
        <v>526</v>
      </c>
      <c r="C216" t="s">
        <v>527</v>
      </c>
      <c r="D216" t="s">
        <v>53</v>
      </c>
      <c r="E216" t="s">
        <v>152</v>
      </c>
      <c r="F216" t="s">
        <v>18</v>
      </c>
      <c r="G216" t="s">
        <v>35</v>
      </c>
      <c r="H216">
        <v>238</v>
      </c>
      <c r="I216">
        <v>20</v>
      </c>
      <c r="J216">
        <v>30</v>
      </c>
      <c r="K216" t="s">
        <v>29</v>
      </c>
      <c r="L216">
        <v>37</v>
      </c>
      <c r="M216" t="s">
        <v>30</v>
      </c>
      <c r="N216">
        <f>COUNTIF(order_data[Order_ID],order_data[[#This Row],[Order_ID]])</f>
        <v>1</v>
      </c>
      <c r="O216">
        <f>order_data[[#This Row],[Order_Value]]-order_data[[#This Row],[Discount]]</f>
        <v>208</v>
      </c>
      <c r="P216">
        <f>order_data[[#This Row],[Order_Value]]+order_data[[#This Row],[Delivery_Fee]]-order_data[[#This Row],[Discount]]</f>
        <v>228</v>
      </c>
      <c r="Q216" t="str">
        <f>TEXT(order_data[[#This Row],[Order_Date]],"mmm")</f>
        <v>Jan</v>
      </c>
      <c r="R216">
        <f>MONTH(order_data[[#This Row],[Order_Date]])</f>
        <v>1</v>
      </c>
    </row>
    <row r="217" spans="1:18" x14ac:dyDescent="0.35">
      <c r="A217" t="s">
        <v>528</v>
      </c>
      <c r="B217" t="s">
        <v>61</v>
      </c>
      <c r="C217" t="s">
        <v>529</v>
      </c>
      <c r="D217" t="s">
        <v>25</v>
      </c>
      <c r="E217" t="s">
        <v>26</v>
      </c>
      <c r="F217" t="s">
        <v>27</v>
      </c>
      <c r="G217" t="s">
        <v>28</v>
      </c>
      <c r="H217">
        <v>629</v>
      </c>
      <c r="I217">
        <v>20</v>
      </c>
      <c r="J217">
        <v>100</v>
      </c>
      <c r="K217" t="s">
        <v>29</v>
      </c>
      <c r="L217">
        <v>48</v>
      </c>
      <c r="M217" t="s">
        <v>21</v>
      </c>
      <c r="N217">
        <f>COUNTIF(order_data[Order_ID],order_data[[#This Row],[Order_ID]])</f>
        <v>1</v>
      </c>
      <c r="O217">
        <f>order_data[[#This Row],[Order_Value]]-order_data[[#This Row],[Discount]]</f>
        <v>529</v>
      </c>
      <c r="P217">
        <f>order_data[[#This Row],[Order_Value]]+order_data[[#This Row],[Delivery_Fee]]-order_data[[#This Row],[Discount]]</f>
        <v>549</v>
      </c>
      <c r="Q217" t="str">
        <f>TEXT(order_data[[#This Row],[Order_Date]],"mmm")</f>
        <v>Jan</v>
      </c>
      <c r="R217">
        <f>MONTH(order_data[[#This Row],[Order_Date]])</f>
        <v>1</v>
      </c>
    </row>
    <row r="218" spans="1:18" x14ac:dyDescent="0.35">
      <c r="A218" t="s">
        <v>530</v>
      </c>
      <c r="B218" t="s">
        <v>181</v>
      </c>
      <c r="C218" t="s">
        <v>531</v>
      </c>
      <c r="D218" t="s">
        <v>40</v>
      </c>
      <c r="E218" t="s">
        <v>67</v>
      </c>
      <c r="F218" t="s">
        <v>48</v>
      </c>
      <c r="G218" t="s">
        <v>42</v>
      </c>
      <c r="H218">
        <v>707</v>
      </c>
      <c r="I218">
        <v>30</v>
      </c>
      <c r="J218">
        <v>20</v>
      </c>
      <c r="K218" t="s">
        <v>20</v>
      </c>
      <c r="L218">
        <v>33</v>
      </c>
      <c r="M218" t="s">
        <v>21</v>
      </c>
      <c r="N218">
        <f>COUNTIF(order_data[Order_ID],order_data[[#This Row],[Order_ID]])</f>
        <v>1</v>
      </c>
      <c r="O218">
        <f>order_data[[#This Row],[Order_Value]]-order_data[[#This Row],[Discount]]</f>
        <v>687</v>
      </c>
      <c r="P218">
        <f>order_data[[#This Row],[Order_Value]]+order_data[[#This Row],[Delivery_Fee]]-order_data[[#This Row],[Discount]]</f>
        <v>717</v>
      </c>
      <c r="Q218" t="str">
        <f>TEXT(order_data[[#This Row],[Order_Date]],"mmm")</f>
        <v>Feb</v>
      </c>
      <c r="R218">
        <f>MONTH(order_data[[#This Row],[Order_Date]])</f>
        <v>2</v>
      </c>
    </row>
    <row r="219" spans="1:18" x14ac:dyDescent="0.35">
      <c r="A219" t="s">
        <v>532</v>
      </c>
      <c r="B219" t="s">
        <v>513</v>
      </c>
      <c r="C219" t="s">
        <v>533</v>
      </c>
      <c r="D219" t="s">
        <v>16</v>
      </c>
      <c r="E219" t="s">
        <v>89</v>
      </c>
      <c r="F219" t="s">
        <v>18</v>
      </c>
      <c r="G219" t="s">
        <v>19</v>
      </c>
      <c r="H219">
        <v>256</v>
      </c>
      <c r="I219">
        <v>30</v>
      </c>
      <c r="J219">
        <v>100</v>
      </c>
      <c r="K219" t="s">
        <v>29</v>
      </c>
      <c r="L219">
        <v>23</v>
      </c>
      <c r="M219" t="s">
        <v>21</v>
      </c>
      <c r="N219">
        <f>COUNTIF(order_data[Order_ID],order_data[[#This Row],[Order_ID]])</f>
        <v>1</v>
      </c>
      <c r="O219">
        <f>order_data[[#This Row],[Order_Value]]-order_data[[#This Row],[Discount]]</f>
        <v>156</v>
      </c>
      <c r="P219">
        <f>order_data[[#This Row],[Order_Value]]+order_data[[#This Row],[Delivery_Fee]]-order_data[[#This Row],[Discount]]</f>
        <v>186</v>
      </c>
      <c r="Q219" t="str">
        <f>TEXT(order_data[[#This Row],[Order_Date]],"mmm")</f>
        <v>Feb</v>
      </c>
      <c r="R219">
        <f>MONTH(order_data[[#This Row],[Order_Date]])</f>
        <v>2</v>
      </c>
    </row>
    <row r="220" spans="1:18" x14ac:dyDescent="0.35">
      <c r="A220" t="s">
        <v>534</v>
      </c>
      <c r="B220" t="s">
        <v>247</v>
      </c>
      <c r="C220" t="s">
        <v>535</v>
      </c>
      <c r="D220" t="s">
        <v>40</v>
      </c>
      <c r="E220" t="s">
        <v>111</v>
      </c>
      <c r="F220" t="s">
        <v>18</v>
      </c>
      <c r="G220" t="s">
        <v>63</v>
      </c>
      <c r="H220">
        <v>704</v>
      </c>
      <c r="I220">
        <v>40</v>
      </c>
      <c r="J220">
        <v>0</v>
      </c>
      <c r="K220" t="s">
        <v>29</v>
      </c>
      <c r="L220">
        <v>34</v>
      </c>
      <c r="M220" t="s">
        <v>21</v>
      </c>
      <c r="N220">
        <f>COUNTIF(order_data[Order_ID],order_data[[#This Row],[Order_ID]])</f>
        <v>1</v>
      </c>
      <c r="O220">
        <f>order_data[[#This Row],[Order_Value]]-order_data[[#This Row],[Discount]]</f>
        <v>704</v>
      </c>
      <c r="P220">
        <f>order_data[[#This Row],[Order_Value]]+order_data[[#This Row],[Delivery_Fee]]-order_data[[#This Row],[Discount]]</f>
        <v>744</v>
      </c>
      <c r="Q220" t="str">
        <f>TEXT(order_data[[#This Row],[Order_Date]],"mmm")</f>
        <v>Mar</v>
      </c>
      <c r="R220">
        <f>MONTH(order_data[[#This Row],[Order_Date]])</f>
        <v>3</v>
      </c>
    </row>
    <row r="221" spans="1:18" x14ac:dyDescent="0.35">
      <c r="A221" t="s">
        <v>536</v>
      </c>
      <c r="B221" t="s">
        <v>342</v>
      </c>
      <c r="C221" t="s">
        <v>537</v>
      </c>
      <c r="D221" t="s">
        <v>46</v>
      </c>
      <c r="E221" t="s">
        <v>70</v>
      </c>
      <c r="F221" t="s">
        <v>18</v>
      </c>
      <c r="G221" t="s">
        <v>59</v>
      </c>
      <c r="H221">
        <v>506</v>
      </c>
      <c r="I221">
        <v>50</v>
      </c>
      <c r="J221">
        <v>100</v>
      </c>
      <c r="K221" t="s">
        <v>29</v>
      </c>
      <c r="L221">
        <v>25</v>
      </c>
      <c r="M221" t="s">
        <v>21</v>
      </c>
      <c r="N221">
        <f>COUNTIF(order_data[Order_ID],order_data[[#This Row],[Order_ID]])</f>
        <v>1</v>
      </c>
      <c r="O221">
        <f>order_data[[#This Row],[Order_Value]]-order_data[[#This Row],[Discount]]</f>
        <v>406</v>
      </c>
      <c r="P221">
        <f>order_data[[#This Row],[Order_Value]]+order_data[[#This Row],[Delivery_Fee]]-order_data[[#This Row],[Discount]]</f>
        <v>456</v>
      </c>
      <c r="Q221" t="str">
        <f>TEXT(order_data[[#This Row],[Order_Date]],"mmm")</f>
        <v>Jan</v>
      </c>
      <c r="R221">
        <f>MONTH(order_data[[#This Row],[Order_Date]])</f>
        <v>1</v>
      </c>
    </row>
    <row r="222" spans="1:18" x14ac:dyDescent="0.35">
      <c r="A222" t="s">
        <v>538</v>
      </c>
      <c r="B222" t="s">
        <v>146</v>
      </c>
      <c r="C222" t="s">
        <v>539</v>
      </c>
      <c r="D222" t="s">
        <v>46</v>
      </c>
      <c r="E222" t="s">
        <v>148</v>
      </c>
      <c r="F222" t="s">
        <v>27</v>
      </c>
      <c r="G222" t="s">
        <v>49</v>
      </c>
      <c r="H222">
        <v>440</v>
      </c>
      <c r="I222">
        <v>20</v>
      </c>
      <c r="J222">
        <v>20</v>
      </c>
      <c r="K222" t="s">
        <v>20</v>
      </c>
      <c r="L222">
        <v>53</v>
      </c>
      <c r="M222" t="s">
        <v>21</v>
      </c>
      <c r="N222">
        <f>COUNTIF(order_data[Order_ID],order_data[[#This Row],[Order_ID]])</f>
        <v>1</v>
      </c>
      <c r="O222">
        <f>order_data[[#This Row],[Order_Value]]-order_data[[#This Row],[Discount]]</f>
        <v>420</v>
      </c>
      <c r="P222">
        <f>order_data[[#This Row],[Order_Value]]+order_data[[#This Row],[Delivery_Fee]]-order_data[[#This Row],[Discount]]</f>
        <v>440</v>
      </c>
      <c r="Q222" t="str">
        <f>TEXT(order_data[[#This Row],[Order_Date]],"mmm")</f>
        <v>Feb</v>
      </c>
      <c r="R222">
        <f>MONTH(order_data[[#This Row],[Order_Date]])</f>
        <v>2</v>
      </c>
    </row>
    <row r="223" spans="1:18" x14ac:dyDescent="0.35">
      <c r="A223" t="s">
        <v>540</v>
      </c>
      <c r="B223" t="s">
        <v>541</v>
      </c>
      <c r="C223" t="s">
        <v>88</v>
      </c>
      <c r="D223" t="s">
        <v>25</v>
      </c>
      <c r="E223" t="s">
        <v>26</v>
      </c>
      <c r="F223" t="s">
        <v>27</v>
      </c>
      <c r="G223" t="s">
        <v>19</v>
      </c>
      <c r="H223">
        <v>461</v>
      </c>
      <c r="I223">
        <v>50</v>
      </c>
      <c r="J223">
        <v>0</v>
      </c>
      <c r="K223" t="s">
        <v>29</v>
      </c>
      <c r="L223">
        <v>24</v>
      </c>
      <c r="M223" t="s">
        <v>21</v>
      </c>
      <c r="N223">
        <f>COUNTIF(order_data[Order_ID],order_data[[#This Row],[Order_ID]])</f>
        <v>1</v>
      </c>
      <c r="O223">
        <f>order_data[[#This Row],[Order_Value]]-order_data[[#This Row],[Discount]]</f>
        <v>461</v>
      </c>
      <c r="P223">
        <f>order_data[[#This Row],[Order_Value]]+order_data[[#This Row],[Delivery_Fee]]-order_data[[#This Row],[Discount]]</f>
        <v>511</v>
      </c>
      <c r="Q223" t="str">
        <f>TEXT(order_data[[#This Row],[Order_Date]],"mmm")</f>
        <v>Jan</v>
      </c>
      <c r="R223">
        <f>MONTH(order_data[[#This Row],[Order_Date]])</f>
        <v>1</v>
      </c>
    </row>
    <row r="224" spans="1:18" x14ac:dyDescent="0.35">
      <c r="A224" t="s">
        <v>542</v>
      </c>
      <c r="B224" t="s">
        <v>178</v>
      </c>
      <c r="C224" t="s">
        <v>543</v>
      </c>
      <c r="D224" t="s">
        <v>53</v>
      </c>
      <c r="E224" t="s">
        <v>84</v>
      </c>
      <c r="F224" t="s">
        <v>85</v>
      </c>
      <c r="G224" t="s">
        <v>28</v>
      </c>
      <c r="H224">
        <v>481</v>
      </c>
      <c r="I224">
        <v>40</v>
      </c>
      <c r="J224">
        <v>0</v>
      </c>
      <c r="K224" t="s">
        <v>36</v>
      </c>
      <c r="L224">
        <v>58</v>
      </c>
      <c r="M224" t="s">
        <v>21</v>
      </c>
      <c r="N224">
        <f>COUNTIF(order_data[Order_ID],order_data[[#This Row],[Order_ID]])</f>
        <v>1</v>
      </c>
      <c r="O224">
        <f>order_data[[#This Row],[Order_Value]]-order_data[[#This Row],[Discount]]</f>
        <v>481</v>
      </c>
      <c r="P224">
        <f>order_data[[#This Row],[Order_Value]]+order_data[[#This Row],[Delivery_Fee]]-order_data[[#This Row],[Discount]]</f>
        <v>521</v>
      </c>
      <c r="Q224" t="str">
        <f>TEXT(order_data[[#This Row],[Order_Date]],"mmm")</f>
        <v>Feb</v>
      </c>
      <c r="R224">
        <f>MONTH(order_data[[#This Row],[Order_Date]])</f>
        <v>2</v>
      </c>
    </row>
    <row r="225" spans="1:18" x14ac:dyDescent="0.35">
      <c r="A225" t="s">
        <v>544</v>
      </c>
      <c r="B225" t="s">
        <v>51</v>
      </c>
      <c r="C225" t="s">
        <v>545</v>
      </c>
      <c r="D225" t="s">
        <v>46</v>
      </c>
      <c r="E225" t="s">
        <v>148</v>
      </c>
      <c r="F225" t="s">
        <v>27</v>
      </c>
      <c r="G225" t="s">
        <v>19</v>
      </c>
      <c r="H225">
        <v>699</v>
      </c>
      <c r="I225">
        <v>40</v>
      </c>
      <c r="J225">
        <v>50</v>
      </c>
      <c r="K225" t="s">
        <v>36</v>
      </c>
      <c r="L225">
        <v>42</v>
      </c>
      <c r="M225" t="s">
        <v>30</v>
      </c>
      <c r="N225">
        <f>COUNTIF(order_data[Order_ID],order_data[[#This Row],[Order_ID]])</f>
        <v>1</v>
      </c>
      <c r="O225">
        <f>order_data[[#This Row],[Order_Value]]-order_data[[#This Row],[Discount]]</f>
        <v>649</v>
      </c>
      <c r="P225">
        <f>order_data[[#This Row],[Order_Value]]+order_data[[#This Row],[Delivery_Fee]]-order_data[[#This Row],[Discount]]</f>
        <v>689</v>
      </c>
      <c r="Q225" t="str">
        <f>TEXT(order_data[[#This Row],[Order_Date]],"mmm")</f>
        <v>Feb</v>
      </c>
      <c r="R225">
        <f>MONTH(order_data[[#This Row],[Order_Date]])</f>
        <v>2</v>
      </c>
    </row>
    <row r="226" spans="1:18" x14ac:dyDescent="0.35">
      <c r="A226" t="s">
        <v>546</v>
      </c>
      <c r="B226" t="s">
        <v>65</v>
      </c>
      <c r="C226" t="s">
        <v>547</v>
      </c>
      <c r="D226" t="s">
        <v>53</v>
      </c>
      <c r="E226" t="s">
        <v>54</v>
      </c>
      <c r="F226" t="s">
        <v>55</v>
      </c>
      <c r="G226" t="s">
        <v>35</v>
      </c>
      <c r="H226">
        <v>720</v>
      </c>
      <c r="I226">
        <v>50</v>
      </c>
      <c r="J226">
        <v>20</v>
      </c>
      <c r="K226" t="s">
        <v>20</v>
      </c>
      <c r="L226">
        <v>56</v>
      </c>
      <c r="M226" t="s">
        <v>21</v>
      </c>
      <c r="N226">
        <f>COUNTIF(order_data[Order_ID],order_data[[#This Row],[Order_ID]])</f>
        <v>1</v>
      </c>
      <c r="O226">
        <f>order_data[[#This Row],[Order_Value]]-order_data[[#This Row],[Discount]]</f>
        <v>700</v>
      </c>
      <c r="P226">
        <f>order_data[[#This Row],[Order_Value]]+order_data[[#This Row],[Delivery_Fee]]-order_data[[#This Row],[Discount]]</f>
        <v>750</v>
      </c>
      <c r="Q226" t="str">
        <f>TEXT(order_data[[#This Row],[Order_Date]],"mmm")</f>
        <v>Mar</v>
      </c>
      <c r="R226">
        <f>MONTH(order_data[[#This Row],[Order_Date]])</f>
        <v>3</v>
      </c>
    </row>
    <row r="227" spans="1:18" x14ac:dyDescent="0.35">
      <c r="A227" t="s">
        <v>548</v>
      </c>
      <c r="B227" t="s">
        <v>121</v>
      </c>
      <c r="C227" t="s">
        <v>549</v>
      </c>
      <c r="D227" t="s">
        <v>46</v>
      </c>
      <c r="E227" t="s">
        <v>47</v>
      </c>
      <c r="F227" t="s">
        <v>48</v>
      </c>
      <c r="G227" t="s">
        <v>74</v>
      </c>
      <c r="H227">
        <v>626</v>
      </c>
      <c r="I227">
        <v>30</v>
      </c>
      <c r="J227">
        <v>100</v>
      </c>
      <c r="K227" t="s">
        <v>36</v>
      </c>
      <c r="L227">
        <v>35</v>
      </c>
      <c r="M227" t="s">
        <v>21</v>
      </c>
      <c r="N227">
        <f>COUNTIF(order_data[Order_ID],order_data[[#This Row],[Order_ID]])</f>
        <v>1</v>
      </c>
      <c r="O227">
        <f>order_data[[#This Row],[Order_Value]]-order_data[[#This Row],[Discount]]</f>
        <v>526</v>
      </c>
      <c r="P227">
        <f>order_data[[#This Row],[Order_Value]]+order_data[[#This Row],[Delivery_Fee]]-order_data[[#This Row],[Discount]]</f>
        <v>556</v>
      </c>
      <c r="Q227" t="str">
        <f>TEXT(order_data[[#This Row],[Order_Date]],"mmm")</f>
        <v>Feb</v>
      </c>
      <c r="R227">
        <f>MONTH(order_data[[#This Row],[Order_Date]])</f>
        <v>2</v>
      </c>
    </row>
    <row r="228" spans="1:18" x14ac:dyDescent="0.35">
      <c r="A228" t="s">
        <v>550</v>
      </c>
      <c r="B228" t="s">
        <v>342</v>
      </c>
      <c r="C228" t="s">
        <v>551</v>
      </c>
      <c r="D228" t="s">
        <v>25</v>
      </c>
      <c r="E228" t="s">
        <v>34</v>
      </c>
      <c r="F228" t="s">
        <v>27</v>
      </c>
      <c r="G228" t="s">
        <v>35</v>
      </c>
      <c r="H228">
        <v>740</v>
      </c>
      <c r="I228">
        <v>50</v>
      </c>
      <c r="J228">
        <v>30</v>
      </c>
      <c r="K228" t="s">
        <v>29</v>
      </c>
      <c r="L228">
        <v>22</v>
      </c>
      <c r="M228" t="s">
        <v>21</v>
      </c>
      <c r="N228">
        <f>COUNTIF(order_data[Order_ID],order_data[[#This Row],[Order_ID]])</f>
        <v>1</v>
      </c>
      <c r="O228">
        <f>order_data[[#This Row],[Order_Value]]-order_data[[#This Row],[Discount]]</f>
        <v>710</v>
      </c>
      <c r="P228">
        <f>order_data[[#This Row],[Order_Value]]+order_data[[#This Row],[Delivery_Fee]]-order_data[[#This Row],[Discount]]</f>
        <v>760</v>
      </c>
      <c r="Q228" t="str">
        <f>TEXT(order_data[[#This Row],[Order_Date]],"mmm")</f>
        <v>Jan</v>
      </c>
      <c r="R228">
        <f>MONTH(order_data[[#This Row],[Order_Date]])</f>
        <v>1</v>
      </c>
    </row>
    <row r="229" spans="1:18" x14ac:dyDescent="0.35">
      <c r="A229" t="s">
        <v>552</v>
      </c>
      <c r="B229" t="s">
        <v>44</v>
      </c>
      <c r="C229" t="s">
        <v>553</v>
      </c>
      <c r="D229" t="s">
        <v>46</v>
      </c>
      <c r="E229" t="s">
        <v>70</v>
      </c>
      <c r="F229" t="s">
        <v>18</v>
      </c>
      <c r="G229" t="s">
        <v>59</v>
      </c>
      <c r="H229">
        <v>550</v>
      </c>
      <c r="I229">
        <v>30</v>
      </c>
      <c r="J229">
        <v>0</v>
      </c>
      <c r="K229" t="s">
        <v>29</v>
      </c>
      <c r="L229">
        <v>39</v>
      </c>
      <c r="M229" t="s">
        <v>21</v>
      </c>
      <c r="N229">
        <f>COUNTIF(order_data[Order_ID],order_data[[#This Row],[Order_ID]])</f>
        <v>1</v>
      </c>
      <c r="O229">
        <f>order_data[[#This Row],[Order_Value]]-order_data[[#This Row],[Discount]]</f>
        <v>550</v>
      </c>
      <c r="P229">
        <f>order_data[[#This Row],[Order_Value]]+order_data[[#This Row],[Delivery_Fee]]-order_data[[#This Row],[Discount]]</f>
        <v>580</v>
      </c>
      <c r="Q229" t="str">
        <f>TEXT(order_data[[#This Row],[Order_Date]],"mmm")</f>
        <v>Jan</v>
      </c>
      <c r="R229">
        <f>MONTH(order_data[[#This Row],[Order_Date]])</f>
        <v>1</v>
      </c>
    </row>
    <row r="230" spans="1:18" x14ac:dyDescent="0.35">
      <c r="A230" t="s">
        <v>554</v>
      </c>
      <c r="B230" t="s">
        <v>252</v>
      </c>
      <c r="C230" t="s">
        <v>555</v>
      </c>
      <c r="D230" t="s">
        <v>16</v>
      </c>
      <c r="E230" t="s">
        <v>89</v>
      </c>
      <c r="F230" t="s">
        <v>18</v>
      </c>
      <c r="G230" t="s">
        <v>59</v>
      </c>
      <c r="H230">
        <v>292</v>
      </c>
      <c r="I230">
        <v>40</v>
      </c>
      <c r="J230">
        <v>20</v>
      </c>
      <c r="K230" t="s">
        <v>36</v>
      </c>
      <c r="L230">
        <v>44</v>
      </c>
      <c r="M230" t="s">
        <v>21</v>
      </c>
      <c r="N230">
        <f>COUNTIF(order_data[Order_ID],order_data[[#This Row],[Order_ID]])</f>
        <v>1</v>
      </c>
      <c r="O230">
        <f>order_data[[#This Row],[Order_Value]]-order_data[[#This Row],[Discount]]</f>
        <v>272</v>
      </c>
      <c r="P230">
        <f>order_data[[#This Row],[Order_Value]]+order_data[[#This Row],[Delivery_Fee]]-order_data[[#This Row],[Discount]]</f>
        <v>312</v>
      </c>
      <c r="Q230" t="str">
        <f>TEXT(order_data[[#This Row],[Order_Date]],"mmm")</f>
        <v>Jan</v>
      </c>
      <c r="R230">
        <f>MONTH(order_data[[#This Row],[Order_Date]])</f>
        <v>1</v>
      </c>
    </row>
    <row r="231" spans="1:18" x14ac:dyDescent="0.35">
      <c r="A231" t="s">
        <v>556</v>
      </c>
      <c r="B231" t="s">
        <v>339</v>
      </c>
      <c r="C231" t="s">
        <v>557</v>
      </c>
      <c r="D231" t="s">
        <v>40</v>
      </c>
      <c r="E231" t="s">
        <v>41</v>
      </c>
      <c r="F231" t="s">
        <v>27</v>
      </c>
      <c r="G231" t="s">
        <v>42</v>
      </c>
      <c r="H231">
        <v>611</v>
      </c>
      <c r="I231">
        <v>30</v>
      </c>
      <c r="J231">
        <v>0</v>
      </c>
      <c r="K231" t="s">
        <v>29</v>
      </c>
      <c r="L231">
        <v>49</v>
      </c>
      <c r="M231" t="s">
        <v>21</v>
      </c>
      <c r="N231">
        <f>COUNTIF(order_data[Order_ID],order_data[[#This Row],[Order_ID]])</f>
        <v>1</v>
      </c>
      <c r="O231">
        <f>order_data[[#This Row],[Order_Value]]-order_data[[#This Row],[Discount]]</f>
        <v>611</v>
      </c>
      <c r="P231">
        <f>order_data[[#This Row],[Order_Value]]+order_data[[#This Row],[Delivery_Fee]]-order_data[[#This Row],[Discount]]</f>
        <v>641</v>
      </c>
      <c r="Q231" t="str">
        <f>TEXT(order_data[[#This Row],[Order_Date]],"mmm")</f>
        <v>Jan</v>
      </c>
      <c r="R231">
        <f>MONTH(order_data[[#This Row],[Order_Date]])</f>
        <v>1</v>
      </c>
    </row>
    <row r="232" spans="1:18" x14ac:dyDescent="0.35">
      <c r="A232" t="s">
        <v>558</v>
      </c>
      <c r="B232" t="s">
        <v>65</v>
      </c>
      <c r="C232" t="s">
        <v>184</v>
      </c>
      <c r="D232" t="s">
        <v>53</v>
      </c>
      <c r="E232" t="s">
        <v>152</v>
      </c>
      <c r="F232" t="s">
        <v>18</v>
      </c>
      <c r="G232" t="s">
        <v>107</v>
      </c>
      <c r="H232">
        <v>226</v>
      </c>
      <c r="I232">
        <v>20</v>
      </c>
      <c r="J232">
        <v>100</v>
      </c>
      <c r="K232" t="s">
        <v>36</v>
      </c>
      <c r="L232">
        <v>41</v>
      </c>
      <c r="M232" t="s">
        <v>21</v>
      </c>
      <c r="N232">
        <f>COUNTIF(order_data[Order_ID],order_data[[#This Row],[Order_ID]])</f>
        <v>1</v>
      </c>
      <c r="O232">
        <f>order_data[[#This Row],[Order_Value]]-order_data[[#This Row],[Discount]]</f>
        <v>126</v>
      </c>
      <c r="P232">
        <f>order_data[[#This Row],[Order_Value]]+order_data[[#This Row],[Delivery_Fee]]-order_data[[#This Row],[Discount]]</f>
        <v>146</v>
      </c>
      <c r="Q232" t="str">
        <f>TEXT(order_data[[#This Row],[Order_Date]],"mmm")</f>
        <v>Mar</v>
      </c>
      <c r="R232">
        <f>MONTH(order_data[[#This Row],[Order_Date]])</f>
        <v>3</v>
      </c>
    </row>
    <row r="233" spans="1:18" x14ac:dyDescent="0.35">
      <c r="A233" t="s">
        <v>559</v>
      </c>
      <c r="B233" t="s">
        <v>205</v>
      </c>
      <c r="C233" t="s">
        <v>560</v>
      </c>
      <c r="D233" t="s">
        <v>40</v>
      </c>
      <c r="E233" t="s">
        <v>41</v>
      </c>
      <c r="F233" t="s">
        <v>27</v>
      </c>
      <c r="G233" t="s">
        <v>74</v>
      </c>
      <c r="H233">
        <v>532</v>
      </c>
      <c r="I233">
        <v>30</v>
      </c>
      <c r="J233">
        <v>30</v>
      </c>
      <c r="K233" t="s">
        <v>29</v>
      </c>
      <c r="L233">
        <v>50</v>
      </c>
      <c r="M233" t="s">
        <v>21</v>
      </c>
      <c r="N233">
        <f>COUNTIF(order_data[Order_ID],order_data[[#This Row],[Order_ID]])</f>
        <v>1</v>
      </c>
      <c r="O233">
        <f>order_data[[#This Row],[Order_Value]]-order_data[[#This Row],[Discount]]</f>
        <v>502</v>
      </c>
      <c r="P233">
        <f>order_data[[#This Row],[Order_Value]]+order_data[[#This Row],[Delivery_Fee]]-order_data[[#This Row],[Discount]]</f>
        <v>532</v>
      </c>
      <c r="Q233" t="str">
        <f>TEXT(order_data[[#This Row],[Order_Date]],"mmm")</f>
        <v>Jan</v>
      </c>
      <c r="R233">
        <f>MONTH(order_data[[#This Row],[Order_Date]])</f>
        <v>1</v>
      </c>
    </row>
    <row r="234" spans="1:18" x14ac:dyDescent="0.35">
      <c r="A234" t="s">
        <v>561</v>
      </c>
      <c r="B234" t="s">
        <v>562</v>
      </c>
      <c r="C234" t="s">
        <v>563</v>
      </c>
      <c r="D234" t="s">
        <v>46</v>
      </c>
      <c r="E234" t="s">
        <v>47</v>
      </c>
      <c r="F234" t="s">
        <v>48</v>
      </c>
      <c r="G234" t="s">
        <v>176</v>
      </c>
      <c r="H234">
        <v>256</v>
      </c>
      <c r="I234">
        <v>20</v>
      </c>
      <c r="J234">
        <v>30</v>
      </c>
      <c r="K234" t="s">
        <v>20</v>
      </c>
      <c r="L234">
        <v>34</v>
      </c>
      <c r="M234" t="s">
        <v>21</v>
      </c>
      <c r="N234">
        <f>COUNTIF(order_data[Order_ID],order_data[[#This Row],[Order_ID]])</f>
        <v>1</v>
      </c>
      <c r="O234">
        <f>order_data[[#This Row],[Order_Value]]-order_data[[#This Row],[Discount]]</f>
        <v>226</v>
      </c>
      <c r="P234">
        <f>order_data[[#This Row],[Order_Value]]+order_data[[#This Row],[Delivery_Fee]]-order_data[[#This Row],[Discount]]</f>
        <v>246</v>
      </c>
      <c r="Q234" t="str">
        <f>TEXT(order_data[[#This Row],[Order_Date]],"mmm")</f>
        <v>Feb</v>
      </c>
      <c r="R234">
        <f>MONTH(order_data[[#This Row],[Order_Date]])</f>
        <v>2</v>
      </c>
    </row>
    <row r="235" spans="1:18" x14ac:dyDescent="0.35">
      <c r="A235" t="s">
        <v>564</v>
      </c>
      <c r="B235" t="s">
        <v>146</v>
      </c>
      <c r="C235" t="s">
        <v>303</v>
      </c>
      <c r="D235" t="s">
        <v>16</v>
      </c>
      <c r="E235" t="s">
        <v>131</v>
      </c>
      <c r="F235" t="s">
        <v>55</v>
      </c>
      <c r="G235" t="s">
        <v>19</v>
      </c>
      <c r="H235">
        <v>317</v>
      </c>
      <c r="I235">
        <v>50</v>
      </c>
      <c r="J235">
        <v>30</v>
      </c>
      <c r="K235" t="s">
        <v>29</v>
      </c>
      <c r="L235">
        <v>44</v>
      </c>
      <c r="M235" t="s">
        <v>21</v>
      </c>
      <c r="N235">
        <f>COUNTIF(order_data[Order_ID],order_data[[#This Row],[Order_ID]])</f>
        <v>1</v>
      </c>
      <c r="O235">
        <f>order_data[[#This Row],[Order_Value]]-order_data[[#This Row],[Discount]]</f>
        <v>287</v>
      </c>
      <c r="P235">
        <f>order_data[[#This Row],[Order_Value]]+order_data[[#This Row],[Delivery_Fee]]-order_data[[#This Row],[Discount]]</f>
        <v>337</v>
      </c>
      <c r="Q235" t="str">
        <f>TEXT(order_data[[#This Row],[Order_Date]],"mmm")</f>
        <v>Feb</v>
      </c>
      <c r="R235">
        <f>MONTH(order_data[[#This Row],[Order_Date]])</f>
        <v>2</v>
      </c>
    </row>
    <row r="236" spans="1:18" x14ac:dyDescent="0.35">
      <c r="A236" t="s">
        <v>565</v>
      </c>
      <c r="B236" t="s">
        <v>339</v>
      </c>
      <c r="C236" t="s">
        <v>566</v>
      </c>
      <c r="D236" t="s">
        <v>16</v>
      </c>
      <c r="E236" t="s">
        <v>131</v>
      </c>
      <c r="F236" t="s">
        <v>55</v>
      </c>
      <c r="G236" t="s">
        <v>176</v>
      </c>
      <c r="H236">
        <v>613</v>
      </c>
      <c r="I236">
        <v>40</v>
      </c>
      <c r="J236">
        <v>50</v>
      </c>
      <c r="K236" t="s">
        <v>29</v>
      </c>
      <c r="L236">
        <v>55</v>
      </c>
      <c r="M236" t="s">
        <v>21</v>
      </c>
      <c r="N236">
        <f>COUNTIF(order_data[Order_ID],order_data[[#This Row],[Order_ID]])</f>
        <v>1</v>
      </c>
      <c r="O236">
        <f>order_data[[#This Row],[Order_Value]]-order_data[[#This Row],[Discount]]</f>
        <v>563</v>
      </c>
      <c r="P236">
        <f>order_data[[#This Row],[Order_Value]]+order_data[[#This Row],[Delivery_Fee]]-order_data[[#This Row],[Discount]]</f>
        <v>603</v>
      </c>
      <c r="Q236" t="str">
        <f>TEXT(order_data[[#This Row],[Order_Date]],"mmm")</f>
        <v>Jan</v>
      </c>
      <c r="R236">
        <f>MONTH(order_data[[#This Row],[Order_Date]])</f>
        <v>1</v>
      </c>
    </row>
    <row r="237" spans="1:18" x14ac:dyDescent="0.35">
      <c r="A237" t="s">
        <v>567</v>
      </c>
      <c r="B237" t="s">
        <v>568</v>
      </c>
      <c r="C237" t="s">
        <v>569</v>
      </c>
      <c r="D237" t="s">
        <v>40</v>
      </c>
      <c r="E237" t="s">
        <v>111</v>
      </c>
      <c r="F237" t="s">
        <v>18</v>
      </c>
      <c r="G237" t="s">
        <v>59</v>
      </c>
      <c r="H237">
        <v>457</v>
      </c>
      <c r="I237">
        <v>40</v>
      </c>
      <c r="J237">
        <v>0</v>
      </c>
      <c r="K237" t="s">
        <v>20</v>
      </c>
      <c r="L237">
        <v>25</v>
      </c>
      <c r="M237" t="s">
        <v>21</v>
      </c>
      <c r="N237">
        <f>COUNTIF(order_data[Order_ID],order_data[[#This Row],[Order_ID]])</f>
        <v>1</v>
      </c>
      <c r="O237">
        <f>order_data[[#This Row],[Order_Value]]-order_data[[#This Row],[Discount]]</f>
        <v>457</v>
      </c>
      <c r="P237">
        <f>order_data[[#This Row],[Order_Value]]+order_data[[#This Row],[Delivery_Fee]]-order_data[[#This Row],[Discount]]</f>
        <v>497</v>
      </c>
      <c r="Q237" t="str">
        <f>TEXT(order_data[[#This Row],[Order_Date]],"mmm")</f>
        <v>Mar</v>
      </c>
      <c r="R237">
        <f>MONTH(order_data[[#This Row],[Order_Date]])</f>
        <v>3</v>
      </c>
    </row>
    <row r="238" spans="1:18" x14ac:dyDescent="0.35">
      <c r="A238" t="s">
        <v>570</v>
      </c>
      <c r="B238" t="s">
        <v>473</v>
      </c>
      <c r="C238" t="s">
        <v>571</v>
      </c>
      <c r="D238" t="s">
        <v>40</v>
      </c>
      <c r="E238" t="s">
        <v>111</v>
      </c>
      <c r="F238" t="s">
        <v>18</v>
      </c>
      <c r="G238" t="s">
        <v>35</v>
      </c>
      <c r="H238">
        <v>490</v>
      </c>
      <c r="I238">
        <v>30</v>
      </c>
      <c r="J238">
        <v>0</v>
      </c>
      <c r="K238" t="s">
        <v>20</v>
      </c>
      <c r="L238">
        <v>42</v>
      </c>
      <c r="M238" t="s">
        <v>21</v>
      </c>
      <c r="N238">
        <f>COUNTIF(order_data[Order_ID],order_data[[#This Row],[Order_ID]])</f>
        <v>1</v>
      </c>
      <c r="O238">
        <f>order_data[[#This Row],[Order_Value]]-order_data[[#This Row],[Discount]]</f>
        <v>490</v>
      </c>
      <c r="P238">
        <f>order_data[[#This Row],[Order_Value]]+order_data[[#This Row],[Delivery_Fee]]-order_data[[#This Row],[Discount]]</f>
        <v>520</v>
      </c>
      <c r="Q238" t="str">
        <f>TEXT(order_data[[#This Row],[Order_Date]],"mmm")</f>
        <v>Mar</v>
      </c>
      <c r="R238">
        <f>MONTH(order_data[[#This Row],[Order_Date]])</f>
        <v>3</v>
      </c>
    </row>
    <row r="239" spans="1:18" x14ac:dyDescent="0.35">
      <c r="A239" t="s">
        <v>572</v>
      </c>
      <c r="B239" t="s">
        <v>14</v>
      </c>
      <c r="C239" t="s">
        <v>573</v>
      </c>
      <c r="D239" t="s">
        <v>46</v>
      </c>
      <c r="E239" t="s">
        <v>70</v>
      </c>
      <c r="F239" t="s">
        <v>18</v>
      </c>
      <c r="G239" t="s">
        <v>28</v>
      </c>
      <c r="H239">
        <v>250</v>
      </c>
      <c r="I239">
        <v>30</v>
      </c>
      <c r="J239">
        <v>0</v>
      </c>
      <c r="K239" t="s">
        <v>36</v>
      </c>
      <c r="L239">
        <v>43</v>
      </c>
      <c r="M239" t="s">
        <v>21</v>
      </c>
      <c r="N239">
        <f>COUNTIF(order_data[Order_ID],order_data[[#This Row],[Order_ID]])</f>
        <v>1</v>
      </c>
      <c r="O239">
        <f>order_data[[#This Row],[Order_Value]]-order_data[[#This Row],[Discount]]</f>
        <v>250</v>
      </c>
      <c r="P239">
        <f>order_data[[#This Row],[Order_Value]]+order_data[[#This Row],[Delivery_Fee]]-order_data[[#This Row],[Discount]]</f>
        <v>280</v>
      </c>
      <c r="Q239" t="str">
        <f>TEXT(order_data[[#This Row],[Order_Date]],"mmm")</f>
        <v>Mar</v>
      </c>
      <c r="R239">
        <f>MONTH(order_data[[#This Row],[Order_Date]])</f>
        <v>3</v>
      </c>
    </row>
    <row r="240" spans="1:18" x14ac:dyDescent="0.35">
      <c r="A240" t="s">
        <v>574</v>
      </c>
      <c r="B240" t="s">
        <v>146</v>
      </c>
      <c r="C240" t="s">
        <v>575</v>
      </c>
      <c r="D240" t="s">
        <v>46</v>
      </c>
      <c r="E240" t="s">
        <v>148</v>
      </c>
      <c r="F240" t="s">
        <v>27</v>
      </c>
      <c r="G240" t="s">
        <v>49</v>
      </c>
      <c r="H240">
        <v>391</v>
      </c>
      <c r="I240">
        <v>20</v>
      </c>
      <c r="J240">
        <v>30</v>
      </c>
      <c r="K240" t="s">
        <v>20</v>
      </c>
      <c r="L240">
        <v>37</v>
      </c>
      <c r="M240" t="s">
        <v>21</v>
      </c>
      <c r="N240">
        <f>COUNTIF(order_data[Order_ID],order_data[[#This Row],[Order_ID]])</f>
        <v>1</v>
      </c>
      <c r="O240">
        <f>order_data[[#This Row],[Order_Value]]-order_data[[#This Row],[Discount]]</f>
        <v>361</v>
      </c>
      <c r="P240">
        <f>order_data[[#This Row],[Order_Value]]+order_data[[#This Row],[Delivery_Fee]]-order_data[[#This Row],[Discount]]</f>
        <v>381</v>
      </c>
      <c r="Q240" t="str">
        <f>TEXT(order_data[[#This Row],[Order_Date]],"mmm")</f>
        <v>Feb</v>
      </c>
      <c r="R240">
        <f>MONTH(order_data[[#This Row],[Order_Date]])</f>
        <v>2</v>
      </c>
    </row>
    <row r="241" spans="1:18" x14ac:dyDescent="0.35">
      <c r="A241" t="s">
        <v>576</v>
      </c>
      <c r="B241" t="s">
        <v>280</v>
      </c>
      <c r="C241" t="s">
        <v>560</v>
      </c>
      <c r="D241" t="s">
        <v>25</v>
      </c>
      <c r="E241" t="s">
        <v>78</v>
      </c>
      <c r="F241" t="s">
        <v>48</v>
      </c>
      <c r="G241" t="s">
        <v>59</v>
      </c>
      <c r="H241">
        <v>186</v>
      </c>
      <c r="I241">
        <v>30</v>
      </c>
      <c r="J241">
        <v>0</v>
      </c>
      <c r="K241" t="s">
        <v>20</v>
      </c>
      <c r="L241">
        <v>23</v>
      </c>
      <c r="M241" t="s">
        <v>21</v>
      </c>
      <c r="N241">
        <f>COUNTIF(order_data[Order_ID],order_data[[#This Row],[Order_ID]])</f>
        <v>1</v>
      </c>
      <c r="O241">
        <f>order_data[[#This Row],[Order_Value]]-order_data[[#This Row],[Discount]]</f>
        <v>186</v>
      </c>
      <c r="P241">
        <f>order_data[[#This Row],[Order_Value]]+order_data[[#This Row],[Delivery_Fee]]-order_data[[#This Row],[Discount]]</f>
        <v>216</v>
      </c>
      <c r="Q241" t="str">
        <f>TEXT(order_data[[#This Row],[Order_Date]],"mmm")</f>
        <v>Jan</v>
      </c>
      <c r="R241">
        <f>MONTH(order_data[[#This Row],[Order_Date]])</f>
        <v>1</v>
      </c>
    </row>
    <row r="242" spans="1:18" x14ac:dyDescent="0.35">
      <c r="A242" t="s">
        <v>577</v>
      </c>
      <c r="B242" t="s">
        <v>174</v>
      </c>
      <c r="C242" t="s">
        <v>578</v>
      </c>
      <c r="D242" t="s">
        <v>46</v>
      </c>
      <c r="E242" t="s">
        <v>70</v>
      </c>
      <c r="F242" t="s">
        <v>18</v>
      </c>
      <c r="G242" t="s">
        <v>42</v>
      </c>
      <c r="H242">
        <v>656</v>
      </c>
      <c r="I242">
        <v>40</v>
      </c>
      <c r="J242">
        <v>50</v>
      </c>
      <c r="K242" t="s">
        <v>29</v>
      </c>
      <c r="L242">
        <v>57</v>
      </c>
      <c r="M242" t="s">
        <v>21</v>
      </c>
      <c r="N242">
        <f>COUNTIF(order_data[Order_ID],order_data[[#This Row],[Order_ID]])</f>
        <v>1</v>
      </c>
      <c r="O242">
        <f>order_data[[#This Row],[Order_Value]]-order_data[[#This Row],[Discount]]</f>
        <v>606</v>
      </c>
      <c r="P242">
        <f>order_data[[#This Row],[Order_Value]]+order_data[[#This Row],[Delivery_Fee]]-order_data[[#This Row],[Discount]]</f>
        <v>646</v>
      </c>
      <c r="Q242" t="str">
        <f>TEXT(order_data[[#This Row],[Order_Date]],"mmm")</f>
        <v>Feb</v>
      </c>
      <c r="R242">
        <f>MONTH(order_data[[#This Row],[Order_Date]])</f>
        <v>2</v>
      </c>
    </row>
    <row r="243" spans="1:18" x14ac:dyDescent="0.35">
      <c r="A243" t="s">
        <v>579</v>
      </c>
      <c r="B243" t="s">
        <v>580</v>
      </c>
      <c r="C243" t="s">
        <v>581</v>
      </c>
      <c r="D243" t="s">
        <v>25</v>
      </c>
      <c r="E243" t="s">
        <v>26</v>
      </c>
      <c r="F243" t="s">
        <v>27</v>
      </c>
      <c r="G243" t="s">
        <v>49</v>
      </c>
      <c r="H243">
        <v>463</v>
      </c>
      <c r="I243">
        <v>40</v>
      </c>
      <c r="J243">
        <v>30</v>
      </c>
      <c r="K243" t="s">
        <v>36</v>
      </c>
      <c r="L243">
        <v>38</v>
      </c>
      <c r="M243" t="s">
        <v>21</v>
      </c>
      <c r="N243">
        <f>COUNTIF(order_data[Order_ID],order_data[[#This Row],[Order_ID]])</f>
        <v>1</v>
      </c>
      <c r="O243">
        <f>order_data[[#This Row],[Order_Value]]-order_data[[#This Row],[Discount]]</f>
        <v>433</v>
      </c>
      <c r="P243">
        <f>order_data[[#This Row],[Order_Value]]+order_data[[#This Row],[Delivery_Fee]]-order_data[[#This Row],[Discount]]</f>
        <v>473</v>
      </c>
      <c r="Q243" t="str">
        <f>TEXT(order_data[[#This Row],[Order_Date]],"mmm")</f>
        <v>Mar</v>
      </c>
      <c r="R243">
        <f>MONTH(order_data[[#This Row],[Order_Date]])</f>
        <v>3</v>
      </c>
    </row>
    <row r="244" spans="1:18" x14ac:dyDescent="0.35">
      <c r="A244" t="s">
        <v>582</v>
      </c>
      <c r="B244" t="s">
        <v>583</v>
      </c>
      <c r="C244" t="s">
        <v>566</v>
      </c>
      <c r="D244" t="s">
        <v>25</v>
      </c>
      <c r="E244" t="s">
        <v>78</v>
      </c>
      <c r="F244" t="s">
        <v>48</v>
      </c>
      <c r="G244" t="s">
        <v>59</v>
      </c>
      <c r="H244">
        <v>465</v>
      </c>
      <c r="I244">
        <v>50</v>
      </c>
      <c r="J244">
        <v>50</v>
      </c>
      <c r="K244" t="s">
        <v>29</v>
      </c>
      <c r="L244">
        <v>34</v>
      </c>
      <c r="M244" t="s">
        <v>21</v>
      </c>
      <c r="N244">
        <f>COUNTIF(order_data[Order_ID],order_data[[#This Row],[Order_ID]])</f>
        <v>1</v>
      </c>
      <c r="O244">
        <f>order_data[[#This Row],[Order_Value]]-order_data[[#This Row],[Discount]]</f>
        <v>415</v>
      </c>
      <c r="P244">
        <f>order_data[[#This Row],[Order_Value]]+order_data[[#This Row],[Delivery_Fee]]-order_data[[#This Row],[Discount]]</f>
        <v>465</v>
      </c>
      <c r="Q244" t="str">
        <f>TEXT(order_data[[#This Row],[Order_Date]],"mmm")</f>
        <v>Jan</v>
      </c>
      <c r="R244">
        <f>MONTH(order_data[[#This Row],[Order_Date]])</f>
        <v>1</v>
      </c>
    </row>
    <row r="245" spans="1:18" x14ac:dyDescent="0.35">
      <c r="A245" t="s">
        <v>584</v>
      </c>
      <c r="B245" t="s">
        <v>342</v>
      </c>
      <c r="C245" t="s">
        <v>585</v>
      </c>
      <c r="D245" t="s">
        <v>25</v>
      </c>
      <c r="E245" t="s">
        <v>78</v>
      </c>
      <c r="F245" t="s">
        <v>48</v>
      </c>
      <c r="G245" t="s">
        <v>42</v>
      </c>
      <c r="H245">
        <v>576</v>
      </c>
      <c r="I245">
        <v>30</v>
      </c>
      <c r="J245">
        <v>100</v>
      </c>
      <c r="K245" t="s">
        <v>29</v>
      </c>
      <c r="L245">
        <v>22</v>
      </c>
      <c r="M245" t="s">
        <v>21</v>
      </c>
      <c r="N245">
        <f>COUNTIF(order_data[Order_ID],order_data[[#This Row],[Order_ID]])</f>
        <v>1</v>
      </c>
      <c r="O245">
        <f>order_data[[#This Row],[Order_Value]]-order_data[[#This Row],[Discount]]</f>
        <v>476</v>
      </c>
      <c r="P245">
        <f>order_data[[#This Row],[Order_Value]]+order_data[[#This Row],[Delivery_Fee]]-order_data[[#This Row],[Discount]]</f>
        <v>506</v>
      </c>
      <c r="Q245" t="str">
        <f>TEXT(order_data[[#This Row],[Order_Date]],"mmm")</f>
        <v>Jan</v>
      </c>
      <c r="R245">
        <f>MONTH(order_data[[#This Row],[Order_Date]])</f>
        <v>1</v>
      </c>
    </row>
    <row r="246" spans="1:18" x14ac:dyDescent="0.35">
      <c r="A246" t="s">
        <v>586</v>
      </c>
      <c r="B246" t="s">
        <v>223</v>
      </c>
      <c r="C246" t="s">
        <v>587</v>
      </c>
      <c r="D246" t="s">
        <v>46</v>
      </c>
      <c r="E246" t="s">
        <v>70</v>
      </c>
      <c r="F246" t="s">
        <v>18</v>
      </c>
      <c r="G246" t="s">
        <v>107</v>
      </c>
      <c r="H246">
        <v>243</v>
      </c>
      <c r="I246">
        <v>50</v>
      </c>
      <c r="J246">
        <v>0</v>
      </c>
      <c r="K246" t="s">
        <v>29</v>
      </c>
      <c r="L246">
        <v>34</v>
      </c>
      <c r="M246" t="s">
        <v>21</v>
      </c>
      <c r="N246">
        <f>COUNTIF(order_data[Order_ID],order_data[[#This Row],[Order_ID]])</f>
        <v>1</v>
      </c>
      <c r="O246">
        <f>order_data[[#This Row],[Order_Value]]-order_data[[#This Row],[Discount]]</f>
        <v>243</v>
      </c>
      <c r="P246">
        <f>order_data[[#This Row],[Order_Value]]+order_data[[#This Row],[Delivery_Fee]]-order_data[[#This Row],[Discount]]</f>
        <v>293</v>
      </c>
      <c r="Q246" t="str">
        <f>TEXT(order_data[[#This Row],[Order_Date]],"mmm")</f>
        <v>Mar</v>
      </c>
      <c r="R246">
        <f>MONTH(order_data[[#This Row],[Order_Date]])</f>
        <v>3</v>
      </c>
    </row>
    <row r="247" spans="1:18" x14ac:dyDescent="0.35">
      <c r="A247" t="s">
        <v>588</v>
      </c>
      <c r="B247" t="s">
        <v>174</v>
      </c>
      <c r="C247" t="s">
        <v>589</v>
      </c>
      <c r="D247" t="s">
        <v>16</v>
      </c>
      <c r="E247" t="s">
        <v>131</v>
      </c>
      <c r="F247" t="s">
        <v>55</v>
      </c>
      <c r="G247" t="s">
        <v>42</v>
      </c>
      <c r="H247">
        <v>573</v>
      </c>
      <c r="I247">
        <v>50</v>
      </c>
      <c r="J247">
        <v>100</v>
      </c>
      <c r="K247" t="s">
        <v>36</v>
      </c>
      <c r="L247">
        <v>43</v>
      </c>
      <c r="M247" t="s">
        <v>21</v>
      </c>
      <c r="N247">
        <f>COUNTIF(order_data[Order_ID],order_data[[#This Row],[Order_ID]])</f>
        <v>1</v>
      </c>
      <c r="O247">
        <f>order_data[[#This Row],[Order_Value]]-order_data[[#This Row],[Discount]]</f>
        <v>473</v>
      </c>
      <c r="P247">
        <f>order_data[[#This Row],[Order_Value]]+order_data[[#This Row],[Delivery_Fee]]-order_data[[#This Row],[Discount]]</f>
        <v>523</v>
      </c>
      <c r="Q247" t="str">
        <f>TEXT(order_data[[#This Row],[Order_Date]],"mmm")</f>
        <v>Feb</v>
      </c>
      <c r="R247">
        <f>MONTH(order_data[[#This Row],[Order_Date]])</f>
        <v>2</v>
      </c>
    </row>
    <row r="248" spans="1:18" x14ac:dyDescent="0.35">
      <c r="A248" t="s">
        <v>590</v>
      </c>
      <c r="B248" t="s">
        <v>72</v>
      </c>
      <c r="C248" t="s">
        <v>349</v>
      </c>
      <c r="D248" t="s">
        <v>46</v>
      </c>
      <c r="E248" t="s">
        <v>70</v>
      </c>
      <c r="F248" t="s">
        <v>18</v>
      </c>
      <c r="G248" t="s">
        <v>42</v>
      </c>
      <c r="H248">
        <v>297</v>
      </c>
      <c r="I248">
        <v>30</v>
      </c>
      <c r="J248">
        <v>0</v>
      </c>
      <c r="K248" t="s">
        <v>36</v>
      </c>
      <c r="L248">
        <v>21</v>
      </c>
      <c r="M248" t="s">
        <v>21</v>
      </c>
      <c r="N248">
        <f>COUNTIF(order_data[Order_ID],order_data[[#This Row],[Order_ID]])</f>
        <v>1</v>
      </c>
      <c r="O248">
        <f>order_data[[#This Row],[Order_Value]]-order_data[[#This Row],[Discount]]</f>
        <v>297</v>
      </c>
      <c r="P248">
        <f>order_data[[#This Row],[Order_Value]]+order_data[[#This Row],[Delivery_Fee]]-order_data[[#This Row],[Discount]]</f>
        <v>327</v>
      </c>
      <c r="Q248" t="str">
        <f>TEXT(order_data[[#This Row],[Order_Date]],"mmm")</f>
        <v>Jan</v>
      </c>
      <c r="R248">
        <f>MONTH(order_data[[#This Row],[Order_Date]])</f>
        <v>1</v>
      </c>
    </row>
    <row r="249" spans="1:18" x14ac:dyDescent="0.35">
      <c r="A249" t="s">
        <v>591</v>
      </c>
      <c r="B249" t="s">
        <v>146</v>
      </c>
      <c r="C249" t="s">
        <v>592</v>
      </c>
      <c r="D249" t="s">
        <v>46</v>
      </c>
      <c r="E249" t="s">
        <v>47</v>
      </c>
      <c r="F249" t="s">
        <v>48</v>
      </c>
      <c r="G249" t="s">
        <v>59</v>
      </c>
      <c r="H249">
        <v>404</v>
      </c>
      <c r="I249">
        <v>40</v>
      </c>
      <c r="J249">
        <v>100</v>
      </c>
      <c r="K249" t="s">
        <v>36</v>
      </c>
      <c r="L249">
        <v>42</v>
      </c>
      <c r="M249" t="s">
        <v>21</v>
      </c>
      <c r="N249">
        <f>COUNTIF(order_data[Order_ID],order_data[[#This Row],[Order_ID]])</f>
        <v>1</v>
      </c>
      <c r="O249">
        <f>order_data[[#This Row],[Order_Value]]-order_data[[#This Row],[Discount]]</f>
        <v>304</v>
      </c>
      <c r="P249">
        <f>order_data[[#This Row],[Order_Value]]+order_data[[#This Row],[Delivery_Fee]]-order_data[[#This Row],[Discount]]</f>
        <v>344</v>
      </c>
      <c r="Q249" t="str">
        <f>TEXT(order_data[[#This Row],[Order_Date]],"mmm")</f>
        <v>Feb</v>
      </c>
      <c r="R249">
        <f>MONTH(order_data[[#This Row],[Order_Date]])</f>
        <v>2</v>
      </c>
    </row>
    <row r="250" spans="1:18" x14ac:dyDescent="0.35">
      <c r="A250" t="s">
        <v>593</v>
      </c>
      <c r="B250" t="s">
        <v>541</v>
      </c>
      <c r="C250" t="s">
        <v>594</v>
      </c>
      <c r="D250" t="s">
        <v>16</v>
      </c>
      <c r="E250" t="s">
        <v>17</v>
      </c>
      <c r="F250" t="s">
        <v>18</v>
      </c>
      <c r="G250" t="s">
        <v>42</v>
      </c>
      <c r="H250">
        <v>662</v>
      </c>
      <c r="I250">
        <v>50</v>
      </c>
      <c r="J250">
        <v>0</v>
      </c>
      <c r="K250" t="s">
        <v>20</v>
      </c>
      <c r="L250">
        <v>41</v>
      </c>
      <c r="M250" t="s">
        <v>21</v>
      </c>
      <c r="N250">
        <f>COUNTIF(order_data[Order_ID],order_data[[#This Row],[Order_ID]])</f>
        <v>1</v>
      </c>
      <c r="O250">
        <f>order_data[[#This Row],[Order_Value]]-order_data[[#This Row],[Discount]]</f>
        <v>662</v>
      </c>
      <c r="P250">
        <f>order_data[[#This Row],[Order_Value]]+order_data[[#This Row],[Delivery_Fee]]-order_data[[#This Row],[Discount]]</f>
        <v>712</v>
      </c>
      <c r="Q250" t="str">
        <f>TEXT(order_data[[#This Row],[Order_Date]],"mmm")</f>
        <v>Jan</v>
      </c>
      <c r="R250">
        <f>MONTH(order_data[[#This Row],[Order_Date]])</f>
        <v>1</v>
      </c>
    </row>
    <row r="251" spans="1:18" x14ac:dyDescent="0.35">
      <c r="A251" t="s">
        <v>595</v>
      </c>
      <c r="B251" t="s">
        <v>167</v>
      </c>
      <c r="C251" t="s">
        <v>596</v>
      </c>
      <c r="D251" t="s">
        <v>16</v>
      </c>
      <c r="E251" t="s">
        <v>89</v>
      </c>
      <c r="F251" t="s">
        <v>18</v>
      </c>
      <c r="G251" t="s">
        <v>42</v>
      </c>
      <c r="H251">
        <v>531</v>
      </c>
      <c r="I251">
        <v>50</v>
      </c>
      <c r="J251">
        <v>50</v>
      </c>
      <c r="K251" t="s">
        <v>20</v>
      </c>
      <c r="L251">
        <v>55</v>
      </c>
      <c r="M251" t="s">
        <v>21</v>
      </c>
      <c r="N251">
        <f>COUNTIF(order_data[Order_ID],order_data[[#This Row],[Order_ID]])</f>
        <v>1</v>
      </c>
      <c r="O251">
        <f>order_data[[#This Row],[Order_Value]]-order_data[[#This Row],[Discount]]</f>
        <v>481</v>
      </c>
      <c r="P251">
        <f>order_data[[#This Row],[Order_Value]]+order_data[[#This Row],[Delivery_Fee]]-order_data[[#This Row],[Discount]]</f>
        <v>531</v>
      </c>
      <c r="Q251" t="str">
        <f>TEXT(order_data[[#This Row],[Order_Date]],"mmm")</f>
        <v>Feb</v>
      </c>
      <c r="R251">
        <f>MONTH(order_data[[#This Row],[Order_Date]])</f>
        <v>2</v>
      </c>
    </row>
    <row r="252" spans="1:18" x14ac:dyDescent="0.35">
      <c r="A252" t="s">
        <v>597</v>
      </c>
      <c r="B252" t="s">
        <v>218</v>
      </c>
      <c r="C252" t="s">
        <v>598</v>
      </c>
      <c r="D252" t="s">
        <v>40</v>
      </c>
      <c r="E252" t="s">
        <v>67</v>
      </c>
      <c r="F252" t="s">
        <v>48</v>
      </c>
      <c r="G252" t="s">
        <v>42</v>
      </c>
      <c r="H252">
        <v>433</v>
      </c>
      <c r="I252">
        <v>20</v>
      </c>
      <c r="J252">
        <v>50</v>
      </c>
      <c r="K252" t="s">
        <v>36</v>
      </c>
      <c r="L252">
        <v>55</v>
      </c>
      <c r="M252" t="s">
        <v>21</v>
      </c>
      <c r="N252">
        <f>COUNTIF(order_data[Order_ID],order_data[[#This Row],[Order_ID]])</f>
        <v>1</v>
      </c>
      <c r="O252">
        <f>order_data[[#This Row],[Order_Value]]-order_data[[#This Row],[Discount]]</f>
        <v>383</v>
      </c>
      <c r="P252">
        <f>order_data[[#This Row],[Order_Value]]+order_data[[#This Row],[Delivery_Fee]]-order_data[[#This Row],[Discount]]</f>
        <v>403</v>
      </c>
      <c r="Q252" t="str">
        <f>TEXT(order_data[[#This Row],[Order_Date]],"mmm")</f>
        <v>Feb</v>
      </c>
      <c r="R252">
        <f>MONTH(order_data[[#This Row],[Order_Date]])</f>
        <v>2</v>
      </c>
    </row>
    <row r="253" spans="1:18" x14ac:dyDescent="0.35">
      <c r="A253" t="s">
        <v>599</v>
      </c>
      <c r="B253" t="s">
        <v>600</v>
      </c>
      <c r="C253" t="s">
        <v>130</v>
      </c>
      <c r="D253" t="s">
        <v>16</v>
      </c>
      <c r="E253" t="s">
        <v>89</v>
      </c>
      <c r="F253" t="s">
        <v>18</v>
      </c>
      <c r="G253" t="s">
        <v>49</v>
      </c>
      <c r="H253">
        <v>314</v>
      </c>
      <c r="I253">
        <v>40</v>
      </c>
      <c r="J253">
        <v>100</v>
      </c>
      <c r="K253" t="s">
        <v>29</v>
      </c>
      <c r="L253">
        <v>30</v>
      </c>
      <c r="M253" t="s">
        <v>21</v>
      </c>
      <c r="N253">
        <f>COUNTIF(order_data[Order_ID],order_data[[#This Row],[Order_ID]])</f>
        <v>1</v>
      </c>
      <c r="O253">
        <f>order_data[[#This Row],[Order_Value]]-order_data[[#This Row],[Discount]]</f>
        <v>214</v>
      </c>
      <c r="P253">
        <f>order_data[[#This Row],[Order_Value]]+order_data[[#This Row],[Delivery_Fee]]-order_data[[#This Row],[Discount]]</f>
        <v>254</v>
      </c>
      <c r="Q253" t="str">
        <f>TEXT(order_data[[#This Row],[Order_Date]],"mmm")</f>
        <v>Mar</v>
      </c>
      <c r="R253">
        <f>MONTH(order_data[[#This Row],[Order_Date]])</f>
        <v>3</v>
      </c>
    </row>
    <row r="254" spans="1:18" x14ac:dyDescent="0.35">
      <c r="A254" t="s">
        <v>601</v>
      </c>
      <c r="B254" t="s">
        <v>305</v>
      </c>
      <c r="C254" t="s">
        <v>602</v>
      </c>
      <c r="D254" t="s">
        <v>25</v>
      </c>
      <c r="E254" t="s">
        <v>78</v>
      </c>
      <c r="F254" t="s">
        <v>48</v>
      </c>
      <c r="G254" t="s">
        <v>49</v>
      </c>
      <c r="H254">
        <v>216</v>
      </c>
      <c r="I254">
        <v>40</v>
      </c>
      <c r="J254">
        <v>20</v>
      </c>
      <c r="K254" t="s">
        <v>20</v>
      </c>
      <c r="L254">
        <v>47</v>
      </c>
      <c r="M254" t="s">
        <v>21</v>
      </c>
      <c r="N254">
        <f>COUNTIF(order_data[Order_ID],order_data[[#This Row],[Order_ID]])</f>
        <v>1</v>
      </c>
      <c r="O254">
        <f>order_data[[#This Row],[Order_Value]]-order_data[[#This Row],[Discount]]</f>
        <v>196</v>
      </c>
      <c r="P254">
        <f>order_data[[#This Row],[Order_Value]]+order_data[[#This Row],[Delivery_Fee]]-order_data[[#This Row],[Discount]]</f>
        <v>236</v>
      </c>
      <c r="Q254" t="str">
        <f>TEXT(order_data[[#This Row],[Order_Date]],"mmm")</f>
        <v>Jan</v>
      </c>
      <c r="R254">
        <f>MONTH(order_data[[#This Row],[Order_Date]])</f>
        <v>1</v>
      </c>
    </row>
    <row r="255" spans="1:18" x14ac:dyDescent="0.35">
      <c r="A255" t="s">
        <v>603</v>
      </c>
      <c r="B255" t="s">
        <v>121</v>
      </c>
      <c r="C255" t="s">
        <v>604</v>
      </c>
      <c r="D255" t="s">
        <v>53</v>
      </c>
      <c r="E255" t="s">
        <v>54</v>
      </c>
      <c r="F255" t="s">
        <v>55</v>
      </c>
      <c r="G255" t="s">
        <v>35</v>
      </c>
      <c r="H255">
        <v>247</v>
      </c>
      <c r="I255">
        <v>20</v>
      </c>
      <c r="J255">
        <v>100</v>
      </c>
      <c r="K255" t="s">
        <v>20</v>
      </c>
      <c r="L255">
        <v>54</v>
      </c>
      <c r="M255" t="s">
        <v>21</v>
      </c>
      <c r="N255">
        <f>COUNTIF(order_data[Order_ID],order_data[[#This Row],[Order_ID]])</f>
        <v>1</v>
      </c>
      <c r="O255">
        <f>order_data[[#This Row],[Order_Value]]-order_data[[#This Row],[Discount]]</f>
        <v>147</v>
      </c>
      <c r="P255">
        <f>order_data[[#This Row],[Order_Value]]+order_data[[#This Row],[Delivery_Fee]]-order_data[[#This Row],[Discount]]</f>
        <v>167</v>
      </c>
      <c r="Q255" t="str">
        <f>TEXT(order_data[[#This Row],[Order_Date]],"mmm")</f>
        <v>Feb</v>
      </c>
      <c r="R255">
        <f>MONTH(order_data[[#This Row],[Order_Date]])</f>
        <v>2</v>
      </c>
    </row>
    <row r="256" spans="1:18" x14ac:dyDescent="0.35">
      <c r="A256" t="s">
        <v>605</v>
      </c>
      <c r="B256" t="s">
        <v>57</v>
      </c>
      <c r="C256" t="s">
        <v>606</v>
      </c>
      <c r="D256" t="s">
        <v>53</v>
      </c>
      <c r="E256" t="s">
        <v>54</v>
      </c>
      <c r="F256" t="s">
        <v>55</v>
      </c>
      <c r="G256" t="s">
        <v>176</v>
      </c>
      <c r="H256">
        <v>267</v>
      </c>
      <c r="I256">
        <v>30</v>
      </c>
      <c r="J256">
        <v>50</v>
      </c>
      <c r="K256" t="s">
        <v>20</v>
      </c>
      <c r="L256">
        <v>44</v>
      </c>
      <c r="M256" t="s">
        <v>21</v>
      </c>
      <c r="N256">
        <f>COUNTIF(order_data[Order_ID],order_data[[#This Row],[Order_ID]])</f>
        <v>1</v>
      </c>
      <c r="O256">
        <f>order_data[[#This Row],[Order_Value]]-order_data[[#This Row],[Discount]]</f>
        <v>217</v>
      </c>
      <c r="P256">
        <f>order_data[[#This Row],[Order_Value]]+order_data[[#This Row],[Delivery_Fee]]-order_data[[#This Row],[Discount]]</f>
        <v>247</v>
      </c>
      <c r="Q256" t="str">
        <f>TEXT(order_data[[#This Row],[Order_Date]],"mmm")</f>
        <v>Jan</v>
      </c>
      <c r="R256">
        <f>MONTH(order_data[[#This Row],[Order_Date]])</f>
        <v>1</v>
      </c>
    </row>
    <row r="257" spans="1:18" x14ac:dyDescent="0.35">
      <c r="A257" t="s">
        <v>607</v>
      </c>
      <c r="B257" t="s">
        <v>121</v>
      </c>
      <c r="C257" t="s">
        <v>608</v>
      </c>
      <c r="D257" t="s">
        <v>46</v>
      </c>
      <c r="E257" t="s">
        <v>148</v>
      </c>
      <c r="F257" t="s">
        <v>27</v>
      </c>
      <c r="G257" t="s">
        <v>28</v>
      </c>
      <c r="H257">
        <v>280</v>
      </c>
      <c r="I257">
        <v>40</v>
      </c>
      <c r="J257">
        <v>0</v>
      </c>
      <c r="K257" t="s">
        <v>20</v>
      </c>
      <c r="L257">
        <v>59</v>
      </c>
      <c r="M257" t="s">
        <v>21</v>
      </c>
      <c r="N257">
        <f>COUNTIF(order_data[Order_ID],order_data[[#This Row],[Order_ID]])</f>
        <v>1</v>
      </c>
      <c r="O257">
        <f>order_data[[#This Row],[Order_Value]]-order_data[[#This Row],[Discount]]</f>
        <v>280</v>
      </c>
      <c r="P257">
        <f>order_data[[#This Row],[Order_Value]]+order_data[[#This Row],[Delivery_Fee]]-order_data[[#This Row],[Discount]]</f>
        <v>320</v>
      </c>
      <c r="Q257" t="str">
        <f>TEXT(order_data[[#This Row],[Order_Date]],"mmm")</f>
        <v>Feb</v>
      </c>
      <c r="R257">
        <f>MONTH(order_data[[#This Row],[Order_Date]])</f>
        <v>2</v>
      </c>
    </row>
    <row r="258" spans="1:18" x14ac:dyDescent="0.35">
      <c r="A258" t="s">
        <v>609</v>
      </c>
      <c r="B258" t="s">
        <v>14</v>
      </c>
      <c r="C258" t="s">
        <v>610</v>
      </c>
      <c r="D258" t="s">
        <v>16</v>
      </c>
      <c r="E258" t="s">
        <v>17</v>
      </c>
      <c r="F258" t="s">
        <v>18</v>
      </c>
      <c r="G258" t="s">
        <v>59</v>
      </c>
      <c r="H258">
        <v>476</v>
      </c>
      <c r="I258">
        <v>30</v>
      </c>
      <c r="J258">
        <v>20</v>
      </c>
      <c r="K258" t="s">
        <v>20</v>
      </c>
      <c r="L258">
        <v>32</v>
      </c>
      <c r="M258" t="s">
        <v>21</v>
      </c>
      <c r="N258">
        <f>COUNTIF(order_data[Order_ID],order_data[[#This Row],[Order_ID]])</f>
        <v>1</v>
      </c>
      <c r="O258">
        <f>order_data[[#This Row],[Order_Value]]-order_data[[#This Row],[Discount]]</f>
        <v>456</v>
      </c>
      <c r="P258">
        <f>order_data[[#This Row],[Order_Value]]+order_data[[#This Row],[Delivery_Fee]]-order_data[[#This Row],[Discount]]</f>
        <v>486</v>
      </c>
      <c r="Q258" t="str">
        <f>TEXT(order_data[[#This Row],[Order_Date]],"mmm")</f>
        <v>Mar</v>
      </c>
      <c r="R258">
        <f>MONTH(order_data[[#This Row],[Order_Date]])</f>
        <v>3</v>
      </c>
    </row>
    <row r="259" spans="1:18" x14ac:dyDescent="0.35">
      <c r="A259" t="s">
        <v>611</v>
      </c>
      <c r="B259" t="s">
        <v>174</v>
      </c>
      <c r="C259" t="s">
        <v>612</v>
      </c>
      <c r="D259" t="s">
        <v>16</v>
      </c>
      <c r="E259" t="s">
        <v>89</v>
      </c>
      <c r="F259" t="s">
        <v>18</v>
      </c>
      <c r="G259" t="s">
        <v>42</v>
      </c>
      <c r="H259">
        <v>683</v>
      </c>
      <c r="I259">
        <v>40</v>
      </c>
      <c r="J259">
        <v>30</v>
      </c>
      <c r="K259" t="s">
        <v>36</v>
      </c>
      <c r="L259">
        <v>44</v>
      </c>
      <c r="M259" t="s">
        <v>21</v>
      </c>
      <c r="N259">
        <f>COUNTIF(order_data[Order_ID],order_data[[#This Row],[Order_ID]])</f>
        <v>1</v>
      </c>
      <c r="O259">
        <f>order_data[[#This Row],[Order_Value]]-order_data[[#This Row],[Discount]]</f>
        <v>653</v>
      </c>
      <c r="P259">
        <f>order_data[[#This Row],[Order_Value]]+order_data[[#This Row],[Delivery_Fee]]-order_data[[#This Row],[Discount]]</f>
        <v>693</v>
      </c>
      <c r="Q259" t="str">
        <f>TEXT(order_data[[#This Row],[Order_Date]],"mmm")</f>
        <v>Feb</v>
      </c>
      <c r="R259">
        <f>MONTH(order_data[[#This Row],[Order_Date]])</f>
        <v>2</v>
      </c>
    </row>
    <row r="260" spans="1:18" x14ac:dyDescent="0.35">
      <c r="A260" t="s">
        <v>613</v>
      </c>
      <c r="B260" t="s">
        <v>600</v>
      </c>
      <c r="C260" t="s">
        <v>614</v>
      </c>
      <c r="D260" t="s">
        <v>53</v>
      </c>
      <c r="E260" t="s">
        <v>152</v>
      </c>
      <c r="F260" t="s">
        <v>18</v>
      </c>
      <c r="G260" t="s">
        <v>74</v>
      </c>
      <c r="H260">
        <v>263</v>
      </c>
      <c r="I260">
        <v>20</v>
      </c>
      <c r="J260">
        <v>100</v>
      </c>
      <c r="K260" t="s">
        <v>20</v>
      </c>
      <c r="L260">
        <v>29</v>
      </c>
      <c r="M260" t="s">
        <v>21</v>
      </c>
      <c r="N260">
        <f>COUNTIF(order_data[Order_ID],order_data[[#This Row],[Order_ID]])</f>
        <v>1</v>
      </c>
      <c r="O260">
        <f>order_data[[#This Row],[Order_Value]]-order_data[[#This Row],[Discount]]</f>
        <v>163</v>
      </c>
      <c r="P260">
        <f>order_data[[#This Row],[Order_Value]]+order_data[[#This Row],[Delivery_Fee]]-order_data[[#This Row],[Discount]]</f>
        <v>183</v>
      </c>
      <c r="Q260" t="str">
        <f>TEXT(order_data[[#This Row],[Order_Date]],"mmm")</f>
        <v>Mar</v>
      </c>
      <c r="R260">
        <f>MONTH(order_data[[#This Row],[Order_Date]])</f>
        <v>3</v>
      </c>
    </row>
    <row r="261" spans="1:18" x14ac:dyDescent="0.35">
      <c r="A261" t="s">
        <v>615</v>
      </c>
      <c r="B261" t="s">
        <v>454</v>
      </c>
      <c r="C261" t="s">
        <v>616</v>
      </c>
      <c r="D261" t="s">
        <v>46</v>
      </c>
      <c r="E261" t="s">
        <v>148</v>
      </c>
      <c r="F261" t="s">
        <v>27</v>
      </c>
      <c r="G261" t="s">
        <v>59</v>
      </c>
      <c r="H261">
        <v>682</v>
      </c>
      <c r="I261">
        <v>40</v>
      </c>
      <c r="J261">
        <v>20</v>
      </c>
      <c r="K261" t="s">
        <v>29</v>
      </c>
      <c r="L261">
        <v>46</v>
      </c>
      <c r="M261" t="s">
        <v>21</v>
      </c>
      <c r="N261">
        <f>COUNTIF(order_data[Order_ID],order_data[[#This Row],[Order_ID]])</f>
        <v>1</v>
      </c>
      <c r="O261">
        <f>order_data[[#This Row],[Order_Value]]-order_data[[#This Row],[Discount]]</f>
        <v>662</v>
      </c>
      <c r="P261">
        <f>order_data[[#This Row],[Order_Value]]+order_data[[#This Row],[Delivery_Fee]]-order_data[[#This Row],[Discount]]</f>
        <v>702</v>
      </c>
      <c r="Q261" t="str">
        <f>TEXT(order_data[[#This Row],[Order_Date]],"mmm")</f>
        <v>Jan</v>
      </c>
      <c r="R261">
        <f>MONTH(order_data[[#This Row],[Order_Date]])</f>
        <v>1</v>
      </c>
    </row>
    <row r="262" spans="1:18" x14ac:dyDescent="0.35">
      <c r="A262" t="s">
        <v>617</v>
      </c>
      <c r="B262" t="s">
        <v>280</v>
      </c>
      <c r="C262" t="s">
        <v>618</v>
      </c>
      <c r="D262" t="s">
        <v>16</v>
      </c>
      <c r="E262" t="s">
        <v>89</v>
      </c>
      <c r="F262" t="s">
        <v>18</v>
      </c>
      <c r="G262" t="s">
        <v>63</v>
      </c>
      <c r="H262">
        <v>426</v>
      </c>
      <c r="I262">
        <v>50</v>
      </c>
      <c r="J262">
        <v>20</v>
      </c>
      <c r="K262" t="s">
        <v>20</v>
      </c>
      <c r="L262">
        <v>36</v>
      </c>
      <c r="M262" t="s">
        <v>21</v>
      </c>
      <c r="N262">
        <f>COUNTIF(order_data[Order_ID],order_data[[#This Row],[Order_ID]])</f>
        <v>1</v>
      </c>
      <c r="O262">
        <f>order_data[[#This Row],[Order_Value]]-order_data[[#This Row],[Discount]]</f>
        <v>406</v>
      </c>
      <c r="P262">
        <f>order_data[[#This Row],[Order_Value]]+order_data[[#This Row],[Delivery_Fee]]-order_data[[#This Row],[Discount]]</f>
        <v>456</v>
      </c>
      <c r="Q262" t="str">
        <f>TEXT(order_data[[#This Row],[Order_Date]],"mmm")</f>
        <v>Jan</v>
      </c>
      <c r="R262">
        <f>MONTH(order_data[[#This Row],[Order_Date]])</f>
        <v>1</v>
      </c>
    </row>
    <row r="263" spans="1:18" x14ac:dyDescent="0.35">
      <c r="A263" t="s">
        <v>619</v>
      </c>
      <c r="B263" t="s">
        <v>280</v>
      </c>
      <c r="C263" t="s">
        <v>553</v>
      </c>
      <c r="D263" t="s">
        <v>40</v>
      </c>
      <c r="E263" t="s">
        <v>41</v>
      </c>
      <c r="F263" t="s">
        <v>27</v>
      </c>
      <c r="G263" t="s">
        <v>42</v>
      </c>
      <c r="H263">
        <v>251</v>
      </c>
      <c r="I263">
        <v>20</v>
      </c>
      <c r="J263">
        <v>30</v>
      </c>
      <c r="K263" t="s">
        <v>20</v>
      </c>
      <c r="L263">
        <v>30</v>
      </c>
      <c r="M263" t="s">
        <v>21</v>
      </c>
      <c r="N263">
        <f>COUNTIF(order_data[Order_ID],order_data[[#This Row],[Order_ID]])</f>
        <v>1</v>
      </c>
      <c r="O263">
        <f>order_data[[#This Row],[Order_Value]]-order_data[[#This Row],[Discount]]</f>
        <v>221</v>
      </c>
      <c r="P263">
        <f>order_data[[#This Row],[Order_Value]]+order_data[[#This Row],[Delivery_Fee]]-order_data[[#This Row],[Discount]]</f>
        <v>241</v>
      </c>
      <c r="Q263" t="str">
        <f>TEXT(order_data[[#This Row],[Order_Date]],"mmm")</f>
        <v>Jan</v>
      </c>
      <c r="R263">
        <f>MONTH(order_data[[#This Row],[Order_Date]])</f>
        <v>1</v>
      </c>
    </row>
    <row r="264" spans="1:18" x14ac:dyDescent="0.35">
      <c r="A264" t="s">
        <v>620</v>
      </c>
      <c r="B264" t="s">
        <v>23</v>
      </c>
      <c r="C264" t="s">
        <v>621</v>
      </c>
      <c r="D264" t="s">
        <v>16</v>
      </c>
      <c r="E264" t="s">
        <v>89</v>
      </c>
      <c r="F264" t="s">
        <v>18</v>
      </c>
      <c r="G264" t="s">
        <v>42</v>
      </c>
      <c r="H264">
        <v>357</v>
      </c>
      <c r="I264">
        <v>50</v>
      </c>
      <c r="J264">
        <v>20</v>
      </c>
      <c r="K264" t="s">
        <v>29</v>
      </c>
      <c r="L264">
        <v>21</v>
      </c>
      <c r="M264" t="s">
        <v>21</v>
      </c>
      <c r="N264">
        <f>COUNTIF(order_data[Order_ID],order_data[[#This Row],[Order_ID]])</f>
        <v>1</v>
      </c>
      <c r="O264">
        <f>order_data[[#This Row],[Order_Value]]-order_data[[#This Row],[Discount]]</f>
        <v>337</v>
      </c>
      <c r="P264">
        <f>order_data[[#This Row],[Order_Value]]+order_data[[#This Row],[Delivery_Fee]]-order_data[[#This Row],[Discount]]</f>
        <v>387</v>
      </c>
      <c r="Q264" t="str">
        <f>TEXT(order_data[[#This Row],[Order_Date]],"mmm")</f>
        <v>Mar</v>
      </c>
      <c r="R264">
        <f>MONTH(order_data[[#This Row],[Order_Date]])</f>
        <v>3</v>
      </c>
    </row>
    <row r="265" spans="1:18" x14ac:dyDescent="0.35">
      <c r="A265" t="s">
        <v>622</v>
      </c>
      <c r="B265" t="s">
        <v>121</v>
      </c>
      <c r="C265" t="s">
        <v>623</v>
      </c>
      <c r="D265" t="s">
        <v>40</v>
      </c>
      <c r="E265" t="s">
        <v>67</v>
      </c>
      <c r="F265" t="s">
        <v>48</v>
      </c>
      <c r="G265" t="s">
        <v>42</v>
      </c>
      <c r="H265">
        <v>462</v>
      </c>
      <c r="I265">
        <v>50</v>
      </c>
      <c r="J265">
        <v>0</v>
      </c>
      <c r="K265" t="s">
        <v>20</v>
      </c>
      <c r="L265">
        <v>55</v>
      </c>
      <c r="M265" t="s">
        <v>30</v>
      </c>
      <c r="N265">
        <f>COUNTIF(order_data[Order_ID],order_data[[#This Row],[Order_ID]])</f>
        <v>1</v>
      </c>
      <c r="O265">
        <f>order_data[[#This Row],[Order_Value]]-order_data[[#This Row],[Discount]]</f>
        <v>462</v>
      </c>
      <c r="P265">
        <f>order_data[[#This Row],[Order_Value]]+order_data[[#This Row],[Delivery_Fee]]-order_data[[#This Row],[Discount]]</f>
        <v>512</v>
      </c>
      <c r="Q265" t="str">
        <f>TEXT(order_data[[#This Row],[Order_Date]],"mmm")</f>
        <v>Feb</v>
      </c>
      <c r="R265">
        <f>MONTH(order_data[[#This Row],[Order_Date]])</f>
        <v>2</v>
      </c>
    </row>
    <row r="266" spans="1:18" x14ac:dyDescent="0.35">
      <c r="A266" t="s">
        <v>624</v>
      </c>
      <c r="B266" t="s">
        <v>379</v>
      </c>
      <c r="C266" t="s">
        <v>625</v>
      </c>
      <c r="D266" t="s">
        <v>40</v>
      </c>
      <c r="E266" t="s">
        <v>41</v>
      </c>
      <c r="F266" t="s">
        <v>27</v>
      </c>
      <c r="G266" t="s">
        <v>49</v>
      </c>
      <c r="H266">
        <v>307</v>
      </c>
      <c r="I266">
        <v>30</v>
      </c>
      <c r="J266">
        <v>100</v>
      </c>
      <c r="K266" t="s">
        <v>29</v>
      </c>
      <c r="L266">
        <v>38</v>
      </c>
      <c r="M266" t="s">
        <v>21</v>
      </c>
      <c r="N266">
        <f>COUNTIF(order_data[Order_ID],order_data[[#This Row],[Order_ID]])</f>
        <v>1</v>
      </c>
      <c r="O266">
        <f>order_data[[#This Row],[Order_Value]]-order_data[[#This Row],[Discount]]</f>
        <v>207</v>
      </c>
      <c r="P266">
        <f>order_data[[#This Row],[Order_Value]]+order_data[[#This Row],[Delivery_Fee]]-order_data[[#This Row],[Discount]]</f>
        <v>237</v>
      </c>
      <c r="Q266" t="str">
        <f>TEXT(order_data[[#This Row],[Order_Date]],"mmm")</f>
        <v>Mar</v>
      </c>
      <c r="R266">
        <f>MONTH(order_data[[#This Row],[Order_Date]])</f>
        <v>3</v>
      </c>
    </row>
    <row r="267" spans="1:18" x14ac:dyDescent="0.35">
      <c r="A267" t="s">
        <v>626</v>
      </c>
      <c r="B267" t="s">
        <v>580</v>
      </c>
      <c r="C267" t="s">
        <v>627</v>
      </c>
      <c r="D267" t="s">
        <v>25</v>
      </c>
      <c r="E267" t="s">
        <v>78</v>
      </c>
      <c r="F267" t="s">
        <v>48</v>
      </c>
      <c r="G267" t="s">
        <v>59</v>
      </c>
      <c r="H267">
        <v>559</v>
      </c>
      <c r="I267">
        <v>20</v>
      </c>
      <c r="J267">
        <v>30</v>
      </c>
      <c r="K267" t="s">
        <v>20</v>
      </c>
      <c r="L267">
        <v>28</v>
      </c>
      <c r="M267" t="s">
        <v>21</v>
      </c>
      <c r="N267">
        <f>COUNTIF(order_data[Order_ID],order_data[[#This Row],[Order_ID]])</f>
        <v>1</v>
      </c>
      <c r="O267">
        <f>order_data[[#This Row],[Order_Value]]-order_data[[#This Row],[Discount]]</f>
        <v>529</v>
      </c>
      <c r="P267">
        <f>order_data[[#This Row],[Order_Value]]+order_data[[#This Row],[Delivery_Fee]]-order_data[[#This Row],[Discount]]</f>
        <v>549</v>
      </c>
      <c r="Q267" t="str">
        <f>TEXT(order_data[[#This Row],[Order_Date]],"mmm")</f>
        <v>Mar</v>
      </c>
      <c r="R267">
        <f>MONTH(order_data[[#This Row],[Order_Date]])</f>
        <v>3</v>
      </c>
    </row>
    <row r="268" spans="1:18" x14ac:dyDescent="0.35">
      <c r="A268" t="s">
        <v>628</v>
      </c>
      <c r="B268" t="s">
        <v>252</v>
      </c>
      <c r="C268" t="s">
        <v>629</v>
      </c>
      <c r="D268" t="s">
        <v>40</v>
      </c>
      <c r="E268" t="s">
        <v>41</v>
      </c>
      <c r="F268" t="s">
        <v>27</v>
      </c>
      <c r="G268" t="s">
        <v>107</v>
      </c>
      <c r="H268">
        <v>716</v>
      </c>
      <c r="I268">
        <v>40</v>
      </c>
      <c r="J268">
        <v>30</v>
      </c>
      <c r="K268" t="s">
        <v>29</v>
      </c>
      <c r="L268">
        <v>39</v>
      </c>
      <c r="M268" t="s">
        <v>21</v>
      </c>
      <c r="N268">
        <f>COUNTIF(order_data[Order_ID],order_data[[#This Row],[Order_ID]])</f>
        <v>1</v>
      </c>
      <c r="O268">
        <f>order_data[[#This Row],[Order_Value]]-order_data[[#This Row],[Discount]]</f>
        <v>686</v>
      </c>
      <c r="P268">
        <f>order_data[[#This Row],[Order_Value]]+order_data[[#This Row],[Delivery_Fee]]-order_data[[#This Row],[Discount]]</f>
        <v>726</v>
      </c>
      <c r="Q268" t="str">
        <f>TEXT(order_data[[#This Row],[Order_Date]],"mmm")</f>
        <v>Jan</v>
      </c>
      <c r="R268">
        <f>MONTH(order_data[[#This Row],[Order_Date]])</f>
        <v>1</v>
      </c>
    </row>
    <row r="269" spans="1:18" x14ac:dyDescent="0.35">
      <c r="A269" t="s">
        <v>630</v>
      </c>
      <c r="B269" t="s">
        <v>113</v>
      </c>
      <c r="C269" t="s">
        <v>110</v>
      </c>
      <c r="D269" t="s">
        <v>40</v>
      </c>
      <c r="E269" t="s">
        <v>41</v>
      </c>
      <c r="F269" t="s">
        <v>27</v>
      </c>
      <c r="G269" t="s">
        <v>59</v>
      </c>
      <c r="H269">
        <v>316</v>
      </c>
      <c r="I269">
        <v>40</v>
      </c>
      <c r="J269">
        <v>0</v>
      </c>
      <c r="K269" t="s">
        <v>29</v>
      </c>
      <c r="L269">
        <v>33</v>
      </c>
      <c r="M269" t="s">
        <v>21</v>
      </c>
      <c r="N269">
        <f>COUNTIF(order_data[Order_ID],order_data[[#This Row],[Order_ID]])</f>
        <v>1</v>
      </c>
      <c r="O269">
        <f>order_data[[#This Row],[Order_Value]]-order_data[[#This Row],[Discount]]</f>
        <v>316</v>
      </c>
      <c r="P269">
        <f>order_data[[#This Row],[Order_Value]]+order_data[[#This Row],[Delivery_Fee]]-order_data[[#This Row],[Discount]]</f>
        <v>356</v>
      </c>
      <c r="Q269" t="str">
        <f>TEXT(order_data[[#This Row],[Order_Date]],"mmm")</f>
        <v>Mar</v>
      </c>
      <c r="R269">
        <f>MONTH(order_data[[#This Row],[Order_Date]])</f>
        <v>3</v>
      </c>
    </row>
    <row r="270" spans="1:18" x14ac:dyDescent="0.35">
      <c r="A270" t="s">
        <v>631</v>
      </c>
      <c r="B270" t="s">
        <v>143</v>
      </c>
      <c r="C270" t="s">
        <v>405</v>
      </c>
      <c r="D270" t="s">
        <v>46</v>
      </c>
      <c r="E270" t="s">
        <v>47</v>
      </c>
      <c r="F270" t="s">
        <v>48</v>
      </c>
      <c r="G270" t="s">
        <v>107</v>
      </c>
      <c r="H270">
        <v>488</v>
      </c>
      <c r="I270">
        <v>30</v>
      </c>
      <c r="J270">
        <v>0</v>
      </c>
      <c r="K270" t="s">
        <v>29</v>
      </c>
      <c r="L270">
        <v>48</v>
      </c>
      <c r="M270" t="s">
        <v>21</v>
      </c>
      <c r="N270">
        <f>COUNTIF(order_data[Order_ID],order_data[[#This Row],[Order_ID]])</f>
        <v>1</v>
      </c>
      <c r="O270">
        <f>order_data[[#This Row],[Order_Value]]-order_data[[#This Row],[Discount]]</f>
        <v>488</v>
      </c>
      <c r="P270">
        <f>order_data[[#This Row],[Order_Value]]+order_data[[#This Row],[Delivery_Fee]]-order_data[[#This Row],[Discount]]</f>
        <v>518</v>
      </c>
      <c r="Q270" t="str">
        <f>TEXT(order_data[[#This Row],[Order_Date]],"mmm")</f>
        <v>Feb</v>
      </c>
      <c r="R270">
        <f>MONTH(order_data[[#This Row],[Order_Date]])</f>
        <v>2</v>
      </c>
    </row>
    <row r="271" spans="1:18" x14ac:dyDescent="0.35">
      <c r="A271" t="s">
        <v>632</v>
      </c>
      <c r="B271" t="s">
        <v>295</v>
      </c>
      <c r="C271" t="s">
        <v>39</v>
      </c>
      <c r="D271" t="s">
        <v>53</v>
      </c>
      <c r="E271" t="s">
        <v>84</v>
      </c>
      <c r="F271" t="s">
        <v>85</v>
      </c>
      <c r="G271" t="s">
        <v>42</v>
      </c>
      <c r="H271">
        <v>345</v>
      </c>
      <c r="I271">
        <v>30</v>
      </c>
      <c r="J271">
        <v>50</v>
      </c>
      <c r="K271" t="s">
        <v>20</v>
      </c>
      <c r="L271">
        <v>23</v>
      </c>
      <c r="M271" t="s">
        <v>21</v>
      </c>
      <c r="N271">
        <f>COUNTIF(order_data[Order_ID],order_data[[#This Row],[Order_ID]])</f>
        <v>1</v>
      </c>
      <c r="O271">
        <f>order_data[[#This Row],[Order_Value]]-order_data[[#This Row],[Discount]]</f>
        <v>295</v>
      </c>
      <c r="P271">
        <f>order_data[[#This Row],[Order_Value]]+order_data[[#This Row],[Delivery_Fee]]-order_data[[#This Row],[Discount]]</f>
        <v>325</v>
      </c>
      <c r="Q271" t="str">
        <f>TEXT(order_data[[#This Row],[Order_Date]],"mmm")</f>
        <v>Jan</v>
      </c>
      <c r="R271">
        <f>MONTH(order_data[[#This Row],[Order_Date]])</f>
        <v>1</v>
      </c>
    </row>
    <row r="272" spans="1:18" x14ac:dyDescent="0.35">
      <c r="A272" t="s">
        <v>633</v>
      </c>
      <c r="B272" t="s">
        <v>143</v>
      </c>
      <c r="C272" t="s">
        <v>634</v>
      </c>
      <c r="D272" t="s">
        <v>16</v>
      </c>
      <c r="E272" t="s">
        <v>17</v>
      </c>
      <c r="F272" t="s">
        <v>18</v>
      </c>
      <c r="G272" t="s">
        <v>59</v>
      </c>
      <c r="H272">
        <v>591</v>
      </c>
      <c r="I272">
        <v>20</v>
      </c>
      <c r="J272">
        <v>50</v>
      </c>
      <c r="K272" t="s">
        <v>29</v>
      </c>
      <c r="L272">
        <v>46</v>
      </c>
      <c r="M272" t="s">
        <v>21</v>
      </c>
      <c r="N272">
        <f>COUNTIF(order_data[Order_ID],order_data[[#This Row],[Order_ID]])</f>
        <v>1</v>
      </c>
      <c r="O272">
        <f>order_data[[#This Row],[Order_Value]]-order_data[[#This Row],[Discount]]</f>
        <v>541</v>
      </c>
      <c r="P272">
        <f>order_data[[#This Row],[Order_Value]]+order_data[[#This Row],[Delivery_Fee]]-order_data[[#This Row],[Discount]]</f>
        <v>561</v>
      </c>
      <c r="Q272" t="str">
        <f>TEXT(order_data[[#This Row],[Order_Date]],"mmm")</f>
        <v>Feb</v>
      </c>
      <c r="R272">
        <f>MONTH(order_data[[#This Row],[Order_Date]])</f>
        <v>2</v>
      </c>
    </row>
    <row r="273" spans="1:18" x14ac:dyDescent="0.35">
      <c r="A273" t="s">
        <v>635</v>
      </c>
      <c r="B273" t="s">
        <v>99</v>
      </c>
      <c r="C273" t="s">
        <v>636</v>
      </c>
      <c r="D273" t="s">
        <v>25</v>
      </c>
      <c r="E273" t="s">
        <v>34</v>
      </c>
      <c r="F273" t="s">
        <v>27</v>
      </c>
      <c r="G273" t="s">
        <v>74</v>
      </c>
      <c r="H273">
        <v>730</v>
      </c>
      <c r="I273">
        <v>30</v>
      </c>
      <c r="J273">
        <v>20</v>
      </c>
      <c r="K273" t="s">
        <v>29</v>
      </c>
      <c r="L273">
        <v>20</v>
      </c>
      <c r="M273" t="s">
        <v>30</v>
      </c>
      <c r="N273">
        <f>COUNTIF(order_data[Order_ID],order_data[[#This Row],[Order_ID]])</f>
        <v>1</v>
      </c>
      <c r="O273">
        <f>order_data[[#This Row],[Order_Value]]-order_data[[#This Row],[Discount]]</f>
        <v>710</v>
      </c>
      <c r="P273">
        <f>order_data[[#This Row],[Order_Value]]+order_data[[#This Row],[Delivery_Fee]]-order_data[[#This Row],[Discount]]</f>
        <v>740</v>
      </c>
      <c r="Q273" t="str">
        <f>TEXT(order_data[[#This Row],[Order_Date]],"mmm")</f>
        <v>Mar</v>
      </c>
      <c r="R273">
        <f>MONTH(order_data[[#This Row],[Order_Date]])</f>
        <v>3</v>
      </c>
    </row>
    <row r="274" spans="1:18" x14ac:dyDescent="0.35">
      <c r="A274" t="s">
        <v>637</v>
      </c>
      <c r="B274" t="s">
        <v>393</v>
      </c>
      <c r="C274" t="s">
        <v>638</v>
      </c>
      <c r="D274" t="s">
        <v>16</v>
      </c>
      <c r="E274" t="s">
        <v>131</v>
      </c>
      <c r="F274" t="s">
        <v>55</v>
      </c>
      <c r="G274" t="s">
        <v>176</v>
      </c>
      <c r="H274">
        <v>714</v>
      </c>
      <c r="I274">
        <v>40</v>
      </c>
      <c r="J274">
        <v>30</v>
      </c>
      <c r="K274" t="s">
        <v>20</v>
      </c>
      <c r="L274">
        <v>37</v>
      </c>
      <c r="M274" t="s">
        <v>21</v>
      </c>
      <c r="N274">
        <f>COUNTIF(order_data[Order_ID],order_data[[#This Row],[Order_ID]])</f>
        <v>1</v>
      </c>
      <c r="O274">
        <f>order_data[[#This Row],[Order_Value]]-order_data[[#This Row],[Discount]]</f>
        <v>684</v>
      </c>
      <c r="P274">
        <f>order_data[[#This Row],[Order_Value]]+order_data[[#This Row],[Delivery_Fee]]-order_data[[#This Row],[Discount]]</f>
        <v>724</v>
      </c>
      <c r="Q274" t="str">
        <f>TEXT(order_data[[#This Row],[Order_Date]],"mmm")</f>
        <v>Feb</v>
      </c>
      <c r="R274">
        <f>MONTH(order_data[[#This Row],[Order_Date]])</f>
        <v>2</v>
      </c>
    </row>
    <row r="275" spans="1:18" x14ac:dyDescent="0.35">
      <c r="A275" t="s">
        <v>639</v>
      </c>
      <c r="B275" t="s">
        <v>583</v>
      </c>
      <c r="C275" t="s">
        <v>640</v>
      </c>
      <c r="D275" t="s">
        <v>46</v>
      </c>
      <c r="E275" t="s">
        <v>47</v>
      </c>
      <c r="F275" t="s">
        <v>48</v>
      </c>
      <c r="G275" t="s">
        <v>176</v>
      </c>
      <c r="H275">
        <v>719</v>
      </c>
      <c r="I275">
        <v>40</v>
      </c>
      <c r="J275">
        <v>50</v>
      </c>
      <c r="K275" t="s">
        <v>20</v>
      </c>
      <c r="L275">
        <v>50</v>
      </c>
      <c r="M275" t="s">
        <v>21</v>
      </c>
      <c r="N275">
        <f>COUNTIF(order_data[Order_ID],order_data[[#This Row],[Order_ID]])</f>
        <v>1</v>
      </c>
      <c r="O275">
        <f>order_data[[#This Row],[Order_Value]]-order_data[[#This Row],[Discount]]</f>
        <v>669</v>
      </c>
      <c r="P275">
        <f>order_data[[#This Row],[Order_Value]]+order_data[[#This Row],[Delivery_Fee]]-order_data[[#This Row],[Discount]]</f>
        <v>709</v>
      </c>
      <c r="Q275" t="str">
        <f>TEXT(order_data[[#This Row],[Order_Date]],"mmm")</f>
        <v>Jan</v>
      </c>
      <c r="R275">
        <f>MONTH(order_data[[#This Row],[Order_Date]])</f>
        <v>1</v>
      </c>
    </row>
    <row r="276" spans="1:18" x14ac:dyDescent="0.35">
      <c r="A276" t="s">
        <v>641</v>
      </c>
      <c r="B276" t="s">
        <v>393</v>
      </c>
      <c r="C276" t="s">
        <v>642</v>
      </c>
      <c r="D276" t="s">
        <v>16</v>
      </c>
      <c r="E276" t="s">
        <v>17</v>
      </c>
      <c r="F276" t="s">
        <v>18</v>
      </c>
      <c r="G276" t="s">
        <v>59</v>
      </c>
      <c r="H276">
        <v>410</v>
      </c>
      <c r="I276">
        <v>50</v>
      </c>
      <c r="J276">
        <v>0</v>
      </c>
      <c r="K276" t="s">
        <v>20</v>
      </c>
      <c r="L276">
        <v>41</v>
      </c>
      <c r="M276" t="s">
        <v>21</v>
      </c>
      <c r="N276">
        <f>COUNTIF(order_data[Order_ID],order_data[[#This Row],[Order_ID]])</f>
        <v>1</v>
      </c>
      <c r="O276">
        <f>order_data[[#This Row],[Order_Value]]-order_data[[#This Row],[Discount]]</f>
        <v>410</v>
      </c>
      <c r="P276">
        <f>order_data[[#This Row],[Order_Value]]+order_data[[#This Row],[Delivery_Fee]]-order_data[[#This Row],[Discount]]</f>
        <v>460</v>
      </c>
      <c r="Q276" t="str">
        <f>TEXT(order_data[[#This Row],[Order_Date]],"mmm")</f>
        <v>Feb</v>
      </c>
      <c r="R276">
        <f>MONTH(order_data[[#This Row],[Order_Date]])</f>
        <v>2</v>
      </c>
    </row>
    <row r="277" spans="1:18" x14ac:dyDescent="0.35">
      <c r="A277" t="s">
        <v>643</v>
      </c>
      <c r="B277" t="s">
        <v>365</v>
      </c>
      <c r="C277" t="s">
        <v>644</v>
      </c>
      <c r="D277" t="s">
        <v>25</v>
      </c>
      <c r="E277" t="s">
        <v>26</v>
      </c>
      <c r="F277" t="s">
        <v>27</v>
      </c>
      <c r="G277" t="s">
        <v>35</v>
      </c>
      <c r="H277">
        <v>485</v>
      </c>
      <c r="I277">
        <v>40</v>
      </c>
      <c r="J277">
        <v>50</v>
      </c>
      <c r="K277" t="s">
        <v>20</v>
      </c>
      <c r="L277">
        <v>36</v>
      </c>
      <c r="M277" t="s">
        <v>21</v>
      </c>
      <c r="N277">
        <f>COUNTIF(order_data[Order_ID],order_data[[#This Row],[Order_ID]])</f>
        <v>1</v>
      </c>
      <c r="O277">
        <f>order_data[[#This Row],[Order_Value]]-order_data[[#This Row],[Discount]]</f>
        <v>435</v>
      </c>
      <c r="P277">
        <f>order_data[[#This Row],[Order_Value]]+order_data[[#This Row],[Delivery_Fee]]-order_data[[#This Row],[Discount]]</f>
        <v>475</v>
      </c>
      <c r="Q277" t="str">
        <f>TEXT(order_data[[#This Row],[Order_Date]],"mmm")</f>
        <v>Jan</v>
      </c>
      <c r="R277">
        <f>MONTH(order_data[[#This Row],[Order_Date]])</f>
        <v>1</v>
      </c>
    </row>
    <row r="278" spans="1:18" x14ac:dyDescent="0.35">
      <c r="A278" t="s">
        <v>645</v>
      </c>
      <c r="B278" t="s">
        <v>273</v>
      </c>
      <c r="C278" t="s">
        <v>646</v>
      </c>
      <c r="D278" t="s">
        <v>25</v>
      </c>
      <c r="E278" t="s">
        <v>34</v>
      </c>
      <c r="F278" t="s">
        <v>27</v>
      </c>
      <c r="G278" t="s">
        <v>107</v>
      </c>
      <c r="H278">
        <v>648</v>
      </c>
      <c r="I278">
        <v>40</v>
      </c>
      <c r="J278">
        <v>30</v>
      </c>
      <c r="K278" t="s">
        <v>29</v>
      </c>
      <c r="L278">
        <v>48</v>
      </c>
      <c r="M278" t="s">
        <v>21</v>
      </c>
      <c r="N278">
        <f>COUNTIF(order_data[Order_ID],order_data[[#This Row],[Order_ID]])</f>
        <v>1</v>
      </c>
      <c r="O278">
        <f>order_data[[#This Row],[Order_Value]]-order_data[[#This Row],[Discount]]</f>
        <v>618</v>
      </c>
      <c r="P278">
        <f>order_data[[#This Row],[Order_Value]]+order_data[[#This Row],[Delivery_Fee]]-order_data[[#This Row],[Discount]]</f>
        <v>658</v>
      </c>
      <c r="Q278" t="str">
        <f>TEXT(order_data[[#This Row],[Order_Date]],"mmm")</f>
        <v>Mar</v>
      </c>
      <c r="R278">
        <f>MONTH(order_data[[#This Row],[Order_Date]])</f>
        <v>3</v>
      </c>
    </row>
    <row r="279" spans="1:18" x14ac:dyDescent="0.35">
      <c r="A279" t="s">
        <v>647</v>
      </c>
      <c r="B279" t="s">
        <v>342</v>
      </c>
      <c r="C279" t="s">
        <v>648</v>
      </c>
      <c r="D279" t="s">
        <v>46</v>
      </c>
      <c r="E279" t="s">
        <v>47</v>
      </c>
      <c r="F279" t="s">
        <v>48</v>
      </c>
      <c r="G279" t="s">
        <v>63</v>
      </c>
      <c r="H279">
        <v>189</v>
      </c>
      <c r="I279">
        <v>30</v>
      </c>
      <c r="J279">
        <v>30</v>
      </c>
      <c r="K279" t="s">
        <v>20</v>
      </c>
      <c r="L279">
        <v>22</v>
      </c>
      <c r="M279" t="s">
        <v>21</v>
      </c>
      <c r="N279">
        <f>COUNTIF(order_data[Order_ID],order_data[[#This Row],[Order_ID]])</f>
        <v>1</v>
      </c>
      <c r="O279">
        <f>order_data[[#This Row],[Order_Value]]-order_data[[#This Row],[Discount]]</f>
        <v>159</v>
      </c>
      <c r="P279">
        <f>order_data[[#This Row],[Order_Value]]+order_data[[#This Row],[Delivery_Fee]]-order_data[[#This Row],[Discount]]</f>
        <v>189</v>
      </c>
      <c r="Q279" t="str">
        <f>TEXT(order_data[[#This Row],[Order_Date]],"mmm")</f>
        <v>Jan</v>
      </c>
      <c r="R279">
        <f>MONTH(order_data[[#This Row],[Order_Date]])</f>
        <v>1</v>
      </c>
    </row>
    <row r="280" spans="1:18" x14ac:dyDescent="0.35">
      <c r="A280" t="s">
        <v>649</v>
      </c>
      <c r="B280" t="s">
        <v>432</v>
      </c>
      <c r="C280" t="s">
        <v>650</v>
      </c>
      <c r="D280" t="s">
        <v>46</v>
      </c>
      <c r="E280" t="s">
        <v>148</v>
      </c>
      <c r="F280" t="s">
        <v>27</v>
      </c>
      <c r="G280" t="s">
        <v>107</v>
      </c>
      <c r="H280">
        <v>398</v>
      </c>
      <c r="I280">
        <v>50</v>
      </c>
      <c r="J280">
        <v>50</v>
      </c>
      <c r="K280" t="s">
        <v>29</v>
      </c>
      <c r="L280">
        <v>41</v>
      </c>
      <c r="M280" t="s">
        <v>21</v>
      </c>
      <c r="N280">
        <f>COUNTIF(order_data[Order_ID],order_data[[#This Row],[Order_ID]])</f>
        <v>1</v>
      </c>
      <c r="O280">
        <f>order_data[[#This Row],[Order_Value]]-order_data[[#This Row],[Discount]]</f>
        <v>348</v>
      </c>
      <c r="P280">
        <f>order_data[[#This Row],[Order_Value]]+order_data[[#This Row],[Delivery_Fee]]-order_data[[#This Row],[Discount]]</f>
        <v>398</v>
      </c>
      <c r="Q280" t="str">
        <f>TEXT(order_data[[#This Row],[Order_Date]],"mmm")</f>
        <v>Feb</v>
      </c>
      <c r="R280">
        <f>MONTH(order_data[[#This Row],[Order_Date]])</f>
        <v>2</v>
      </c>
    </row>
    <row r="281" spans="1:18" x14ac:dyDescent="0.35">
      <c r="A281" t="s">
        <v>651</v>
      </c>
      <c r="B281" t="s">
        <v>241</v>
      </c>
      <c r="C281" t="s">
        <v>516</v>
      </c>
      <c r="D281" t="s">
        <v>16</v>
      </c>
      <c r="E281" t="s">
        <v>131</v>
      </c>
      <c r="F281" t="s">
        <v>55</v>
      </c>
      <c r="G281" t="s">
        <v>107</v>
      </c>
      <c r="H281">
        <v>397</v>
      </c>
      <c r="I281">
        <v>30</v>
      </c>
      <c r="J281">
        <v>30</v>
      </c>
      <c r="K281" t="s">
        <v>36</v>
      </c>
      <c r="L281">
        <v>35</v>
      </c>
      <c r="M281" t="s">
        <v>21</v>
      </c>
      <c r="N281">
        <f>COUNTIF(order_data[Order_ID],order_data[[#This Row],[Order_ID]])</f>
        <v>1</v>
      </c>
      <c r="O281">
        <f>order_data[[#This Row],[Order_Value]]-order_data[[#This Row],[Discount]]</f>
        <v>367</v>
      </c>
      <c r="P281">
        <f>order_data[[#This Row],[Order_Value]]+order_data[[#This Row],[Delivery_Fee]]-order_data[[#This Row],[Discount]]</f>
        <v>397</v>
      </c>
      <c r="Q281" t="str">
        <f>TEXT(order_data[[#This Row],[Order_Date]],"mmm")</f>
        <v>Mar</v>
      </c>
      <c r="R281">
        <f>MONTH(order_data[[#This Row],[Order_Date]])</f>
        <v>3</v>
      </c>
    </row>
    <row r="282" spans="1:18" x14ac:dyDescent="0.35">
      <c r="A282" t="s">
        <v>652</v>
      </c>
      <c r="B282" t="s">
        <v>329</v>
      </c>
      <c r="C282" t="s">
        <v>97</v>
      </c>
      <c r="D282" t="s">
        <v>16</v>
      </c>
      <c r="E282" t="s">
        <v>17</v>
      </c>
      <c r="F282" t="s">
        <v>18</v>
      </c>
      <c r="G282" t="s">
        <v>42</v>
      </c>
      <c r="H282">
        <v>641</v>
      </c>
      <c r="I282">
        <v>40</v>
      </c>
      <c r="J282">
        <v>30</v>
      </c>
      <c r="K282" t="s">
        <v>20</v>
      </c>
      <c r="L282">
        <v>20</v>
      </c>
      <c r="M282" t="s">
        <v>21</v>
      </c>
      <c r="N282">
        <f>COUNTIF(order_data[Order_ID],order_data[[#This Row],[Order_ID]])</f>
        <v>1</v>
      </c>
      <c r="O282">
        <f>order_data[[#This Row],[Order_Value]]-order_data[[#This Row],[Discount]]</f>
        <v>611</v>
      </c>
      <c r="P282">
        <f>order_data[[#This Row],[Order_Value]]+order_data[[#This Row],[Delivery_Fee]]-order_data[[#This Row],[Discount]]</f>
        <v>651</v>
      </c>
      <c r="Q282" t="str">
        <f>TEXT(order_data[[#This Row],[Order_Date]],"mmm")</f>
        <v>Mar</v>
      </c>
      <c r="R282">
        <f>MONTH(order_data[[#This Row],[Order_Date]])</f>
        <v>3</v>
      </c>
    </row>
    <row r="283" spans="1:18" x14ac:dyDescent="0.35">
      <c r="A283" t="s">
        <v>653</v>
      </c>
      <c r="B283" t="s">
        <v>109</v>
      </c>
      <c r="C283" t="s">
        <v>527</v>
      </c>
      <c r="D283" t="s">
        <v>40</v>
      </c>
      <c r="E283" t="s">
        <v>41</v>
      </c>
      <c r="F283" t="s">
        <v>27</v>
      </c>
      <c r="G283" t="s">
        <v>49</v>
      </c>
      <c r="H283">
        <v>634</v>
      </c>
      <c r="I283">
        <v>40</v>
      </c>
      <c r="J283">
        <v>50</v>
      </c>
      <c r="K283" t="s">
        <v>29</v>
      </c>
      <c r="L283">
        <v>41</v>
      </c>
      <c r="M283" t="s">
        <v>30</v>
      </c>
      <c r="N283">
        <f>COUNTIF(order_data[Order_ID],order_data[[#This Row],[Order_ID]])</f>
        <v>1</v>
      </c>
      <c r="O283">
        <f>order_data[[#This Row],[Order_Value]]-order_data[[#This Row],[Discount]]</f>
        <v>584</v>
      </c>
      <c r="P283">
        <f>order_data[[#This Row],[Order_Value]]+order_data[[#This Row],[Delivery_Fee]]-order_data[[#This Row],[Discount]]</f>
        <v>624</v>
      </c>
      <c r="Q283" t="str">
        <f>TEXT(order_data[[#This Row],[Order_Date]],"mmm")</f>
        <v>Jan</v>
      </c>
      <c r="R283">
        <f>MONTH(order_data[[#This Row],[Order_Date]])</f>
        <v>1</v>
      </c>
    </row>
    <row r="284" spans="1:18" x14ac:dyDescent="0.35">
      <c r="A284" t="s">
        <v>654</v>
      </c>
      <c r="B284" t="s">
        <v>91</v>
      </c>
      <c r="C284" t="s">
        <v>484</v>
      </c>
      <c r="D284" t="s">
        <v>53</v>
      </c>
      <c r="E284" t="s">
        <v>84</v>
      </c>
      <c r="F284" t="s">
        <v>85</v>
      </c>
      <c r="G284" t="s">
        <v>42</v>
      </c>
      <c r="H284">
        <v>259</v>
      </c>
      <c r="I284">
        <v>30</v>
      </c>
      <c r="J284">
        <v>100</v>
      </c>
      <c r="K284" t="s">
        <v>20</v>
      </c>
      <c r="L284">
        <v>58</v>
      </c>
      <c r="M284" t="s">
        <v>21</v>
      </c>
      <c r="N284">
        <f>COUNTIF(order_data[Order_ID],order_data[[#This Row],[Order_ID]])</f>
        <v>1</v>
      </c>
      <c r="O284">
        <f>order_data[[#This Row],[Order_Value]]-order_data[[#This Row],[Discount]]</f>
        <v>159</v>
      </c>
      <c r="P284">
        <f>order_data[[#This Row],[Order_Value]]+order_data[[#This Row],[Delivery_Fee]]-order_data[[#This Row],[Discount]]</f>
        <v>189</v>
      </c>
      <c r="Q284" t="str">
        <f>TEXT(order_data[[#This Row],[Order_Date]],"mmm")</f>
        <v>Mar</v>
      </c>
      <c r="R284">
        <f>MONTH(order_data[[#This Row],[Order_Date]])</f>
        <v>3</v>
      </c>
    </row>
    <row r="285" spans="1:18" x14ac:dyDescent="0.35">
      <c r="A285" t="s">
        <v>655</v>
      </c>
      <c r="B285" t="s">
        <v>339</v>
      </c>
      <c r="C285" t="s">
        <v>543</v>
      </c>
      <c r="D285" t="s">
        <v>46</v>
      </c>
      <c r="E285" t="s">
        <v>70</v>
      </c>
      <c r="F285" t="s">
        <v>18</v>
      </c>
      <c r="G285" t="s">
        <v>176</v>
      </c>
      <c r="H285">
        <v>639</v>
      </c>
      <c r="I285">
        <v>20</v>
      </c>
      <c r="J285">
        <v>50</v>
      </c>
      <c r="K285" t="s">
        <v>20</v>
      </c>
      <c r="L285">
        <v>38</v>
      </c>
      <c r="M285" t="s">
        <v>21</v>
      </c>
      <c r="N285">
        <f>COUNTIF(order_data[Order_ID],order_data[[#This Row],[Order_ID]])</f>
        <v>1</v>
      </c>
      <c r="O285">
        <f>order_data[[#This Row],[Order_Value]]-order_data[[#This Row],[Discount]]</f>
        <v>589</v>
      </c>
      <c r="P285">
        <f>order_data[[#This Row],[Order_Value]]+order_data[[#This Row],[Delivery_Fee]]-order_data[[#This Row],[Discount]]</f>
        <v>609</v>
      </c>
      <c r="Q285" t="str">
        <f>TEXT(order_data[[#This Row],[Order_Date]],"mmm")</f>
        <v>Jan</v>
      </c>
      <c r="R285">
        <f>MONTH(order_data[[#This Row],[Order_Date]])</f>
        <v>1</v>
      </c>
    </row>
    <row r="286" spans="1:18" x14ac:dyDescent="0.35">
      <c r="A286" t="s">
        <v>656</v>
      </c>
      <c r="B286" t="s">
        <v>657</v>
      </c>
      <c r="C286" t="s">
        <v>535</v>
      </c>
      <c r="D286" t="s">
        <v>53</v>
      </c>
      <c r="E286" t="s">
        <v>54</v>
      </c>
      <c r="F286" t="s">
        <v>55</v>
      </c>
      <c r="G286" t="s">
        <v>35</v>
      </c>
      <c r="H286">
        <v>236</v>
      </c>
      <c r="I286">
        <v>40</v>
      </c>
      <c r="J286">
        <v>100</v>
      </c>
      <c r="K286" t="s">
        <v>36</v>
      </c>
      <c r="L286">
        <v>40</v>
      </c>
      <c r="M286" t="s">
        <v>21</v>
      </c>
      <c r="N286">
        <f>COUNTIF(order_data[Order_ID],order_data[[#This Row],[Order_ID]])</f>
        <v>1</v>
      </c>
      <c r="O286">
        <f>order_data[[#This Row],[Order_Value]]-order_data[[#This Row],[Discount]]</f>
        <v>136</v>
      </c>
      <c r="P286">
        <f>order_data[[#This Row],[Order_Value]]+order_data[[#This Row],[Delivery_Fee]]-order_data[[#This Row],[Discount]]</f>
        <v>176</v>
      </c>
      <c r="Q286" t="str">
        <f>TEXT(order_data[[#This Row],[Order_Date]],"mmm")</f>
        <v>Jan</v>
      </c>
      <c r="R286">
        <f>MONTH(order_data[[#This Row],[Order_Date]])</f>
        <v>1</v>
      </c>
    </row>
    <row r="287" spans="1:18" x14ac:dyDescent="0.35">
      <c r="A287" t="s">
        <v>658</v>
      </c>
      <c r="B287" t="s">
        <v>23</v>
      </c>
      <c r="C287" t="s">
        <v>659</v>
      </c>
      <c r="D287" t="s">
        <v>53</v>
      </c>
      <c r="E287" t="s">
        <v>152</v>
      </c>
      <c r="F287" t="s">
        <v>18</v>
      </c>
      <c r="G287" t="s">
        <v>107</v>
      </c>
      <c r="H287">
        <v>571</v>
      </c>
      <c r="I287">
        <v>40</v>
      </c>
      <c r="J287">
        <v>50</v>
      </c>
      <c r="K287" t="s">
        <v>36</v>
      </c>
      <c r="L287">
        <v>46</v>
      </c>
      <c r="M287" t="s">
        <v>21</v>
      </c>
      <c r="N287">
        <f>COUNTIF(order_data[Order_ID],order_data[[#This Row],[Order_ID]])</f>
        <v>1</v>
      </c>
      <c r="O287">
        <f>order_data[[#This Row],[Order_Value]]-order_data[[#This Row],[Discount]]</f>
        <v>521</v>
      </c>
      <c r="P287">
        <f>order_data[[#This Row],[Order_Value]]+order_data[[#This Row],[Delivery_Fee]]-order_data[[#This Row],[Discount]]</f>
        <v>561</v>
      </c>
      <c r="Q287" t="str">
        <f>TEXT(order_data[[#This Row],[Order_Date]],"mmm")</f>
        <v>Mar</v>
      </c>
      <c r="R287">
        <f>MONTH(order_data[[#This Row],[Order_Date]])</f>
        <v>3</v>
      </c>
    </row>
    <row r="288" spans="1:18" x14ac:dyDescent="0.35">
      <c r="A288" t="s">
        <v>660</v>
      </c>
      <c r="B288" t="s">
        <v>286</v>
      </c>
      <c r="C288" t="s">
        <v>307</v>
      </c>
      <c r="D288" t="s">
        <v>53</v>
      </c>
      <c r="E288" t="s">
        <v>84</v>
      </c>
      <c r="F288" t="s">
        <v>85</v>
      </c>
      <c r="G288" t="s">
        <v>176</v>
      </c>
      <c r="H288">
        <v>328</v>
      </c>
      <c r="I288">
        <v>20</v>
      </c>
      <c r="J288">
        <v>0</v>
      </c>
      <c r="K288" t="s">
        <v>36</v>
      </c>
      <c r="L288">
        <v>48</v>
      </c>
      <c r="M288" t="s">
        <v>21</v>
      </c>
      <c r="N288">
        <f>COUNTIF(order_data[Order_ID],order_data[[#This Row],[Order_ID]])</f>
        <v>1</v>
      </c>
      <c r="O288">
        <f>order_data[[#This Row],[Order_Value]]-order_data[[#This Row],[Discount]]</f>
        <v>328</v>
      </c>
      <c r="P288">
        <f>order_data[[#This Row],[Order_Value]]+order_data[[#This Row],[Delivery_Fee]]-order_data[[#This Row],[Discount]]</f>
        <v>348</v>
      </c>
      <c r="Q288" t="str">
        <f>TEXT(order_data[[#This Row],[Order_Date]],"mmm")</f>
        <v>Mar</v>
      </c>
      <c r="R288">
        <f>MONTH(order_data[[#This Row],[Order_Date]])</f>
        <v>3</v>
      </c>
    </row>
    <row r="289" spans="1:18" x14ac:dyDescent="0.35">
      <c r="A289" t="s">
        <v>661</v>
      </c>
      <c r="B289" t="s">
        <v>14</v>
      </c>
      <c r="C289" t="s">
        <v>581</v>
      </c>
      <c r="D289" t="s">
        <v>40</v>
      </c>
      <c r="E289" t="s">
        <v>67</v>
      </c>
      <c r="F289" t="s">
        <v>48</v>
      </c>
      <c r="G289" t="s">
        <v>19</v>
      </c>
      <c r="H289">
        <v>337</v>
      </c>
      <c r="I289">
        <v>20</v>
      </c>
      <c r="J289">
        <v>100</v>
      </c>
      <c r="K289" t="s">
        <v>20</v>
      </c>
      <c r="L289">
        <v>40</v>
      </c>
      <c r="M289" t="s">
        <v>21</v>
      </c>
      <c r="N289">
        <f>COUNTIF(order_data[Order_ID],order_data[[#This Row],[Order_ID]])</f>
        <v>1</v>
      </c>
      <c r="O289">
        <f>order_data[[#This Row],[Order_Value]]-order_data[[#This Row],[Discount]]</f>
        <v>237</v>
      </c>
      <c r="P289">
        <f>order_data[[#This Row],[Order_Value]]+order_data[[#This Row],[Delivery_Fee]]-order_data[[#This Row],[Discount]]</f>
        <v>257</v>
      </c>
      <c r="Q289" t="str">
        <f>TEXT(order_data[[#This Row],[Order_Date]],"mmm")</f>
        <v>Mar</v>
      </c>
      <c r="R289">
        <f>MONTH(order_data[[#This Row],[Order_Date]])</f>
        <v>3</v>
      </c>
    </row>
    <row r="290" spans="1:18" x14ac:dyDescent="0.35">
      <c r="A290" t="s">
        <v>662</v>
      </c>
      <c r="B290" t="s">
        <v>305</v>
      </c>
      <c r="C290" t="s">
        <v>463</v>
      </c>
      <c r="D290" t="s">
        <v>16</v>
      </c>
      <c r="E290" t="s">
        <v>89</v>
      </c>
      <c r="F290" t="s">
        <v>18</v>
      </c>
      <c r="G290" t="s">
        <v>59</v>
      </c>
      <c r="H290">
        <v>185</v>
      </c>
      <c r="I290">
        <v>40</v>
      </c>
      <c r="J290">
        <v>0</v>
      </c>
      <c r="K290" t="s">
        <v>29</v>
      </c>
      <c r="L290">
        <v>30</v>
      </c>
      <c r="M290" t="s">
        <v>21</v>
      </c>
      <c r="N290">
        <f>COUNTIF(order_data[Order_ID],order_data[[#This Row],[Order_ID]])</f>
        <v>1</v>
      </c>
      <c r="O290">
        <f>order_data[[#This Row],[Order_Value]]-order_data[[#This Row],[Discount]]</f>
        <v>185</v>
      </c>
      <c r="P290">
        <f>order_data[[#This Row],[Order_Value]]+order_data[[#This Row],[Delivery_Fee]]-order_data[[#This Row],[Discount]]</f>
        <v>225</v>
      </c>
      <c r="Q290" t="str">
        <f>TEXT(order_data[[#This Row],[Order_Date]],"mmm")</f>
        <v>Jan</v>
      </c>
      <c r="R290">
        <f>MONTH(order_data[[#This Row],[Order_Date]])</f>
        <v>1</v>
      </c>
    </row>
    <row r="291" spans="1:18" x14ac:dyDescent="0.35">
      <c r="A291" t="s">
        <v>663</v>
      </c>
      <c r="B291" t="s">
        <v>87</v>
      </c>
      <c r="C291" t="s">
        <v>664</v>
      </c>
      <c r="D291" t="s">
        <v>16</v>
      </c>
      <c r="E291" t="s">
        <v>89</v>
      </c>
      <c r="F291" t="s">
        <v>18</v>
      </c>
      <c r="G291" t="s">
        <v>19</v>
      </c>
      <c r="H291">
        <v>791</v>
      </c>
      <c r="I291">
        <v>30</v>
      </c>
      <c r="J291">
        <v>30</v>
      </c>
      <c r="K291" t="s">
        <v>29</v>
      </c>
      <c r="L291">
        <v>43</v>
      </c>
      <c r="M291" t="s">
        <v>21</v>
      </c>
      <c r="N291">
        <f>COUNTIF(order_data[Order_ID],order_data[[#This Row],[Order_ID]])</f>
        <v>1</v>
      </c>
      <c r="O291">
        <f>order_data[[#This Row],[Order_Value]]-order_data[[#This Row],[Discount]]</f>
        <v>761</v>
      </c>
      <c r="P291">
        <f>order_data[[#This Row],[Order_Value]]+order_data[[#This Row],[Delivery_Fee]]-order_data[[#This Row],[Discount]]</f>
        <v>791</v>
      </c>
      <c r="Q291" t="str">
        <f>TEXT(order_data[[#This Row],[Order_Date]],"mmm")</f>
        <v>Jan</v>
      </c>
      <c r="R291">
        <f>MONTH(order_data[[#This Row],[Order_Date]])</f>
        <v>1</v>
      </c>
    </row>
    <row r="292" spans="1:18" x14ac:dyDescent="0.35">
      <c r="A292" t="s">
        <v>665</v>
      </c>
      <c r="B292" t="s">
        <v>105</v>
      </c>
      <c r="C292" t="s">
        <v>134</v>
      </c>
      <c r="D292" t="s">
        <v>16</v>
      </c>
      <c r="E292" t="s">
        <v>17</v>
      </c>
      <c r="F292" t="s">
        <v>18</v>
      </c>
      <c r="G292" t="s">
        <v>42</v>
      </c>
      <c r="H292">
        <v>766</v>
      </c>
      <c r="I292">
        <v>50</v>
      </c>
      <c r="J292">
        <v>0</v>
      </c>
      <c r="K292" t="s">
        <v>36</v>
      </c>
      <c r="L292">
        <v>51</v>
      </c>
      <c r="M292" t="s">
        <v>21</v>
      </c>
      <c r="N292">
        <f>COUNTIF(order_data[Order_ID],order_data[[#This Row],[Order_ID]])</f>
        <v>1</v>
      </c>
      <c r="O292">
        <f>order_data[[#This Row],[Order_Value]]-order_data[[#This Row],[Discount]]</f>
        <v>766</v>
      </c>
      <c r="P292">
        <f>order_data[[#This Row],[Order_Value]]+order_data[[#This Row],[Delivery_Fee]]-order_data[[#This Row],[Discount]]</f>
        <v>816</v>
      </c>
      <c r="Q292" t="str">
        <f>TEXT(order_data[[#This Row],[Order_Date]],"mmm")</f>
        <v>Mar</v>
      </c>
      <c r="R292">
        <f>MONTH(order_data[[#This Row],[Order_Date]])</f>
        <v>3</v>
      </c>
    </row>
    <row r="293" spans="1:18" x14ac:dyDescent="0.35">
      <c r="A293" t="s">
        <v>666</v>
      </c>
      <c r="B293" t="s">
        <v>241</v>
      </c>
      <c r="C293" t="s">
        <v>172</v>
      </c>
      <c r="D293" t="s">
        <v>53</v>
      </c>
      <c r="E293" t="s">
        <v>84</v>
      </c>
      <c r="F293" t="s">
        <v>85</v>
      </c>
      <c r="G293" t="s">
        <v>42</v>
      </c>
      <c r="H293">
        <v>572</v>
      </c>
      <c r="I293">
        <v>50</v>
      </c>
      <c r="J293">
        <v>0</v>
      </c>
      <c r="K293" t="s">
        <v>29</v>
      </c>
      <c r="L293">
        <v>29</v>
      </c>
      <c r="M293" t="s">
        <v>21</v>
      </c>
      <c r="N293">
        <f>COUNTIF(order_data[Order_ID],order_data[[#This Row],[Order_ID]])</f>
        <v>1</v>
      </c>
      <c r="O293">
        <f>order_data[[#This Row],[Order_Value]]-order_data[[#This Row],[Discount]]</f>
        <v>572</v>
      </c>
      <c r="P293">
        <f>order_data[[#This Row],[Order_Value]]+order_data[[#This Row],[Delivery_Fee]]-order_data[[#This Row],[Discount]]</f>
        <v>622</v>
      </c>
      <c r="Q293" t="str">
        <f>TEXT(order_data[[#This Row],[Order_Date]],"mmm")</f>
        <v>Mar</v>
      </c>
      <c r="R293">
        <f>MONTH(order_data[[#This Row],[Order_Date]])</f>
        <v>3</v>
      </c>
    </row>
    <row r="294" spans="1:18" x14ac:dyDescent="0.35">
      <c r="A294" t="s">
        <v>667</v>
      </c>
      <c r="B294" t="s">
        <v>121</v>
      </c>
      <c r="C294" t="s">
        <v>668</v>
      </c>
      <c r="D294" t="s">
        <v>40</v>
      </c>
      <c r="E294" t="s">
        <v>41</v>
      </c>
      <c r="F294" t="s">
        <v>27</v>
      </c>
      <c r="G294" t="s">
        <v>35</v>
      </c>
      <c r="H294">
        <v>277</v>
      </c>
      <c r="I294">
        <v>20</v>
      </c>
      <c r="J294">
        <v>50</v>
      </c>
      <c r="K294" t="s">
        <v>20</v>
      </c>
      <c r="L294">
        <v>21</v>
      </c>
      <c r="M294" t="s">
        <v>21</v>
      </c>
      <c r="N294">
        <f>COUNTIF(order_data[Order_ID],order_data[[#This Row],[Order_ID]])</f>
        <v>1</v>
      </c>
      <c r="O294">
        <f>order_data[[#This Row],[Order_Value]]-order_data[[#This Row],[Discount]]</f>
        <v>227</v>
      </c>
      <c r="P294">
        <f>order_data[[#This Row],[Order_Value]]+order_data[[#This Row],[Delivery_Fee]]-order_data[[#This Row],[Discount]]</f>
        <v>247</v>
      </c>
      <c r="Q294" t="str">
        <f>TEXT(order_data[[#This Row],[Order_Date]],"mmm")</f>
        <v>Feb</v>
      </c>
      <c r="R294">
        <f>MONTH(order_data[[#This Row],[Order_Date]])</f>
        <v>2</v>
      </c>
    </row>
    <row r="295" spans="1:18" x14ac:dyDescent="0.35">
      <c r="A295" t="s">
        <v>669</v>
      </c>
      <c r="B295" t="s">
        <v>91</v>
      </c>
      <c r="C295" t="s">
        <v>670</v>
      </c>
      <c r="D295" t="s">
        <v>46</v>
      </c>
      <c r="E295" t="s">
        <v>148</v>
      </c>
      <c r="F295" t="s">
        <v>27</v>
      </c>
      <c r="G295" t="s">
        <v>74</v>
      </c>
      <c r="H295">
        <v>402</v>
      </c>
      <c r="I295">
        <v>20</v>
      </c>
      <c r="J295">
        <v>100</v>
      </c>
      <c r="K295" t="s">
        <v>20</v>
      </c>
      <c r="L295">
        <v>29</v>
      </c>
      <c r="M295" t="s">
        <v>30</v>
      </c>
      <c r="N295">
        <f>COUNTIF(order_data[Order_ID],order_data[[#This Row],[Order_ID]])</f>
        <v>1</v>
      </c>
      <c r="O295">
        <f>order_data[[#This Row],[Order_Value]]-order_data[[#This Row],[Discount]]</f>
        <v>302</v>
      </c>
      <c r="P295">
        <f>order_data[[#This Row],[Order_Value]]+order_data[[#This Row],[Delivery_Fee]]-order_data[[#This Row],[Discount]]</f>
        <v>322</v>
      </c>
      <c r="Q295" t="str">
        <f>TEXT(order_data[[#This Row],[Order_Date]],"mmm")</f>
        <v>Mar</v>
      </c>
      <c r="R295">
        <f>MONTH(order_data[[#This Row],[Order_Date]])</f>
        <v>3</v>
      </c>
    </row>
    <row r="296" spans="1:18" x14ac:dyDescent="0.35">
      <c r="A296" t="s">
        <v>671</v>
      </c>
      <c r="B296" t="s">
        <v>398</v>
      </c>
      <c r="C296" t="s">
        <v>672</v>
      </c>
      <c r="D296" t="s">
        <v>25</v>
      </c>
      <c r="E296" t="s">
        <v>34</v>
      </c>
      <c r="F296" t="s">
        <v>27</v>
      </c>
      <c r="G296" t="s">
        <v>42</v>
      </c>
      <c r="H296">
        <v>403</v>
      </c>
      <c r="I296">
        <v>50</v>
      </c>
      <c r="J296">
        <v>100</v>
      </c>
      <c r="K296" t="s">
        <v>29</v>
      </c>
      <c r="L296">
        <v>23</v>
      </c>
      <c r="M296" t="s">
        <v>21</v>
      </c>
      <c r="N296">
        <f>COUNTIF(order_data[Order_ID],order_data[[#This Row],[Order_ID]])</f>
        <v>1</v>
      </c>
      <c r="O296">
        <f>order_data[[#This Row],[Order_Value]]-order_data[[#This Row],[Discount]]</f>
        <v>303</v>
      </c>
      <c r="P296">
        <f>order_data[[#This Row],[Order_Value]]+order_data[[#This Row],[Delivery_Fee]]-order_data[[#This Row],[Discount]]</f>
        <v>353</v>
      </c>
      <c r="Q296" t="str">
        <f>TEXT(order_data[[#This Row],[Order_Date]],"mmm")</f>
        <v>Feb</v>
      </c>
      <c r="R296">
        <f>MONTH(order_data[[#This Row],[Order_Date]])</f>
        <v>2</v>
      </c>
    </row>
    <row r="297" spans="1:18" x14ac:dyDescent="0.35">
      <c r="A297" t="s">
        <v>673</v>
      </c>
      <c r="B297" t="s">
        <v>129</v>
      </c>
      <c r="C297" t="s">
        <v>452</v>
      </c>
      <c r="D297" t="s">
        <v>25</v>
      </c>
      <c r="E297" t="s">
        <v>78</v>
      </c>
      <c r="F297" t="s">
        <v>48</v>
      </c>
      <c r="G297" t="s">
        <v>49</v>
      </c>
      <c r="H297">
        <v>462</v>
      </c>
      <c r="I297">
        <v>30</v>
      </c>
      <c r="J297">
        <v>100</v>
      </c>
      <c r="K297" t="s">
        <v>36</v>
      </c>
      <c r="L297">
        <v>25</v>
      </c>
      <c r="M297" t="s">
        <v>21</v>
      </c>
      <c r="N297">
        <f>COUNTIF(order_data[Order_ID],order_data[[#This Row],[Order_ID]])</f>
        <v>1</v>
      </c>
      <c r="O297">
        <f>order_data[[#This Row],[Order_Value]]-order_data[[#This Row],[Discount]]</f>
        <v>362</v>
      </c>
      <c r="P297">
        <f>order_data[[#This Row],[Order_Value]]+order_data[[#This Row],[Delivery_Fee]]-order_data[[#This Row],[Discount]]</f>
        <v>392</v>
      </c>
      <c r="Q297" t="str">
        <f>TEXT(order_data[[#This Row],[Order_Date]],"mmm")</f>
        <v>Feb</v>
      </c>
      <c r="R297">
        <f>MONTH(order_data[[#This Row],[Order_Date]])</f>
        <v>2</v>
      </c>
    </row>
    <row r="298" spans="1:18" x14ac:dyDescent="0.35">
      <c r="A298" t="s">
        <v>674</v>
      </c>
      <c r="B298" t="s">
        <v>393</v>
      </c>
      <c r="C298" t="s">
        <v>675</v>
      </c>
      <c r="D298" t="s">
        <v>53</v>
      </c>
      <c r="E298" t="s">
        <v>152</v>
      </c>
      <c r="F298" t="s">
        <v>18</v>
      </c>
      <c r="G298" t="s">
        <v>28</v>
      </c>
      <c r="H298">
        <v>490</v>
      </c>
      <c r="I298">
        <v>20</v>
      </c>
      <c r="J298">
        <v>20</v>
      </c>
      <c r="K298" t="s">
        <v>20</v>
      </c>
      <c r="L298">
        <v>58</v>
      </c>
      <c r="M298" t="s">
        <v>21</v>
      </c>
      <c r="N298">
        <f>COUNTIF(order_data[Order_ID],order_data[[#This Row],[Order_ID]])</f>
        <v>1</v>
      </c>
      <c r="O298">
        <f>order_data[[#This Row],[Order_Value]]-order_data[[#This Row],[Discount]]</f>
        <v>470</v>
      </c>
      <c r="P298">
        <f>order_data[[#This Row],[Order_Value]]+order_data[[#This Row],[Delivery_Fee]]-order_data[[#This Row],[Discount]]</f>
        <v>490</v>
      </c>
      <c r="Q298" t="str">
        <f>TEXT(order_data[[#This Row],[Order_Date]],"mmm")</f>
        <v>Feb</v>
      </c>
      <c r="R298">
        <f>MONTH(order_data[[#This Row],[Order_Date]])</f>
        <v>2</v>
      </c>
    </row>
    <row r="299" spans="1:18" x14ac:dyDescent="0.35">
      <c r="A299" t="s">
        <v>676</v>
      </c>
      <c r="B299" t="s">
        <v>568</v>
      </c>
      <c r="C299" t="s">
        <v>403</v>
      </c>
      <c r="D299" t="s">
        <v>25</v>
      </c>
      <c r="E299" t="s">
        <v>26</v>
      </c>
      <c r="F299" t="s">
        <v>27</v>
      </c>
      <c r="G299" t="s">
        <v>42</v>
      </c>
      <c r="H299">
        <v>571</v>
      </c>
      <c r="I299">
        <v>20</v>
      </c>
      <c r="J299">
        <v>20</v>
      </c>
      <c r="K299" t="s">
        <v>20</v>
      </c>
      <c r="L299">
        <v>55</v>
      </c>
      <c r="M299" t="s">
        <v>21</v>
      </c>
      <c r="N299">
        <f>COUNTIF(order_data[Order_ID],order_data[[#This Row],[Order_ID]])</f>
        <v>1</v>
      </c>
      <c r="O299">
        <f>order_data[[#This Row],[Order_Value]]-order_data[[#This Row],[Discount]]</f>
        <v>551</v>
      </c>
      <c r="P299">
        <f>order_data[[#This Row],[Order_Value]]+order_data[[#This Row],[Delivery_Fee]]-order_data[[#This Row],[Discount]]</f>
        <v>571</v>
      </c>
      <c r="Q299" t="str">
        <f>TEXT(order_data[[#This Row],[Order_Date]],"mmm")</f>
        <v>Mar</v>
      </c>
      <c r="R299">
        <f>MONTH(order_data[[#This Row],[Order_Date]])</f>
        <v>3</v>
      </c>
    </row>
    <row r="300" spans="1:18" x14ac:dyDescent="0.35">
      <c r="A300" t="s">
        <v>677</v>
      </c>
      <c r="B300" t="s">
        <v>205</v>
      </c>
      <c r="C300" t="s">
        <v>489</v>
      </c>
      <c r="D300" t="s">
        <v>25</v>
      </c>
      <c r="E300" t="s">
        <v>34</v>
      </c>
      <c r="F300" t="s">
        <v>27</v>
      </c>
      <c r="G300" t="s">
        <v>63</v>
      </c>
      <c r="H300">
        <v>440</v>
      </c>
      <c r="I300">
        <v>50</v>
      </c>
      <c r="J300">
        <v>20</v>
      </c>
      <c r="K300" t="s">
        <v>36</v>
      </c>
      <c r="L300">
        <v>37</v>
      </c>
      <c r="M300" t="s">
        <v>21</v>
      </c>
      <c r="N300">
        <f>COUNTIF(order_data[Order_ID],order_data[[#This Row],[Order_ID]])</f>
        <v>1</v>
      </c>
      <c r="O300">
        <f>order_data[[#This Row],[Order_Value]]-order_data[[#This Row],[Discount]]</f>
        <v>420</v>
      </c>
      <c r="P300">
        <f>order_data[[#This Row],[Order_Value]]+order_data[[#This Row],[Delivery_Fee]]-order_data[[#This Row],[Discount]]</f>
        <v>470</v>
      </c>
      <c r="Q300" t="str">
        <f>TEXT(order_data[[#This Row],[Order_Date]],"mmm")</f>
        <v>Jan</v>
      </c>
      <c r="R300">
        <f>MONTH(order_data[[#This Row],[Order_Date]])</f>
        <v>1</v>
      </c>
    </row>
    <row r="301" spans="1:18" x14ac:dyDescent="0.35">
      <c r="A301" t="s">
        <v>678</v>
      </c>
      <c r="B301" t="s">
        <v>513</v>
      </c>
      <c r="C301" t="s">
        <v>679</v>
      </c>
      <c r="D301" t="s">
        <v>53</v>
      </c>
      <c r="E301" t="s">
        <v>84</v>
      </c>
      <c r="F301" t="s">
        <v>85</v>
      </c>
      <c r="G301" t="s">
        <v>28</v>
      </c>
      <c r="H301">
        <v>531</v>
      </c>
      <c r="I301">
        <v>50</v>
      </c>
      <c r="J301">
        <v>0</v>
      </c>
      <c r="K301" t="s">
        <v>29</v>
      </c>
      <c r="L301">
        <v>46</v>
      </c>
      <c r="M301" t="s">
        <v>21</v>
      </c>
      <c r="N301">
        <f>COUNTIF(order_data[Order_ID],order_data[[#This Row],[Order_ID]])</f>
        <v>1</v>
      </c>
      <c r="O301">
        <f>order_data[[#This Row],[Order_Value]]-order_data[[#This Row],[Discount]]</f>
        <v>531</v>
      </c>
      <c r="P301">
        <f>order_data[[#This Row],[Order_Value]]+order_data[[#This Row],[Delivery_Fee]]-order_data[[#This Row],[Discount]]</f>
        <v>581</v>
      </c>
      <c r="Q301" t="str">
        <f>TEXT(order_data[[#This Row],[Order_Date]],"mmm")</f>
        <v>Feb</v>
      </c>
      <c r="R301">
        <f>MONTH(order_data[[#This Row],[Order_Date]])</f>
        <v>2</v>
      </c>
    </row>
    <row r="302" spans="1:18" x14ac:dyDescent="0.35">
      <c r="A302" t="s">
        <v>680</v>
      </c>
      <c r="B302" t="s">
        <v>14</v>
      </c>
      <c r="C302" t="s">
        <v>604</v>
      </c>
      <c r="D302" t="s">
        <v>25</v>
      </c>
      <c r="E302" t="s">
        <v>34</v>
      </c>
      <c r="F302" t="s">
        <v>27</v>
      </c>
      <c r="G302" t="s">
        <v>107</v>
      </c>
      <c r="H302">
        <v>719</v>
      </c>
      <c r="I302">
        <v>30</v>
      </c>
      <c r="J302">
        <v>50</v>
      </c>
      <c r="K302" t="s">
        <v>29</v>
      </c>
      <c r="L302">
        <v>23</v>
      </c>
      <c r="M302" t="s">
        <v>21</v>
      </c>
      <c r="N302">
        <f>COUNTIF(order_data[Order_ID],order_data[[#This Row],[Order_ID]])</f>
        <v>1</v>
      </c>
      <c r="O302">
        <f>order_data[[#This Row],[Order_Value]]-order_data[[#This Row],[Discount]]</f>
        <v>669</v>
      </c>
      <c r="P302">
        <f>order_data[[#This Row],[Order_Value]]+order_data[[#This Row],[Delivery_Fee]]-order_data[[#This Row],[Discount]]</f>
        <v>699</v>
      </c>
      <c r="Q302" t="str">
        <f>TEXT(order_data[[#This Row],[Order_Date]],"mmm")</f>
        <v>Mar</v>
      </c>
      <c r="R302">
        <f>MONTH(order_data[[#This Row],[Order_Date]])</f>
        <v>3</v>
      </c>
    </row>
    <row r="303" spans="1:18" x14ac:dyDescent="0.35">
      <c r="A303" t="s">
        <v>681</v>
      </c>
      <c r="B303" t="s">
        <v>513</v>
      </c>
      <c r="C303" t="s">
        <v>682</v>
      </c>
      <c r="D303" t="s">
        <v>46</v>
      </c>
      <c r="E303" t="s">
        <v>47</v>
      </c>
      <c r="F303" t="s">
        <v>48</v>
      </c>
      <c r="G303" t="s">
        <v>35</v>
      </c>
      <c r="H303">
        <v>470</v>
      </c>
      <c r="I303">
        <v>30</v>
      </c>
      <c r="J303">
        <v>50</v>
      </c>
      <c r="K303" t="s">
        <v>20</v>
      </c>
      <c r="L303">
        <v>45</v>
      </c>
      <c r="M303" t="s">
        <v>21</v>
      </c>
      <c r="N303">
        <f>COUNTIF(order_data[Order_ID],order_data[[#This Row],[Order_ID]])</f>
        <v>1</v>
      </c>
      <c r="O303">
        <f>order_data[[#This Row],[Order_Value]]-order_data[[#This Row],[Discount]]</f>
        <v>420</v>
      </c>
      <c r="P303">
        <f>order_data[[#This Row],[Order_Value]]+order_data[[#This Row],[Delivery_Fee]]-order_data[[#This Row],[Discount]]</f>
        <v>450</v>
      </c>
      <c r="Q303" t="str">
        <f>TEXT(order_data[[#This Row],[Order_Date]],"mmm")</f>
        <v>Feb</v>
      </c>
      <c r="R303">
        <f>MONTH(order_data[[#This Row],[Order_Date]])</f>
        <v>2</v>
      </c>
    </row>
    <row r="304" spans="1:18" x14ac:dyDescent="0.35">
      <c r="A304" t="s">
        <v>683</v>
      </c>
      <c r="B304" t="s">
        <v>416</v>
      </c>
      <c r="C304" t="s">
        <v>684</v>
      </c>
      <c r="D304" t="s">
        <v>53</v>
      </c>
      <c r="E304" t="s">
        <v>54</v>
      </c>
      <c r="F304" t="s">
        <v>55</v>
      </c>
      <c r="G304" t="s">
        <v>59</v>
      </c>
      <c r="H304">
        <v>343</v>
      </c>
      <c r="I304">
        <v>50</v>
      </c>
      <c r="J304">
        <v>50</v>
      </c>
      <c r="K304" t="s">
        <v>20</v>
      </c>
      <c r="L304">
        <v>26</v>
      </c>
      <c r="M304" t="s">
        <v>21</v>
      </c>
      <c r="N304">
        <f>COUNTIF(order_data[Order_ID],order_data[[#This Row],[Order_ID]])</f>
        <v>1</v>
      </c>
      <c r="O304">
        <f>order_data[[#This Row],[Order_Value]]-order_data[[#This Row],[Discount]]</f>
        <v>293</v>
      </c>
      <c r="P304">
        <f>order_data[[#This Row],[Order_Value]]+order_data[[#This Row],[Delivery_Fee]]-order_data[[#This Row],[Discount]]</f>
        <v>343</v>
      </c>
      <c r="Q304" t="str">
        <f>TEXT(order_data[[#This Row],[Order_Date]],"mmm")</f>
        <v>Mar</v>
      </c>
      <c r="R304">
        <f>MONTH(order_data[[#This Row],[Order_Date]])</f>
        <v>3</v>
      </c>
    </row>
    <row r="305" spans="1:18" x14ac:dyDescent="0.35">
      <c r="A305" t="s">
        <v>685</v>
      </c>
      <c r="B305" t="s">
        <v>199</v>
      </c>
      <c r="C305" t="s">
        <v>686</v>
      </c>
      <c r="D305" t="s">
        <v>16</v>
      </c>
      <c r="E305" t="s">
        <v>131</v>
      </c>
      <c r="F305" t="s">
        <v>55</v>
      </c>
      <c r="G305" t="s">
        <v>59</v>
      </c>
      <c r="H305">
        <v>543</v>
      </c>
      <c r="I305">
        <v>40</v>
      </c>
      <c r="J305">
        <v>100</v>
      </c>
      <c r="K305" t="s">
        <v>20</v>
      </c>
      <c r="L305">
        <v>32</v>
      </c>
      <c r="M305" t="s">
        <v>21</v>
      </c>
      <c r="N305">
        <f>COUNTIF(order_data[Order_ID],order_data[[#This Row],[Order_ID]])</f>
        <v>1</v>
      </c>
      <c r="O305">
        <f>order_data[[#This Row],[Order_Value]]-order_data[[#This Row],[Discount]]</f>
        <v>443</v>
      </c>
      <c r="P305">
        <f>order_data[[#This Row],[Order_Value]]+order_data[[#This Row],[Delivery_Fee]]-order_data[[#This Row],[Discount]]</f>
        <v>483</v>
      </c>
      <c r="Q305" t="str">
        <f>TEXT(order_data[[#This Row],[Order_Date]],"mmm")</f>
        <v>Jan</v>
      </c>
      <c r="R305">
        <f>MONTH(order_data[[#This Row],[Order_Date]])</f>
        <v>1</v>
      </c>
    </row>
    <row r="306" spans="1:18" x14ac:dyDescent="0.35">
      <c r="A306" t="s">
        <v>687</v>
      </c>
      <c r="B306" t="s">
        <v>205</v>
      </c>
      <c r="C306" t="s">
        <v>688</v>
      </c>
      <c r="D306" t="s">
        <v>40</v>
      </c>
      <c r="E306" t="s">
        <v>111</v>
      </c>
      <c r="F306" t="s">
        <v>18</v>
      </c>
      <c r="G306" t="s">
        <v>42</v>
      </c>
      <c r="H306">
        <v>705</v>
      </c>
      <c r="I306">
        <v>20</v>
      </c>
      <c r="J306">
        <v>0</v>
      </c>
      <c r="K306" t="s">
        <v>20</v>
      </c>
      <c r="L306">
        <v>58</v>
      </c>
      <c r="M306" t="s">
        <v>21</v>
      </c>
      <c r="N306">
        <f>COUNTIF(order_data[Order_ID],order_data[[#This Row],[Order_ID]])</f>
        <v>1</v>
      </c>
      <c r="O306">
        <f>order_data[[#This Row],[Order_Value]]-order_data[[#This Row],[Discount]]</f>
        <v>705</v>
      </c>
      <c r="P306">
        <f>order_data[[#This Row],[Order_Value]]+order_data[[#This Row],[Delivery_Fee]]-order_data[[#This Row],[Discount]]</f>
        <v>725</v>
      </c>
      <c r="Q306" t="str">
        <f>TEXT(order_data[[#This Row],[Order_Date]],"mmm")</f>
        <v>Jan</v>
      </c>
      <c r="R306">
        <f>MONTH(order_data[[#This Row],[Order_Date]])</f>
        <v>1</v>
      </c>
    </row>
    <row r="307" spans="1:18" x14ac:dyDescent="0.35">
      <c r="A307" t="s">
        <v>689</v>
      </c>
      <c r="B307" t="s">
        <v>583</v>
      </c>
      <c r="C307" t="s">
        <v>690</v>
      </c>
      <c r="D307" t="s">
        <v>53</v>
      </c>
      <c r="E307" t="s">
        <v>84</v>
      </c>
      <c r="F307" t="s">
        <v>85</v>
      </c>
      <c r="G307" t="s">
        <v>19</v>
      </c>
      <c r="H307">
        <v>340</v>
      </c>
      <c r="I307">
        <v>30</v>
      </c>
      <c r="J307">
        <v>100</v>
      </c>
      <c r="K307" t="s">
        <v>36</v>
      </c>
      <c r="L307">
        <v>25</v>
      </c>
      <c r="M307" t="s">
        <v>21</v>
      </c>
      <c r="N307">
        <f>COUNTIF(order_data[Order_ID],order_data[[#This Row],[Order_ID]])</f>
        <v>1</v>
      </c>
      <c r="O307">
        <f>order_data[[#This Row],[Order_Value]]-order_data[[#This Row],[Discount]]</f>
        <v>240</v>
      </c>
      <c r="P307">
        <f>order_data[[#This Row],[Order_Value]]+order_data[[#This Row],[Delivery_Fee]]-order_data[[#This Row],[Discount]]</f>
        <v>270</v>
      </c>
      <c r="Q307" t="str">
        <f>TEXT(order_data[[#This Row],[Order_Date]],"mmm")</f>
        <v>Jan</v>
      </c>
      <c r="R307">
        <f>MONTH(order_data[[#This Row],[Order_Date]])</f>
        <v>1</v>
      </c>
    </row>
    <row r="308" spans="1:18" x14ac:dyDescent="0.35">
      <c r="A308" t="s">
        <v>691</v>
      </c>
      <c r="B308" t="s">
        <v>657</v>
      </c>
      <c r="C308" t="s">
        <v>692</v>
      </c>
      <c r="D308" t="s">
        <v>16</v>
      </c>
      <c r="E308" t="s">
        <v>17</v>
      </c>
      <c r="F308" t="s">
        <v>18</v>
      </c>
      <c r="G308" t="s">
        <v>35</v>
      </c>
      <c r="H308">
        <v>786</v>
      </c>
      <c r="I308">
        <v>20</v>
      </c>
      <c r="J308">
        <v>20</v>
      </c>
      <c r="K308" t="s">
        <v>20</v>
      </c>
      <c r="L308">
        <v>57</v>
      </c>
      <c r="M308" t="s">
        <v>21</v>
      </c>
      <c r="N308">
        <f>COUNTIF(order_data[Order_ID],order_data[[#This Row],[Order_ID]])</f>
        <v>1</v>
      </c>
      <c r="O308">
        <f>order_data[[#This Row],[Order_Value]]-order_data[[#This Row],[Discount]]</f>
        <v>766</v>
      </c>
      <c r="P308">
        <f>order_data[[#This Row],[Order_Value]]+order_data[[#This Row],[Delivery_Fee]]-order_data[[#This Row],[Discount]]</f>
        <v>786</v>
      </c>
      <c r="Q308" t="str">
        <f>TEXT(order_data[[#This Row],[Order_Date]],"mmm")</f>
        <v>Jan</v>
      </c>
      <c r="R308">
        <f>MONTH(order_data[[#This Row],[Order_Date]])</f>
        <v>1</v>
      </c>
    </row>
    <row r="309" spans="1:18" x14ac:dyDescent="0.35">
      <c r="A309" t="s">
        <v>693</v>
      </c>
      <c r="B309" t="s">
        <v>449</v>
      </c>
      <c r="C309" t="s">
        <v>694</v>
      </c>
      <c r="D309" t="s">
        <v>46</v>
      </c>
      <c r="E309" t="s">
        <v>70</v>
      </c>
      <c r="F309" t="s">
        <v>18</v>
      </c>
      <c r="G309" t="s">
        <v>107</v>
      </c>
      <c r="H309">
        <v>483</v>
      </c>
      <c r="I309">
        <v>20</v>
      </c>
      <c r="J309">
        <v>50</v>
      </c>
      <c r="K309" t="s">
        <v>36</v>
      </c>
      <c r="L309">
        <v>40</v>
      </c>
      <c r="M309" t="s">
        <v>21</v>
      </c>
      <c r="N309">
        <f>COUNTIF(order_data[Order_ID],order_data[[#This Row],[Order_ID]])</f>
        <v>1</v>
      </c>
      <c r="O309">
        <f>order_data[[#This Row],[Order_Value]]-order_data[[#This Row],[Discount]]</f>
        <v>433</v>
      </c>
      <c r="P309">
        <f>order_data[[#This Row],[Order_Value]]+order_data[[#This Row],[Delivery_Fee]]-order_data[[#This Row],[Discount]]</f>
        <v>453</v>
      </c>
      <c r="Q309" t="str">
        <f>TEXT(order_data[[#This Row],[Order_Date]],"mmm")</f>
        <v>Mar</v>
      </c>
      <c r="R309">
        <f>MONTH(order_data[[#This Row],[Order_Date]])</f>
        <v>3</v>
      </c>
    </row>
    <row r="310" spans="1:18" x14ac:dyDescent="0.35">
      <c r="A310" t="s">
        <v>695</v>
      </c>
      <c r="B310" t="s">
        <v>295</v>
      </c>
      <c r="C310" t="s">
        <v>696</v>
      </c>
      <c r="D310" t="s">
        <v>25</v>
      </c>
      <c r="E310" t="s">
        <v>34</v>
      </c>
      <c r="F310" t="s">
        <v>27</v>
      </c>
      <c r="G310" t="s">
        <v>107</v>
      </c>
      <c r="H310">
        <v>351</v>
      </c>
      <c r="I310">
        <v>20</v>
      </c>
      <c r="J310">
        <v>0</v>
      </c>
      <c r="K310" t="s">
        <v>36</v>
      </c>
      <c r="L310">
        <v>50</v>
      </c>
      <c r="M310" t="s">
        <v>21</v>
      </c>
      <c r="N310">
        <f>COUNTIF(order_data[Order_ID],order_data[[#This Row],[Order_ID]])</f>
        <v>1</v>
      </c>
      <c r="O310">
        <f>order_data[[#This Row],[Order_Value]]-order_data[[#This Row],[Discount]]</f>
        <v>351</v>
      </c>
      <c r="P310">
        <f>order_data[[#This Row],[Order_Value]]+order_data[[#This Row],[Delivery_Fee]]-order_data[[#This Row],[Discount]]</f>
        <v>371</v>
      </c>
      <c r="Q310" t="str">
        <f>TEXT(order_data[[#This Row],[Order_Date]],"mmm")</f>
        <v>Jan</v>
      </c>
      <c r="R310">
        <f>MONTH(order_data[[#This Row],[Order_Date]])</f>
        <v>1</v>
      </c>
    </row>
    <row r="311" spans="1:18" x14ac:dyDescent="0.35">
      <c r="A311" t="s">
        <v>697</v>
      </c>
      <c r="B311" t="s">
        <v>513</v>
      </c>
      <c r="C311" t="s">
        <v>698</v>
      </c>
      <c r="D311" t="s">
        <v>40</v>
      </c>
      <c r="E311" t="s">
        <v>41</v>
      </c>
      <c r="F311" t="s">
        <v>27</v>
      </c>
      <c r="G311" t="s">
        <v>42</v>
      </c>
      <c r="H311">
        <v>710</v>
      </c>
      <c r="I311">
        <v>50</v>
      </c>
      <c r="J311">
        <v>100</v>
      </c>
      <c r="K311" t="s">
        <v>29</v>
      </c>
      <c r="L311">
        <v>28</v>
      </c>
      <c r="M311" t="s">
        <v>21</v>
      </c>
      <c r="N311">
        <f>COUNTIF(order_data[Order_ID],order_data[[#This Row],[Order_ID]])</f>
        <v>1</v>
      </c>
      <c r="O311">
        <f>order_data[[#This Row],[Order_Value]]-order_data[[#This Row],[Discount]]</f>
        <v>610</v>
      </c>
      <c r="P311">
        <f>order_data[[#This Row],[Order_Value]]+order_data[[#This Row],[Delivery_Fee]]-order_data[[#This Row],[Discount]]</f>
        <v>660</v>
      </c>
      <c r="Q311" t="str">
        <f>TEXT(order_data[[#This Row],[Order_Date]],"mmm")</f>
        <v>Feb</v>
      </c>
      <c r="R311">
        <f>MONTH(order_data[[#This Row],[Order_Date]])</f>
        <v>2</v>
      </c>
    </row>
    <row r="312" spans="1:18" x14ac:dyDescent="0.35">
      <c r="A312" t="s">
        <v>699</v>
      </c>
      <c r="B312" t="s">
        <v>167</v>
      </c>
      <c r="C312" t="s">
        <v>700</v>
      </c>
      <c r="D312" t="s">
        <v>40</v>
      </c>
      <c r="E312" t="s">
        <v>111</v>
      </c>
      <c r="F312" t="s">
        <v>18</v>
      </c>
      <c r="G312" t="s">
        <v>63</v>
      </c>
      <c r="H312">
        <v>734</v>
      </c>
      <c r="I312">
        <v>50</v>
      </c>
      <c r="J312">
        <v>30</v>
      </c>
      <c r="K312" t="s">
        <v>36</v>
      </c>
      <c r="L312">
        <v>50</v>
      </c>
      <c r="M312" t="s">
        <v>21</v>
      </c>
      <c r="N312">
        <f>COUNTIF(order_data[Order_ID],order_data[[#This Row],[Order_ID]])</f>
        <v>1</v>
      </c>
      <c r="O312">
        <f>order_data[[#This Row],[Order_Value]]-order_data[[#This Row],[Discount]]</f>
        <v>704</v>
      </c>
      <c r="P312">
        <f>order_data[[#This Row],[Order_Value]]+order_data[[#This Row],[Delivery_Fee]]-order_data[[#This Row],[Discount]]</f>
        <v>754</v>
      </c>
      <c r="Q312" t="str">
        <f>TEXT(order_data[[#This Row],[Order_Date]],"mmm")</f>
        <v>Feb</v>
      </c>
      <c r="R312">
        <f>MONTH(order_data[[#This Row],[Order_Date]])</f>
        <v>2</v>
      </c>
    </row>
    <row r="313" spans="1:18" x14ac:dyDescent="0.35">
      <c r="A313" t="s">
        <v>701</v>
      </c>
      <c r="B313" t="s">
        <v>57</v>
      </c>
      <c r="C313" t="s">
        <v>702</v>
      </c>
      <c r="D313" t="s">
        <v>40</v>
      </c>
      <c r="E313" t="s">
        <v>67</v>
      </c>
      <c r="F313" t="s">
        <v>48</v>
      </c>
      <c r="G313" t="s">
        <v>19</v>
      </c>
      <c r="H313">
        <v>230</v>
      </c>
      <c r="I313">
        <v>20</v>
      </c>
      <c r="J313">
        <v>20</v>
      </c>
      <c r="K313" t="s">
        <v>36</v>
      </c>
      <c r="L313">
        <v>60</v>
      </c>
      <c r="M313" t="s">
        <v>21</v>
      </c>
      <c r="N313">
        <f>COUNTIF(order_data[Order_ID],order_data[[#This Row],[Order_ID]])</f>
        <v>1</v>
      </c>
      <c r="O313">
        <f>order_data[[#This Row],[Order_Value]]-order_data[[#This Row],[Discount]]</f>
        <v>210</v>
      </c>
      <c r="P313">
        <f>order_data[[#This Row],[Order_Value]]+order_data[[#This Row],[Delivery_Fee]]-order_data[[#This Row],[Discount]]</f>
        <v>230</v>
      </c>
      <c r="Q313" t="str">
        <f>TEXT(order_data[[#This Row],[Order_Date]],"mmm")</f>
        <v>Jan</v>
      </c>
      <c r="R313">
        <f>MONTH(order_data[[#This Row],[Order_Date]])</f>
        <v>1</v>
      </c>
    </row>
    <row r="314" spans="1:18" x14ac:dyDescent="0.35">
      <c r="A314" t="s">
        <v>703</v>
      </c>
      <c r="B314" t="s">
        <v>129</v>
      </c>
      <c r="C314" t="s">
        <v>704</v>
      </c>
      <c r="D314" t="s">
        <v>40</v>
      </c>
      <c r="E314" t="s">
        <v>41</v>
      </c>
      <c r="F314" t="s">
        <v>27</v>
      </c>
      <c r="G314" t="s">
        <v>63</v>
      </c>
      <c r="H314">
        <v>762</v>
      </c>
      <c r="I314">
        <v>50</v>
      </c>
      <c r="J314">
        <v>50</v>
      </c>
      <c r="K314" t="s">
        <v>29</v>
      </c>
      <c r="L314">
        <v>28</v>
      </c>
      <c r="M314" t="s">
        <v>21</v>
      </c>
      <c r="N314">
        <f>COUNTIF(order_data[Order_ID],order_data[[#This Row],[Order_ID]])</f>
        <v>1</v>
      </c>
      <c r="O314">
        <f>order_data[[#This Row],[Order_Value]]-order_data[[#This Row],[Discount]]</f>
        <v>712</v>
      </c>
      <c r="P314">
        <f>order_data[[#This Row],[Order_Value]]+order_data[[#This Row],[Delivery_Fee]]-order_data[[#This Row],[Discount]]</f>
        <v>762</v>
      </c>
      <c r="Q314" t="str">
        <f>TEXT(order_data[[#This Row],[Order_Date]],"mmm")</f>
        <v>Feb</v>
      </c>
      <c r="R314">
        <f>MONTH(order_data[[#This Row],[Order_Date]])</f>
        <v>2</v>
      </c>
    </row>
    <row r="315" spans="1:18" x14ac:dyDescent="0.35">
      <c r="A315" t="s">
        <v>705</v>
      </c>
      <c r="B315" t="s">
        <v>136</v>
      </c>
      <c r="C315" t="s">
        <v>706</v>
      </c>
      <c r="D315" t="s">
        <v>25</v>
      </c>
      <c r="E315" t="s">
        <v>34</v>
      </c>
      <c r="F315" t="s">
        <v>27</v>
      </c>
      <c r="G315" t="s">
        <v>19</v>
      </c>
      <c r="H315">
        <v>565</v>
      </c>
      <c r="I315">
        <v>50</v>
      </c>
      <c r="J315">
        <v>50</v>
      </c>
      <c r="K315" t="s">
        <v>36</v>
      </c>
      <c r="L315">
        <v>26</v>
      </c>
      <c r="M315" t="s">
        <v>21</v>
      </c>
      <c r="N315">
        <f>COUNTIF(order_data[Order_ID],order_data[[#This Row],[Order_ID]])</f>
        <v>1</v>
      </c>
      <c r="O315">
        <f>order_data[[#This Row],[Order_Value]]-order_data[[#This Row],[Discount]]</f>
        <v>515</v>
      </c>
      <c r="P315">
        <f>order_data[[#This Row],[Order_Value]]+order_data[[#This Row],[Delivery_Fee]]-order_data[[#This Row],[Discount]]</f>
        <v>565</v>
      </c>
      <c r="Q315" t="str">
        <f>TEXT(order_data[[#This Row],[Order_Date]],"mmm")</f>
        <v>Feb</v>
      </c>
      <c r="R315">
        <f>MONTH(order_data[[#This Row],[Order_Date]])</f>
        <v>2</v>
      </c>
    </row>
    <row r="316" spans="1:18" x14ac:dyDescent="0.35">
      <c r="A316" t="s">
        <v>707</v>
      </c>
      <c r="B316" t="s">
        <v>38</v>
      </c>
      <c r="C316" t="s">
        <v>708</v>
      </c>
      <c r="D316" t="s">
        <v>46</v>
      </c>
      <c r="E316" t="s">
        <v>70</v>
      </c>
      <c r="F316" t="s">
        <v>18</v>
      </c>
      <c r="G316" t="s">
        <v>49</v>
      </c>
      <c r="H316">
        <v>539</v>
      </c>
      <c r="I316">
        <v>30</v>
      </c>
      <c r="J316">
        <v>30</v>
      </c>
      <c r="K316" t="s">
        <v>36</v>
      </c>
      <c r="L316">
        <v>25</v>
      </c>
      <c r="M316" t="s">
        <v>21</v>
      </c>
      <c r="N316">
        <f>COUNTIF(order_data[Order_ID],order_data[[#This Row],[Order_ID]])</f>
        <v>1</v>
      </c>
      <c r="O316">
        <f>order_data[[#This Row],[Order_Value]]-order_data[[#This Row],[Discount]]</f>
        <v>509</v>
      </c>
      <c r="P316">
        <f>order_data[[#This Row],[Order_Value]]+order_data[[#This Row],[Delivery_Fee]]-order_data[[#This Row],[Discount]]</f>
        <v>539</v>
      </c>
      <c r="Q316" t="str">
        <f>TEXT(order_data[[#This Row],[Order_Date]],"mmm")</f>
        <v>Jan</v>
      </c>
      <c r="R316">
        <f>MONTH(order_data[[#This Row],[Order_Date]])</f>
        <v>1</v>
      </c>
    </row>
    <row r="317" spans="1:18" x14ac:dyDescent="0.35">
      <c r="A317" t="s">
        <v>709</v>
      </c>
      <c r="B317" t="s">
        <v>476</v>
      </c>
      <c r="C317" t="s">
        <v>710</v>
      </c>
      <c r="D317" t="s">
        <v>53</v>
      </c>
      <c r="E317" t="s">
        <v>84</v>
      </c>
      <c r="F317" t="s">
        <v>85</v>
      </c>
      <c r="G317" t="s">
        <v>74</v>
      </c>
      <c r="H317">
        <v>195</v>
      </c>
      <c r="I317">
        <v>50</v>
      </c>
      <c r="J317">
        <v>20</v>
      </c>
      <c r="K317" t="s">
        <v>20</v>
      </c>
      <c r="L317">
        <v>60</v>
      </c>
      <c r="M317" t="s">
        <v>21</v>
      </c>
      <c r="N317">
        <f>COUNTIF(order_data[Order_ID],order_data[[#This Row],[Order_ID]])</f>
        <v>1</v>
      </c>
      <c r="O317">
        <f>order_data[[#This Row],[Order_Value]]-order_data[[#This Row],[Discount]]</f>
        <v>175</v>
      </c>
      <c r="P317">
        <f>order_data[[#This Row],[Order_Value]]+order_data[[#This Row],[Delivery_Fee]]-order_data[[#This Row],[Discount]]</f>
        <v>225</v>
      </c>
      <c r="Q317" t="str">
        <f>TEXT(order_data[[#This Row],[Order_Date]],"mmm")</f>
        <v>Jan</v>
      </c>
      <c r="R317">
        <f>MONTH(order_data[[#This Row],[Order_Date]])</f>
        <v>1</v>
      </c>
    </row>
    <row r="318" spans="1:18" x14ac:dyDescent="0.35">
      <c r="A318" t="s">
        <v>711</v>
      </c>
      <c r="B318" t="s">
        <v>322</v>
      </c>
      <c r="C318" t="s">
        <v>712</v>
      </c>
      <c r="D318" t="s">
        <v>46</v>
      </c>
      <c r="E318" t="s">
        <v>47</v>
      </c>
      <c r="F318" t="s">
        <v>48</v>
      </c>
      <c r="G318" t="s">
        <v>19</v>
      </c>
      <c r="H318">
        <v>201</v>
      </c>
      <c r="I318">
        <v>50</v>
      </c>
      <c r="J318">
        <v>0</v>
      </c>
      <c r="K318" t="s">
        <v>20</v>
      </c>
      <c r="L318">
        <v>49</v>
      </c>
      <c r="M318" t="s">
        <v>21</v>
      </c>
      <c r="N318">
        <f>COUNTIF(order_data[Order_ID],order_data[[#This Row],[Order_ID]])</f>
        <v>1</v>
      </c>
      <c r="O318">
        <f>order_data[[#This Row],[Order_Value]]-order_data[[#This Row],[Discount]]</f>
        <v>201</v>
      </c>
      <c r="P318">
        <f>order_data[[#This Row],[Order_Value]]+order_data[[#This Row],[Delivery_Fee]]-order_data[[#This Row],[Discount]]</f>
        <v>251</v>
      </c>
      <c r="Q318" t="str">
        <f>TEXT(order_data[[#This Row],[Order_Date]],"mmm")</f>
        <v>Jan</v>
      </c>
      <c r="R318">
        <f>MONTH(order_data[[#This Row],[Order_Date]])</f>
        <v>1</v>
      </c>
    </row>
    <row r="319" spans="1:18" x14ac:dyDescent="0.35">
      <c r="A319" t="s">
        <v>713</v>
      </c>
      <c r="B319" t="s">
        <v>273</v>
      </c>
      <c r="C319" t="s">
        <v>265</v>
      </c>
      <c r="D319" t="s">
        <v>16</v>
      </c>
      <c r="E319" t="s">
        <v>89</v>
      </c>
      <c r="F319" t="s">
        <v>18</v>
      </c>
      <c r="G319" t="s">
        <v>28</v>
      </c>
      <c r="H319">
        <v>649</v>
      </c>
      <c r="I319">
        <v>40</v>
      </c>
      <c r="J319">
        <v>20</v>
      </c>
      <c r="K319" t="s">
        <v>29</v>
      </c>
      <c r="L319">
        <v>35</v>
      </c>
      <c r="M319" t="s">
        <v>21</v>
      </c>
      <c r="N319">
        <f>COUNTIF(order_data[Order_ID],order_data[[#This Row],[Order_ID]])</f>
        <v>1</v>
      </c>
      <c r="O319">
        <f>order_data[[#This Row],[Order_Value]]-order_data[[#This Row],[Discount]]</f>
        <v>629</v>
      </c>
      <c r="P319">
        <f>order_data[[#This Row],[Order_Value]]+order_data[[#This Row],[Delivery_Fee]]-order_data[[#This Row],[Discount]]</f>
        <v>669</v>
      </c>
      <c r="Q319" t="str">
        <f>TEXT(order_data[[#This Row],[Order_Date]],"mmm")</f>
        <v>Mar</v>
      </c>
      <c r="R319">
        <f>MONTH(order_data[[#This Row],[Order_Date]])</f>
        <v>3</v>
      </c>
    </row>
    <row r="320" spans="1:18" x14ac:dyDescent="0.35">
      <c r="A320" t="s">
        <v>714</v>
      </c>
      <c r="B320" t="s">
        <v>61</v>
      </c>
      <c r="C320" t="s">
        <v>715</v>
      </c>
      <c r="D320" t="s">
        <v>53</v>
      </c>
      <c r="E320" t="s">
        <v>54</v>
      </c>
      <c r="F320" t="s">
        <v>55</v>
      </c>
      <c r="G320" t="s">
        <v>19</v>
      </c>
      <c r="H320">
        <v>307</v>
      </c>
      <c r="I320">
        <v>40</v>
      </c>
      <c r="J320">
        <v>30</v>
      </c>
      <c r="K320" t="s">
        <v>20</v>
      </c>
      <c r="L320">
        <v>55</v>
      </c>
      <c r="M320" t="s">
        <v>21</v>
      </c>
      <c r="N320">
        <f>COUNTIF(order_data[Order_ID],order_data[[#This Row],[Order_ID]])</f>
        <v>1</v>
      </c>
      <c r="O320">
        <f>order_data[[#This Row],[Order_Value]]-order_data[[#This Row],[Discount]]</f>
        <v>277</v>
      </c>
      <c r="P320">
        <f>order_data[[#This Row],[Order_Value]]+order_data[[#This Row],[Delivery_Fee]]-order_data[[#This Row],[Discount]]</f>
        <v>317</v>
      </c>
      <c r="Q320" t="str">
        <f>TEXT(order_data[[#This Row],[Order_Date]],"mmm")</f>
        <v>Jan</v>
      </c>
      <c r="R320">
        <f>MONTH(order_data[[#This Row],[Order_Date]])</f>
        <v>1</v>
      </c>
    </row>
    <row r="321" spans="1:18" x14ac:dyDescent="0.35">
      <c r="A321" t="s">
        <v>716</v>
      </c>
      <c r="B321" t="s">
        <v>38</v>
      </c>
      <c r="C321" t="s">
        <v>717</v>
      </c>
      <c r="D321" t="s">
        <v>16</v>
      </c>
      <c r="E321" t="s">
        <v>131</v>
      </c>
      <c r="F321" t="s">
        <v>55</v>
      </c>
      <c r="G321" t="s">
        <v>49</v>
      </c>
      <c r="H321">
        <v>492</v>
      </c>
      <c r="I321">
        <v>30</v>
      </c>
      <c r="J321">
        <v>30</v>
      </c>
      <c r="K321" t="s">
        <v>20</v>
      </c>
      <c r="L321">
        <v>30</v>
      </c>
      <c r="M321" t="s">
        <v>21</v>
      </c>
      <c r="N321">
        <f>COUNTIF(order_data[Order_ID],order_data[[#This Row],[Order_ID]])</f>
        <v>1</v>
      </c>
      <c r="O321">
        <f>order_data[[#This Row],[Order_Value]]-order_data[[#This Row],[Discount]]</f>
        <v>462</v>
      </c>
      <c r="P321">
        <f>order_data[[#This Row],[Order_Value]]+order_data[[#This Row],[Delivery_Fee]]-order_data[[#This Row],[Discount]]</f>
        <v>492</v>
      </c>
      <c r="Q321" t="str">
        <f>TEXT(order_data[[#This Row],[Order_Date]],"mmm")</f>
        <v>Jan</v>
      </c>
      <c r="R321">
        <f>MONTH(order_data[[#This Row],[Order_Date]])</f>
        <v>1</v>
      </c>
    </row>
    <row r="322" spans="1:18" x14ac:dyDescent="0.35">
      <c r="A322" t="s">
        <v>718</v>
      </c>
      <c r="B322" t="s">
        <v>80</v>
      </c>
      <c r="C322" t="s">
        <v>719</v>
      </c>
      <c r="D322" t="s">
        <v>40</v>
      </c>
      <c r="E322" t="s">
        <v>41</v>
      </c>
      <c r="F322" t="s">
        <v>27</v>
      </c>
      <c r="G322" t="s">
        <v>63</v>
      </c>
      <c r="H322">
        <v>435</v>
      </c>
      <c r="I322">
        <v>30</v>
      </c>
      <c r="J322">
        <v>0</v>
      </c>
      <c r="K322" t="s">
        <v>36</v>
      </c>
      <c r="L322">
        <v>23</v>
      </c>
      <c r="M322" t="s">
        <v>21</v>
      </c>
      <c r="N322">
        <f>COUNTIF(order_data[Order_ID],order_data[[#This Row],[Order_ID]])</f>
        <v>1</v>
      </c>
      <c r="O322">
        <f>order_data[[#This Row],[Order_Value]]-order_data[[#This Row],[Discount]]</f>
        <v>435</v>
      </c>
      <c r="P322">
        <f>order_data[[#This Row],[Order_Value]]+order_data[[#This Row],[Delivery_Fee]]-order_data[[#This Row],[Discount]]</f>
        <v>465</v>
      </c>
      <c r="Q322" t="str">
        <f>TEXT(order_data[[#This Row],[Order_Date]],"mmm")</f>
        <v>Feb</v>
      </c>
      <c r="R322">
        <f>MONTH(order_data[[#This Row],[Order_Date]])</f>
        <v>2</v>
      </c>
    </row>
    <row r="323" spans="1:18" x14ac:dyDescent="0.35">
      <c r="A323" t="s">
        <v>720</v>
      </c>
      <c r="B323" t="s">
        <v>413</v>
      </c>
      <c r="C323" t="s">
        <v>721</v>
      </c>
      <c r="D323" t="s">
        <v>16</v>
      </c>
      <c r="E323" t="s">
        <v>131</v>
      </c>
      <c r="F323" t="s">
        <v>55</v>
      </c>
      <c r="G323" t="s">
        <v>107</v>
      </c>
      <c r="H323">
        <v>172</v>
      </c>
      <c r="I323">
        <v>30</v>
      </c>
      <c r="J323">
        <v>20</v>
      </c>
      <c r="K323" t="s">
        <v>36</v>
      </c>
      <c r="L323">
        <v>48</v>
      </c>
      <c r="M323" t="s">
        <v>21</v>
      </c>
      <c r="N323">
        <f>COUNTIF(order_data[Order_ID],order_data[[#This Row],[Order_ID]])</f>
        <v>1</v>
      </c>
      <c r="O323">
        <f>order_data[[#This Row],[Order_Value]]-order_data[[#This Row],[Discount]]</f>
        <v>152</v>
      </c>
      <c r="P323">
        <f>order_data[[#This Row],[Order_Value]]+order_data[[#This Row],[Delivery_Fee]]-order_data[[#This Row],[Discount]]</f>
        <v>182</v>
      </c>
      <c r="Q323" t="str">
        <f>TEXT(order_data[[#This Row],[Order_Date]],"mmm")</f>
        <v>Mar</v>
      </c>
      <c r="R323">
        <f>MONTH(order_data[[#This Row],[Order_Date]])</f>
        <v>3</v>
      </c>
    </row>
    <row r="324" spans="1:18" x14ac:dyDescent="0.35">
      <c r="A324" t="s">
        <v>722</v>
      </c>
      <c r="B324" t="s">
        <v>174</v>
      </c>
      <c r="C324" t="s">
        <v>106</v>
      </c>
      <c r="D324" t="s">
        <v>25</v>
      </c>
      <c r="E324" t="s">
        <v>34</v>
      </c>
      <c r="F324" t="s">
        <v>27</v>
      </c>
      <c r="G324" t="s">
        <v>59</v>
      </c>
      <c r="H324">
        <v>545</v>
      </c>
      <c r="I324">
        <v>50</v>
      </c>
      <c r="J324">
        <v>0</v>
      </c>
      <c r="K324" t="s">
        <v>29</v>
      </c>
      <c r="L324">
        <v>51</v>
      </c>
      <c r="M324" t="s">
        <v>21</v>
      </c>
      <c r="N324">
        <f>COUNTIF(order_data[Order_ID],order_data[[#This Row],[Order_ID]])</f>
        <v>1</v>
      </c>
      <c r="O324">
        <f>order_data[[#This Row],[Order_Value]]-order_data[[#This Row],[Discount]]</f>
        <v>545</v>
      </c>
      <c r="P324">
        <f>order_data[[#This Row],[Order_Value]]+order_data[[#This Row],[Delivery_Fee]]-order_data[[#This Row],[Discount]]</f>
        <v>595</v>
      </c>
      <c r="Q324" t="str">
        <f>TEXT(order_data[[#This Row],[Order_Date]],"mmm")</f>
        <v>Feb</v>
      </c>
      <c r="R324">
        <f>MONTH(order_data[[#This Row],[Order_Date]])</f>
        <v>2</v>
      </c>
    </row>
    <row r="325" spans="1:18" x14ac:dyDescent="0.35">
      <c r="A325" t="s">
        <v>723</v>
      </c>
      <c r="B325" t="s">
        <v>23</v>
      </c>
      <c r="C325" t="s">
        <v>724</v>
      </c>
      <c r="D325" t="s">
        <v>25</v>
      </c>
      <c r="E325" t="s">
        <v>34</v>
      </c>
      <c r="F325" t="s">
        <v>27</v>
      </c>
      <c r="G325" t="s">
        <v>176</v>
      </c>
      <c r="H325">
        <v>385</v>
      </c>
      <c r="I325">
        <v>40</v>
      </c>
      <c r="J325">
        <v>20</v>
      </c>
      <c r="K325" t="s">
        <v>36</v>
      </c>
      <c r="L325">
        <v>60</v>
      </c>
      <c r="M325" t="s">
        <v>21</v>
      </c>
      <c r="N325">
        <f>COUNTIF(order_data[Order_ID],order_data[[#This Row],[Order_ID]])</f>
        <v>1</v>
      </c>
      <c r="O325">
        <f>order_data[[#This Row],[Order_Value]]-order_data[[#This Row],[Discount]]</f>
        <v>365</v>
      </c>
      <c r="P325">
        <f>order_data[[#This Row],[Order_Value]]+order_data[[#This Row],[Delivery_Fee]]-order_data[[#This Row],[Discount]]</f>
        <v>405</v>
      </c>
      <c r="Q325" t="str">
        <f>TEXT(order_data[[#This Row],[Order_Date]],"mmm")</f>
        <v>Mar</v>
      </c>
      <c r="R325">
        <f>MONTH(order_data[[#This Row],[Order_Date]])</f>
        <v>3</v>
      </c>
    </row>
    <row r="326" spans="1:18" x14ac:dyDescent="0.35">
      <c r="A326" t="s">
        <v>725</v>
      </c>
      <c r="B326" t="s">
        <v>223</v>
      </c>
      <c r="C326" t="s">
        <v>726</v>
      </c>
      <c r="D326" t="s">
        <v>16</v>
      </c>
      <c r="E326" t="s">
        <v>131</v>
      </c>
      <c r="F326" t="s">
        <v>55</v>
      </c>
      <c r="G326" t="s">
        <v>59</v>
      </c>
      <c r="H326">
        <v>335</v>
      </c>
      <c r="I326">
        <v>50</v>
      </c>
      <c r="J326">
        <v>50</v>
      </c>
      <c r="K326" t="s">
        <v>36</v>
      </c>
      <c r="L326">
        <v>38</v>
      </c>
      <c r="M326" t="s">
        <v>21</v>
      </c>
      <c r="N326">
        <f>COUNTIF(order_data[Order_ID],order_data[[#This Row],[Order_ID]])</f>
        <v>1</v>
      </c>
      <c r="O326">
        <f>order_data[[#This Row],[Order_Value]]-order_data[[#This Row],[Discount]]</f>
        <v>285</v>
      </c>
      <c r="P326">
        <f>order_data[[#This Row],[Order_Value]]+order_data[[#This Row],[Delivery_Fee]]-order_data[[#This Row],[Discount]]</f>
        <v>335</v>
      </c>
      <c r="Q326" t="str">
        <f>TEXT(order_data[[#This Row],[Order_Date]],"mmm")</f>
        <v>Mar</v>
      </c>
      <c r="R326">
        <f>MONTH(order_data[[#This Row],[Order_Date]])</f>
        <v>3</v>
      </c>
    </row>
    <row r="327" spans="1:18" x14ac:dyDescent="0.35">
      <c r="A327" t="s">
        <v>727</v>
      </c>
      <c r="B327" t="s">
        <v>291</v>
      </c>
      <c r="C327" t="s">
        <v>728</v>
      </c>
      <c r="D327" t="s">
        <v>25</v>
      </c>
      <c r="E327" t="s">
        <v>78</v>
      </c>
      <c r="F327" t="s">
        <v>48</v>
      </c>
      <c r="G327" t="s">
        <v>28</v>
      </c>
      <c r="H327">
        <v>293</v>
      </c>
      <c r="I327">
        <v>50</v>
      </c>
      <c r="J327">
        <v>100</v>
      </c>
      <c r="K327" t="s">
        <v>36</v>
      </c>
      <c r="L327">
        <v>23</v>
      </c>
      <c r="M327" t="s">
        <v>21</v>
      </c>
      <c r="N327">
        <f>COUNTIF(order_data[Order_ID],order_data[[#This Row],[Order_ID]])</f>
        <v>1</v>
      </c>
      <c r="O327">
        <f>order_data[[#This Row],[Order_Value]]-order_data[[#This Row],[Discount]]</f>
        <v>193</v>
      </c>
      <c r="P327">
        <f>order_data[[#This Row],[Order_Value]]+order_data[[#This Row],[Delivery_Fee]]-order_data[[#This Row],[Discount]]</f>
        <v>243</v>
      </c>
      <c r="Q327" t="str">
        <f>TEXT(order_data[[#This Row],[Order_Date]],"mmm")</f>
        <v>Feb</v>
      </c>
      <c r="R327">
        <f>MONTH(order_data[[#This Row],[Order_Date]])</f>
        <v>2</v>
      </c>
    </row>
    <row r="328" spans="1:18" x14ac:dyDescent="0.35">
      <c r="A328" t="s">
        <v>729</v>
      </c>
      <c r="B328" t="s">
        <v>657</v>
      </c>
      <c r="C328" t="s">
        <v>33</v>
      </c>
      <c r="D328" t="s">
        <v>16</v>
      </c>
      <c r="E328" t="s">
        <v>17</v>
      </c>
      <c r="F328" t="s">
        <v>18</v>
      </c>
      <c r="G328" t="s">
        <v>63</v>
      </c>
      <c r="H328">
        <v>639</v>
      </c>
      <c r="I328">
        <v>30</v>
      </c>
      <c r="J328">
        <v>30</v>
      </c>
      <c r="K328" t="s">
        <v>20</v>
      </c>
      <c r="L328">
        <v>58</v>
      </c>
      <c r="M328" t="s">
        <v>30</v>
      </c>
      <c r="N328">
        <f>COUNTIF(order_data[Order_ID],order_data[[#This Row],[Order_ID]])</f>
        <v>1</v>
      </c>
      <c r="O328">
        <f>order_data[[#This Row],[Order_Value]]-order_data[[#This Row],[Discount]]</f>
        <v>609</v>
      </c>
      <c r="P328">
        <f>order_data[[#This Row],[Order_Value]]+order_data[[#This Row],[Delivery_Fee]]-order_data[[#This Row],[Discount]]</f>
        <v>639</v>
      </c>
      <c r="Q328" t="str">
        <f>TEXT(order_data[[#This Row],[Order_Date]],"mmm")</f>
        <v>Jan</v>
      </c>
      <c r="R328">
        <f>MONTH(order_data[[#This Row],[Order_Date]])</f>
        <v>1</v>
      </c>
    </row>
    <row r="329" spans="1:18" x14ac:dyDescent="0.35">
      <c r="A329" t="s">
        <v>730</v>
      </c>
      <c r="B329" t="s">
        <v>244</v>
      </c>
      <c r="C329" t="s">
        <v>731</v>
      </c>
      <c r="D329" t="s">
        <v>46</v>
      </c>
      <c r="E329" t="s">
        <v>70</v>
      </c>
      <c r="F329" t="s">
        <v>18</v>
      </c>
      <c r="G329" t="s">
        <v>176</v>
      </c>
      <c r="H329">
        <v>390</v>
      </c>
      <c r="I329">
        <v>30</v>
      </c>
      <c r="J329">
        <v>20</v>
      </c>
      <c r="K329" t="s">
        <v>36</v>
      </c>
      <c r="L329">
        <v>36</v>
      </c>
      <c r="M329" t="s">
        <v>21</v>
      </c>
      <c r="N329">
        <f>COUNTIF(order_data[Order_ID],order_data[[#This Row],[Order_ID]])</f>
        <v>1</v>
      </c>
      <c r="O329">
        <f>order_data[[#This Row],[Order_Value]]-order_data[[#This Row],[Discount]]</f>
        <v>370</v>
      </c>
      <c r="P329">
        <f>order_data[[#This Row],[Order_Value]]+order_data[[#This Row],[Delivery_Fee]]-order_data[[#This Row],[Discount]]</f>
        <v>400</v>
      </c>
      <c r="Q329" t="str">
        <f>TEXT(order_data[[#This Row],[Order_Date]],"mmm")</f>
        <v>Feb</v>
      </c>
      <c r="R329">
        <f>MONTH(order_data[[#This Row],[Order_Date]])</f>
        <v>2</v>
      </c>
    </row>
    <row r="330" spans="1:18" x14ac:dyDescent="0.35">
      <c r="A330" t="s">
        <v>732</v>
      </c>
      <c r="B330" t="s">
        <v>65</v>
      </c>
      <c r="C330" t="s">
        <v>409</v>
      </c>
      <c r="D330" t="s">
        <v>25</v>
      </c>
      <c r="E330" t="s">
        <v>78</v>
      </c>
      <c r="F330" t="s">
        <v>48</v>
      </c>
      <c r="G330" t="s">
        <v>63</v>
      </c>
      <c r="H330">
        <v>214</v>
      </c>
      <c r="I330">
        <v>40</v>
      </c>
      <c r="J330">
        <v>50</v>
      </c>
      <c r="K330" t="s">
        <v>36</v>
      </c>
      <c r="L330">
        <v>27</v>
      </c>
      <c r="M330" t="s">
        <v>21</v>
      </c>
      <c r="N330">
        <f>COUNTIF(order_data[Order_ID],order_data[[#This Row],[Order_ID]])</f>
        <v>1</v>
      </c>
      <c r="O330">
        <f>order_data[[#This Row],[Order_Value]]-order_data[[#This Row],[Discount]]</f>
        <v>164</v>
      </c>
      <c r="P330">
        <f>order_data[[#This Row],[Order_Value]]+order_data[[#This Row],[Delivery_Fee]]-order_data[[#This Row],[Discount]]</f>
        <v>204</v>
      </c>
      <c r="Q330" t="str">
        <f>TEXT(order_data[[#This Row],[Order_Date]],"mmm")</f>
        <v>Mar</v>
      </c>
      <c r="R330">
        <f>MONTH(order_data[[#This Row],[Order_Date]])</f>
        <v>3</v>
      </c>
    </row>
    <row r="331" spans="1:18" x14ac:dyDescent="0.35">
      <c r="A331" t="s">
        <v>733</v>
      </c>
      <c r="B331" t="s">
        <v>326</v>
      </c>
      <c r="C331" t="s">
        <v>734</v>
      </c>
      <c r="D331" t="s">
        <v>40</v>
      </c>
      <c r="E331" t="s">
        <v>41</v>
      </c>
      <c r="F331" t="s">
        <v>27</v>
      </c>
      <c r="G331" t="s">
        <v>63</v>
      </c>
      <c r="H331">
        <v>593</v>
      </c>
      <c r="I331">
        <v>50</v>
      </c>
      <c r="J331">
        <v>30</v>
      </c>
      <c r="K331" t="s">
        <v>36</v>
      </c>
      <c r="L331">
        <v>41</v>
      </c>
      <c r="M331" t="s">
        <v>21</v>
      </c>
      <c r="N331">
        <f>COUNTIF(order_data[Order_ID],order_data[[#This Row],[Order_ID]])</f>
        <v>1</v>
      </c>
      <c r="O331">
        <f>order_data[[#This Row],[Order_Value]]-order_data[[#This Row],[Discount]]</f>
        <v>563</v>
      </c>
      <c r="P331">
        <f>order_data[[#This Row],[Order_Value]]+order_data[[#This Row],[Delivery_Fee]]-order_data[[#This Row],[Discount]]</f>
        <v>613</v>
      </c>
      <c r="Q331" t="str">
        <f>TEXT(order_data[[#This Row],[Order_Date]],"mmm")</f>
        <v>Mar</v>
      </c>
      <c r="R331">
        <f>MONTH(order_data[[#This Row],[Order_Date]])</f>
        <v>3</v>
      </c>
    </row>
    <row r="332" spans="1:18" x14ac:dyDescent="0.35">
      <c r="A332" t="s">
        <v>735</v>
      </c>
      <c r="B332" t="s">
        <v>310</v>
      </c>
      <c r="C332" t="s">
        <v>221</v>
      </c>
      <c r="D332" t="s">
        <v>16</v>
      </c>
      <c r="E332" t="s">
        <v>89</v>
      </c>
      <c r="F332" t="s">
        <v>18</v>
      </c>
      <c r="G332" t="s">
        <v>19</v>
      </c>
      <c r="H332">
        <v>715</v>
      </c>
      <c r="I332">
        <v>50</v>
      </c>
      <c r="J332">
        <v>0</v>
      </c>
      <c r="K332" t="s">
        <v>29</v>
      </c>
      <c r="L332">
        <v>46</v>
      </c>
      <c r="M332" t="s">
        <v>21</v>
      </c>
      <c r="N332">
        <f>COUNTIF(order_data[Order_ID],order_data[[#This Row],[Order_ID]])</f>
        <v>1</v>
      </c>
      <c r="O332">
        <f>order_data[[#This Row],[Order_Value]]-order_data[[#This Row],[Discount]]</f>
        <v>715</v>
      </c>
      <c r="P332">
        <f>order_data[[#This Row],[Order_Value]]+order_data[[#This Row],[Delivery_Fee]]-order_data[[#This Row],[Discount]]</f>
        <v>765</v>
      </c>
      <c r="Q332" t="str">
        <f>TEXT(order_data[[#This Row],[Order_Date]],"mmm")</f>
        <v>Feb</v>
      </c>
      <c r="R332">
        <f>MONTH(order_data[[#This Row],[Order_Date]])</f>
        <v>2</v>
      </c>
    </row>
    <row r="333" spans="1:18" x14ac:dyDescent="0.35">
      <c r="A333" t="s">
        <v>736</v>
      </c>
      <c r="B333" t="s">
        <v>432</v>
      </c>
      <c r="C333" t="s">
        <v>737</v>
      </c>
      <c r="D333" t="s">
        <v>16</v>
      </c>
      <c r="E333" t="s">
        <v>131</v>
      </c>
      <c r="F333" t="s">
        <v>55</v>
      </c>
      <c r="G333" t="s">
        <v>49</v>
      </c>
      <c r="H333">
        <v>715</v>
      </c>
      <c r="I333">
        <v>20</v>
      </c>
      <c r="J333">
        <v>20</v>
      </c>
      <c r="K333" t="s">
        <v>20</v>
      </c>
      <c r="L333">
        <v>29</v>
      </c>
      <c r="M333" t="s">
        <v>21</v>
      </c>
      <c r="N333">
        <f>COUNTIF(order_data[Order_ID],order_data[[#This Row],[Order_ID]])</f>
        <v>1</v>
      </c>
      <c r="O333">
        <f>order_data[[#This Row],[Order_Value]]-order_data[[#This Row],[Discount]]</f>
        <v>695</v>
      </c>
      <c r="P333">
        <f>order_data[[#This Row],[Order_Value]]+order_data[[#This Row],[Delivery_Fee]]-order_data[[#This Row],[Discount]]</f>
        <v>715</v>
      </c>
      <c r="Q333" t="str">
        <f>TEXT(order_data[[#This Row],[Order_Date]],"mmm")</f>
        <v>Feb</v>
      </c>
      <c r="R333">
        <f>MONTH(order_data[[#This Row],[Order_Date]])</f>
        <v>2</v>
      </c>
    </row>
    <row r="334" spans="1:18" x14ac:dyDescent="0.35">
      <c r="A334" t="s">
        <v>738</v>
      </c>
      <c r="B334" t="s">
        <v>91</v>
      </c>
      <c r="C334" t="s">
        <v>739</v>
      </c>
      <c r="D334" t="s">
        <v>25</v>
      </c>
      <c r="E334" t="s">
        <v>34</v>
      </c>
      <c r="F334" t="s">
        <v>27</v>
      </c>
      <c r="G334" t="s">
        <v>35</v>
      </c>
      <c r="H334">
        <v>533</v>
      </c>
      <c r="I334">
        <v>30</v>
      </c>
      <c r="J334">
        <v>50</v>
      </c>
      <c r="K334" t="s">
        <v>20</v>
      </c>
      <c r="L334">
        <v>48</v>
      </c>
      <c r="M334" t="s">
        <v>21</v>
      </c>
      <c r="N334">
        <f>COUNTIF(order_data[Order_ID],order_data[[#This Row],[Order_ID]])</f>
        <v>1</v>
      </c>
      <c r="O334">
        <f>order_data[[#This Row],[Order_Value]]-order_data[[#This Row],[Discount]]</f>
        <v>483</v>
      </c>
      <c r="P334">
        <f>order_data[[#This Row],[Order_Value]]+order_data[[#This Row],[Delivery_Fee]]-order_data[[#This Row],[Discount]]</f>
        <v>513</v>
      </c>
      <c r="Q334" t="str">
        <f>TEXT(order_data[[#This Row],[Order_Date]],"mmm")</f>
        <v>Mar</v>
      </c>
      <c r="R334">
        <f>MONTH(order_data[[#This Row],[Order_Date]])</f>
        <v>3</v>
      </c>
    </row>
    <row r="335" spans="1:18" x14ac:dyDescent="0.35">
      <c r="A335" t="s">
        <v>740</v>
      </c>
      <c r="B335" t="s">
        <v>76</v>
      </c>
      <c r="C335" t="s">
        <v>141</v>
      </c>
      <c r="D335" t="s">
        <v>46</v>
      </c>
      <c r="E335" t="s">
        <v>70</v>
      </c>
      <c r="F335" t="s">
        <v>18</v>
      </c>
      <c r="G335" t="s">
        <v>28</v>
      </c>
      <c r="H335">
        <v>662</v>
      </c>
      <c r="I335">
        <v>20</v>
      </c>
      <c r="J335">
        <v>0</v>
      </c>
      <c r="K335" t="s">
        <v>20</v>
      </c>
      <c r="L335">
        <v>23</v>
      </c>
      <c r="M335" t="s">
        <v>21</v>
      </c>
      <c r="N335">
        <f>COUNTIF(order_data[Order_ID],order_data[[#This Row],[Order_ID]])</f>
        <v>1</v>
      </c>
      <c r="O335">
        <f>order_data[[#This Row],[Order_Value]]-order_data[[#This Row],[Discount]]</f>
        <v>662</v>
      </c>
      <c r="P335">
        <f>order_data[[#This Row],[Order_Value]]+order_data[[#This Row],[Delivery_Fee]]-order_data[[#This Row],[Discount]]</f>
        <v>682</v>
      </c>
      <c r="Q335" t="str">
        <f>TEXT(order_data[[#This Row],[Order_Date]],"mmm")</f>
        <v>Feb</v>
      </c>
      <c r="R335">
        <f>MONTH(order_data[[#This Row],[Order_Date]])</f>
        <v>2</v>
      </c>
    </row>
    <row r="336" spans="1:18" x14ac:dyDescent="0.35">
      <c r="A336" t="s">
        <v>741</v>
      </c>
      <c r="B336" t="s">
        <v>398</v>
      </c>
      <c r="C336" t="s">
        <v>214</v>
      </c>
      <c r="D336" t="s">
        <v>53</v>
      </c>
      <c r="E336" t="s">
        <v>84</v>
      </c>
      <c r="F336" t="s">
        <v>85</v>
      </c>
      <c r="G336" t="s">
        <v>107</v>
      </c>
      <c r="H336">
        <v>222</v>
      </c>
      <c r="I336">
        <v>20</v>
      </c>
      <c r="J336">
        <v>50</v>
      </c>
      <c r="K336" t="s">
        <v>29</v>
      </c>
      <c r="L336">
        <v>34</v>
      </c>
      <c r="M336" t="s">
        <v>21</v>
      </c>
      <c r="N336">
        <f>COUNTIF(order_data[Order_ID],order_data[[#This Row],[Order_ID]])</f>
        <v>1</v>
      </c>
      <c r="O336">
        <f>order_data[[#This Row],[Order_Value]]-order_data[[#This Row],[Discount]]</f>
        <v>172</v>
      </c>
      <c r="P336">
        <f>order_data[[#This Row],[Order_Value]]+order_data[[#This Row],[Delivery_Fee]]-order_data[[#This Row],[Discount]]</f>
        <v>192</v>
      </c>
      <c r="Q336" t="str">
        <f>TEXT(order_data[[#This Row],[Order_Date]],"mmm")</f>
        <v>Feb</v>
      </c>
      <c r="R336">
        <f>MONTH(order_data[[#This Row],[Order_Date]])</f>
        <v>2</v>
      </c>
    </row>
    <row r="337" spans="1:18" x14ac:dyDescent="0.35">
      <c r="A337" t="s">
        <v>742</v>
      </c>
      <c r="B337" t="s">
        <v>178</v>
      </c>
      <c r="C337" t="s">
        <v>743</v>
      </c>
      <c r="D337" t="s">
        <v>40</v>
      </c>
      <c r="E337" t="s">
        <v>111</v>
      </c>
      <c r="F337" t="s">
        <v>18</v>
      </c>
      <c r="G337" t="s">
        <v>42</v>
      </c>
      <c r="H337">
        <v>663</v>
      </c>
      <c r="I337">
        <v>30</v>
      </c>
      <c r="J337">
        <v>50</v>
      </c>
      <c r="K337" t="s">
        <v>36</v>
      </c>
      <c r="L337">
        <v>34</v>
      </c>
      <c r="M337" t="s">
        <v>21</v>
      </c>
      <c r="N337">
        <f>COUNTIF(order_data[Order_ID],order_data[[#This Row],[Order_ID]])</f>
        <v>1</v>
      </c>
      <c r="O337">
        <f>order_data[[#This Row],[Order_Value]]-order_data[[#This Row],[Discount]]</f>
        <v>613</v>
      </c>
      <c r="P337">
        <f>order_data[[#This Row],[Order_Value]]+order_data[[#This Row],[Delivery_Fee]]-order_data[[#This Row],[Discount]]</f>
        <v>643</v>
      </c>
      <c r="Q337" t="str">
        <f>TEXT(order_data[[#This Row],[Order_Date]],"mmm")</f>
        <v>Feb</v>
      </c>
      <c r="R337">
        <f>MONTH(order_data[[#This Row],[Order_Date]])</f>
        <v>2</v>
      </c>
    </row>
    <row r="338" spans="1:18" x14ac:dyDescent="0.35">
      <c r="A338" t="s">
        <v>744</v>
      </c>
      <c r="B338" t="s">
        <v>252</v>
      </c>
      <c r="C338" t="s">
        <v>745</v>
      </c>
      <c r="D338" t="s">
        <v>16</v>
      </c>
      <c r="E338" t="s">
        <v>17</v>
      </c>
      <c r="F338" t="s">
        <v>18</v>
      </c>
      <c r="G338" t="s">
        <v>49</v>
      </c>
      <c r="H338">
        <v>525</v>
      </c>
      <c r="I338">
        <v>50</v>
      </c>
      <c r="J338">
        <v>30</v>
      </c>
      <c r="K338" t="s">
        <v>36</v>
      </c>
      <c r="L338">
        <v>42</v>
      </c>
      <c r="M338" t="s">
        <v>21</v>
      </c>
      <c r="N338">
        <f>COUNTIF(order_data[Order_ID],order_data[[#This Row],[Order_ID]])</f>
        <v>1</v>
      </c>
      <c r="O338">
        <f>order_data[[#This Row],[Order_Value]]-order_data[[#This Row],[Discount]]</f>
        <v>495</v>
      </c>
      <c r="P338">
        <f>order_data[[#This Row],[Order_Value]]+order_data[[#This Row],[Delivery_Fee]]-order_data[[#This Row],[Discount]]</f>
        <v>545</v>
      </c>
      <c r="Q338" t="str">
        <f>TEXT(order_data[[#This Row],[Order_Date]],"mmm")</f>
        <v>Jan</v>
      </c>
      <c r="R338">
        <f>MONTH(order_data[[#This Row],[Order_Date]])</f>
        <v>1</v>
      </c>
    </row>
    <row r="339" spans="1:18" x14ac:dyDescent="0.35">
      <c r="A339" t="s">
        <v>746</v>
      </c>
      <c r="B339" t="s">
        <v>14</v>
      </c>
      <c r="C339" t="s">
        <v>747</v>
      </c>
      <c r="D339" t="s">
        <v>46</v>
      </c>
      <c r="E339" t="s">
        <v>148</v>
      </c>
      <c r="F339" t="s">
        <v>27</v>
      </c>
      <c r="G339" t="s">
        <v>28</v>
      </c>
      <c r="H339">
        <v>510</v>
      </c>
      <c r="I339">
        <v>50</v>
      </c>
      <c r="J339">
        <v>50</v>
      </c>
      <c r="K339" t="s">
        <v>20</v>
      </c>
      <c r="L339">
        <v>35</v>
      </c>
      <c r="M339" t="s">
        <v>21</v>
      </c>
      <c r="N339">
        <f>COUNTIF(order_data[Order_ID],order_data[[#This Row],[Order_ID]])</f>
        <v>1</v>
      </c>
      <c r="O339">
        <f>order_data[[#This Row],[Order_Value]]-order_data[[#This Row],[Discount]]</f>
        <v>460</v>
      </c>
      <c r="P339">
        <f>order_data[[#This Row],[Order_Value]]+order_data[[#This Row],[Delivery_Fee]]-order_data[[#This Row],[Discount]]</f>
        <v>510</v>
      </c>
      <c r="Q339" t="str">
        <f>TEXT(order_data[[#This Row],[Order_Date]],"mmm")</f>
        <v>Mar</v>
      </c>
      <c r="R339">
        <f>MONTH(order_data[[#This Row],[Order_Date]])</f>
        <v>3</v>
      </c>
    </row>
    <row r="340" spans="1:18" x14ac:dyDescent="0.35">
      <c r="A340" t="s">
        <v>748</v>
      </c>
      <c r="B340" t="s">
        <v>286</v>
      </c>
      <c r="C340" t="s">
        <v>749</v>
      </c>
      <c r="D340" t="s">
        <v>16</v>
      </c>
      <c r="E340" t="s">
        <v>131</v>
      </c>
      <c r="F340" t="s">
        <v>55</v>
      </c>
      <c r="G340" t="s">
        <v>74</v>
      </c>
      <c r="H340">
        <v>321</v>
      </c>
      <c r="I340">
        <v>30</v>
      </c>
      <c r="J340">
        <v>20</v>
      </c>
      <c r="K340" t="s">
        <v>36</v>
      </c>
      <c r="L340">
        <v>53</v>
      </c>
      <c r="M340" t="s">
        <v>21</v>
      </c>
      <c r="N340">
        <f>COUNTIF(order_data[Order_ID],order_data[[#This Row],[Order_ID]])</f>
        <v>1</v>
      </c>
      <c r="O340">
        <f>order_data[[#This Row],[Order_Value]]-order_data[[#This Row],[Discount]]</f>
        <v>301</v>
      </c>
      <c r="P340">
        <f>order_data[[#This Row],[Order_Value]]+order_data[[#This Row],[Delivery_Fee]]-order_data[[#This Row],[Discount]]</f>
        <v>331</v>
      </c>
      <c r="Q340" t="str">
        <f>TEXT(order_data[[#This Row],[Order_Date]],"mmm")</f>
        <v>Mar</v>
      </c>
      <c r="R340">
        <f>MONTH(order_data[[#This Row],[Order_Date]])</f>
        <v>3</v>
      </c>
    </row>
    <row r="341" spans="1:18" x14ac:dyDescent="0.35">
      <c r="A341" t="s">
        <v>750</v>
      </c>
      <c r="B341" t="s">
        <v>300</v>
      </c>
      <c r="C341" t="s">
        <v>200</v>
      </c>
      <c r="D341" t="s">
        <v>46</v>
      </c>
      <c r="E341" t="s">
        <v>148</v>
      </c>
      <c r="F341" t="s">
        <v>27</v>
      </c>
      <c r="G341" t="s">
        <v>176</v>
      </c>
      <c r="H341">
        <v>748</v>
      </c>
      <c r="I341">
        <v>30</v>
      </c>
      <c r="J341">
        <v>30</v>
      </c>
      <c r="K341" t="s">
        <v>20</v>
      </c>
      <c r="L341">
        <v>58</v>
      </c>
      <c r="M341" t="s">
        <v>21</v>
      </c>
      <c r="N341">
        <f>COUNTIF(order_data[Order_ID],order_data[[#This Row],[Order_ID]])</f>
        <v>1</v>
      </c>
      <c r="O341">
        <f>order_data[[#This Row],[Order_Value]]-order_data[[#This Row],[Discount]]</f>
        <v>718</v>
      </c>
      <c r="P341">
        <f>order_data[[#This Row],[Order_Value]]+order_data[[#This Row],[Delivery_Fee]]-order_data[[#This Row],[Discount]]</f>
        <v>748</v>
      </c>
      <c r="Q341" t="str">
        <f>TEXT(order_data[[#This Row],[Order_Date]],"mmm")</f>
        <v>Mar</v>
      </c>
      <c r="R341">
        <f>MONTH(order_data[[#This Row],[Order_Date]])</f>
        <v>3</v>
      </c>
    </row>
    <row r="342" spans="1:18" x14ac:dyDescent="0.35">
      <c r="A342" t="s">
        <v>751</v>
      </c>
      <c r="B342" t="s">
        <v>189</v>
      </c>
      <c r="C342" t="s">
        <v>752</v>
      </c>
      <c r="D342" t="s">
        <v>25</v>
      </c>
      <c r="E342" t="s">
        <v>26</v>
      </c>
      <c r="F342" t="s">
        <v>27</v>
      </c>
      <c r="G342" t="s">
        <v>107</v>
      </c>
      <c r="H342">
        <v>266</v>
      </c>
      <c r="I342">
        <v>20</v>
      </c>
      <c r="J342">
        <v>100</v>
      </c>
      <c r="K342" t="s">
        <v>36</v>
      </c>
      <c r="L342">
        <v>24</v>
      </c>
      <c r="M342" t="s">
        <v>21</v>
      </c>
      <c r="N342">
        <f>COUNTIF(order_data[Order_ID],order_data[[#This Row],[Order_ID]])</f>
        <v>1</v>
      </c>
      <c r="O342">
        <f>order_data[[#This Row],[Order_Value]]-order_data[[#This Row],[Discount]]</f>
        <v>166</v>
      </c>
      <c r="P342">
        <f>order_data[[#This Row],[Order_Value]]+order_data[[#This Row],[Delivery_Fee]]-order_data[[#This Row],[Discount]]</f>
        <v>186</v>
      </c>
      <c r="Q342" t="str">
        <f>TEXT(order_data[[#This Row],[Order_Date]],"mmm")</f>
        <v>Feb</v>
      </c>
      <c r="R342">
        <f>MONTH(order_data[[#This Row],[Order_Date]])</f>
        <v>2</v>
      </c>
    </row>
    <row r="343" spans="1:18" x14ac:dyDescent="0.35">
      <c r="A343" t="s">
        <v>753</v>
      </c>
      <c r="B343" t="s">
        <v>23</v>
      </c>
      <c r="C343" t="s">
        <v>754</v>
      </c>
      <c r="D343" t="s">
        <v>46</v>
      </c>
      <c r="E343" t="s">
        <v>148</v>
      </c>
      <c r="F343" t="s">
        <v>27</v>
      </c>
      <c r="G343" t="s">
        <v>35</v>
      </c>
      <c r="H343">
        <v>364</v>
      </c>
      <c r="I343">
        <v>50</v>
      </c>
      <c r="J343">
        <v>0</v>
      </c>
      <c r="K343" t="s">
        <v>20</v>
      </c>
      <c r="L343">
        <v>31</v>
      </c>
      <c r="M343" t="s">
        <v>21</v>
      </c>
      <c r="N343">
        <f>COUNTIF(order_data[Order_ID],order_data[[#This Row],[Order_ID]])</f>
        <v>1</v>
      </c>
      <c r="O343">
        <f>order_data[[#This Row],[Order_Value]]-order_data[[#This Row],[Discount]]</f>
        <v>364</v>
      </c>
      <c r="P343">
        <f>order_data[[#This Row],[Order_Value]]+order_data[[#This Row],[Delivery_Fee]]-order_data[[#This Row],[Discount]]</f>
        <v>414</v>
      </c>
      <c r="Q343" t="str">
        <f>TEXT(order_data[[#This Row],[Order_Date]],"mmm")</f>
        <v>Mar</v>
      </c>
      <c r="R343">
        <f>MONTH(order_data[[#This Row],[Order_Date]])</f>
        <v>3</v>
      </c>
    </row>
    <row r="344" spans="1:18" x14ac:dyDescent="0.35">
      <c r="A344" t="s">
        <v>755</v>
      </c>
      <c r="B344" t="s">
        <v>368</v>
      </c>
      <c r="C344" t="s">
        <v>756</v>
      </c>
      <c r="D344" t="s">
        <v>16</v>
      </c>
      <c r="E344" t="s">
        <v>131</v>
      </c>
      <c r="F344" t="s">
        <v>55</v>
      </c>
      <c r="G344" t="s">
        <v>107</v>
      </c>
      <c r="H344">
        <v>295</v>
      </c>
      <c r="I344">
        <v>20</v>
      </c>
      <c r="J344">
        <v>50</v>
      </c>
      <c r="K344" t="s">
        <v>36</v>
      </c>
      <c r="L344">
        <v>35</v>
      </c>
      <c r="M344" t="s">
        <v>21</v>
      </c>
      <c r="N344">
        <f>COUNTIF(order_data[Order_ID],order_data[[#This Row],[Order_ID]])</f>
        <v>1</v>
      </c>
      <c r="O344">
        <f>order_data[[#This Row],[Order_Value]]-order_data[[#This Row],[Discount]]</f>
        <v>245</v>
      </c>
      <c r="P344">
        <f>order_data[[#This Row],[Order_Value]]+order_data[[#This Row],[Delivery_Fee]]-order_data[[#This Row],[Discount]]</f>
        <v>265</v>
      </c>
      <c r="Q344" t="str">
        <f>TEXT(order_data[[#This Row],[Order_Date]],"mmm")</f>
        <v>Feb</v>
      </c>
      <c r="R344">
        <f>MONTH(order_data[[#This Row],[Order_Date]])</f>
        <v>2</v>
      </c>
    </row>
    <row r="345" spans="1:18" x14ac:dyDescent="0.35">
      <c r="A345" t="s">
        <v>757</v>
      </c>
      <c r="B345" t="s">
        <v>435</v>
      </c>
      <c r="C345" t="s">
        <v>357</v>
      </c>
      <c r="D345" t="s">
        <v>46</v>
      </c>
      <c r="E345" t="s">
        <v>47</v>
      </c>
      <c r="F345" t="s">
        <v>48</v>
      </c>
      <c r="G345" t="s">
        <v>107</v>
      </c>
      <c r="H345">
        <v>204</v>
      </c>
      <c r="I345">
        <v>30</v>
      </c>
      <c r="J345">
        <v>50</v>
      </c>
      <c r="K345" t="s">
        <v>29</v>
      </c>
      <c r="L345">
        <v>33</v>
      </c>
      <c r="M345" t="s">
        <v>21</v>
      </c>
      <c r="N345">
        <f>COUNTIF(order_data[Order_ID],order_data[[#This Row],[Order_ID]])</f>
        <v>1</v>
      </c>
      <c r="O345">
        <f>order_data[[#This Row],[Order_Value]]-order_data[[#This Row],[Discount]]</f>
        <v>154</v>
      </c>
      <c r="P345">
        <f>order_data[[#This Row],[Order_Value]]+order_data[[#This Row],[Delivery_Fee]]-order_data[[#This Row],[Discount]]</f>
        <v>184</v>
      </c>
      <c r="Q345" t="str">
        <f>TEXT(order_data[[#This Row],[Order_Date]],"mmm")</f>
        <v>Feb</v>
      </c>
      <c r="R345">
        <f>MONTH(order_data[[#This Row],[Order_Date]])</f>
        <v>2</v>
      </c>
    </row>
    <row r="346" spans="1:18" x14ac:dyDescent="0.35">
      <c r="A346" t="s">
        <v>758</v>
      </c>
      <c r="B346" t="s">
        <v>241</v>
      </c>
      <c r="C346" t="s">
        <v>759</v>
      </c>
      <c r="D346" t="s">
        <v>40</v>
      </c>
      <c r="E346" t="s">
        <v>67</v>
      </c>
      <c r="F346" t="s">
        <v>48</v>
      </c>
      <c r="G346" t="s">
        <v>59</v>
      </c>
      <c r="H346">
        <v>293</v>
      </c>
      <c r="I346">
        <v>40</v>
      </c>
      <c r="J346">
        <v>50</v>
      </c>
      <c r="K346" t="s">
        <v>20</v>
      </c>
      <c r="L346">
        <v>29</v>
      </c>
      <c r="M346" t="s">
        <v>21</v>
      </c>
      <c r="N346">
        <f>COUNTIF(order_data[Order_ID],order_data[[#This Row],[Order_ID]])</f>
        <v>1</v>
      </c>
      <c r="O346">
        <f>order_data[[#This Row],[Order_Value]]-order_data[[#This Row],[Discount]]</f>
        <v>243</v>
      </c>
      <c r="P346">
        <f>order_data[[#This Row],[Order_Value]]+order_data[[#This Row],[Delivery_Fee]]-order_data[[#This Row],[Discount]]</f>
        <v>283</v>
      </c>
      <c r="Q346" t="str">
        <f>TEXT(order_data[[#This Row],[Order_Date]],"mmm")</f>
        <v>Mar</v>
      </c>
      <c r="R346">
        <f>MONTH(order_data[[#This Row],[Order_Date]])</f>
        <v>3</v>
      </c>
    </row>
    <row r="347" spans="1:18" x14ac:dyDescent="0.35">
      <c r="A347" t="s">
        <v>760</v>
      </c>
      <c r="B347" t="s">
        <v>342</v>
      </c>
      <c r="C347" t="s">
        <v>563</v>
      </c>
      <c r="D347" t="s">
        <v>25</v>
      </c>
      <c r="E347" t="s">
        <v>78</v>
      </c>
      <c r="F347" t="s">
        <v>48</v>
      </c>
      <c r="G347" t="s">
        <v>19</v>
      </c>
      <c r="H347">
        <v>275</v>
      </c>
      <c r="I347">
        <v>50</v>
      </c>
      <c r="J347">
        <v>50</v>
      </c>
      <c r="K347" t="s">
        <v>29</v>
      </c>
      <c r="L347">
        <v>33</v>
      </c>
      <c r="M347" t="s">
        <v>21</v>
      </c>
      <c r="N347">
        <f>COUNTIF(order_data[Order_ID],order_data[[#This Row],[Order_ID]])</f>
        <v>1</v>
      </c>
      <c r="O347">
        <f>order_data[[#This Row],[Order_Value]]-order_data[[#This Row],[Discount]]</f>
        <v>225</v>
      </c>
      <c r="P347">
        <f>order_data[[#This Row],[Order_Value]]+order_data[[#This Row],[Delivery_Fee]]-order_data[[#This Row],[Discount]]</f>
        <v>275</v>
      </c>
      <c r="Q347" t="str">
        <f>TEXT(order_data[[#This Row],[Order_Date]],"mmm")</f>
        <v>Jan</v>
      </c>
      <c r="R347">
        <f>MONTH(order_data[[#This Row],[Order_Date]])</f>
        <v>1</v>
      </c>
    </row>
    <row r="348" spans="1:18" x14ac:dyDescent="0.35">
      <c r="A348" t="s">
        <v>761</v>
      </c>
      <c r="B348" t="s">
        <v>80</v>
      </c>
      <c r="C348" t="s">
        <v>353</v>
      </c>
      <c r="D348" t="s">
        <v>16</v>
      </c>
      <c r="E348" t="s">
        <v>89</v>
      </c>
      <c r="F348" t="s">
        <v>18</v>
      </c>
      <c r="G348" t="s">
        <v>63</v>
      </c>
      <c r="H348">
        <v>447</v>
      </c>
      <c r="I348">
        <v>40</v>
      </c>
      <c r="J348">
        <v>30</v>
      </c>
      <c r="K348" t="s">
        <v>36</v>
      </c>
      <c r="L348">
        <v>32</v>
      </c>
      <c r="M348" t="s">
        <v>21</v>
      </c>
      <c r="N348">
        <f>COUNTIF(order_data[Order_ID],order_data[[#This Row],[Order_ID]])</f>
        <v>1</v>
      </c>
      <c r="O348">
        <f>order_data[[#This Row],[Order_Value]]-order_data[[#This Row],[Discount]]</f>
        <v>417</v>
      </c>
      <c r="P348">
        <f>order_data[[#This Row],[Order_Value]]+order_data[[#This Row],[Delivery_Fee]]-order_data[[#This Row],[Discount]]</f>
        <v>457</v>
      </c>
      <c r="Q348" t="str">
        <f>TEXT(order_data[[#This Row],[Order_Date]],"mmm")</f>
        <v>Feb</v>
      </c>
      <c r="R348">
        <f>MONTH(order_data[[#This Row],[Order_Date]])</f>
        <v>2</v>
      </c>
    </row>
    <row r="349" spans="1:18" x14ac:dyDescent="0.35">
      <c r="A349" t="s">
        <v>762</v>
      </c>
      <c r="B349" t="s">
        <v>435</v>
      </c>
      <c r="C349" t="s">
        <v>763</v>
      </c>
      <c r="D349" t="s">
        <v>40</v>
      </c>
      <c r="E349" t="s">
        <v>111</v>
      </c>
      <c r="F349" t="s">
        <v>18</v>
      </c>
      <c r="G349" t="s">
        <v>59</v>
      </c>
      <c r="H349">
        <v>688</v>
      </c>
      <c r="I349">
        <v>30</v>
      </c>
      <c r="J349">
        <v>30</v>
      </c>
      <c r="K349" t="s">
        <v>20</v>
      </c>
      <c r="L349">
        <v>57</v>
      </c>
      <c r="M349" t="s">
        <v>21</v>
      </c>
      <c r="N349">
        <f>COUNTIF(order_data[Order_ID],order_data[[#This Row],[Order_ID]])</f>
        <v>1</v>
      </c>
      <c r="O349">
        <f>order_data[[#This Row],[Order_Value]]-order_data[[#This Row],[Discount]]</f>
        <v>658</v>
      </c>
      <c r="P349">
        <f>order_data[[#This Row],[Order_Value]]+order_data[[#This Row],[Delivery_Fee]]-order_data[[#This Row],[Discount]]</f>
        <v>688</v>
      </c>
      <c r="Q349" t="str">
        <f>TEXT(order_data[[#This Row],[Order_Date]],"mmm")</f>
        <v>Feb</v>
      </c>
      <c r="R349">
        <f>MONTH(order_data[[#This Row],[Order_Date]])</f>
        <v>2</v>
      </c>
    </row>
    <row r="350" spans="1:18" x14ac:dyDescent="0.35">
      <c r="A350" t="s">
        <v>764</v>
      </c>
      <c r="B350" t="s">
        <v>435</v>
      </c>
      <c r="C350" t="s">
        <v>765</v>
      </c>
      <c r="D350" t="s">
        <v>16</v>
      </c>
      <c r="E350" t="s">
        <v>17</v>
      </c>
      <c r="F350" t="s">
        <v>18</v>
      </c>
      <c r="G350" t="s">
        <v>107</v>
      </c>
      <c r="H350">
        <v>594</v>
      </c>
      <c r="I350">
        <v>40</v>
      </c>
      <c r="J350">
        <v>0</v>
      </c>
      <c r="K350" t="s">
        <v>20</v>
      </c>
      <c r="L350">
        <v>28</v>
      </c>
      <c r="M350" t="s">
        <v>21</v>
      </c>
      <c r="N350">
        <f>COUNTIF(order_data[Order_ID],order_data[[#This Row],[Order_ID]])</f>
        <v>1</v>
      </c>
      <c r="O350">
        <f>order_data[[#This Row],[Order_Value]]-order_data[[#This Row],[Discount]]</f>
        <v>594</v>
      </c>
      <c r="P350">
        <f>order_data[[#This Row],[Order_Value]]+order_data[[#This Row],[Delivery_Fee]]-order_data[[#This Row],[Discount]]</f>
        <v>634</v>
      </c>
      <c r="Q350" t="str">
        <f>TEXT(order_data[[#This Row],[Order_Date]],"mmm")</f>
        <v>Feb</v>
      </c>
      <c r="R350">
        <f>MONTH(order_data[[#This Row],[Order_Date]])</f>
        <v>2</v>
      </c>
    </row>
    <row r="351" spans="1:18" x14ac:dyDescent="0.35">
      <c r="A351" t="s">
        <v>766</v>
      </c>
      <c r="B351" t="s">
        <v>207</v>
      </c>
      <c r="C351" t="s">
        <v>767</v>
      </c>
      <c r="D351" t="s">
        <v>46</v>
      </c>
      <c r="E351" t="s">
        <v>70</v>
      </c>
      <c r="F351" t="s">
        <v>18</v>
      </c>
      <c r="G351" t="s">
        <v>28</v>
      </c>
      <c r="H351">
        <v>470</v>
      </c>
      <c r="I351">
        <v>30</v>
      </c>
      <c r="J351">
        <v>100</v>
      </c>
      <c r="K351" t="s">
        <v>29</v>
      </c>
      <c r="L351">
        <v>21</v>
      </c>
      <c r="M351" t="s">
        <v>21</v>
      </c>
      <c r="N351">
        <f>COUNTIF(order_data[Order_ID],order_data[[#This Row],[Order_ID]])</f>
        <v>1</v>
      </c>
      <c r="O351">
        <f>order_data[[#This Row],[Order_Value]]-order_data[[#This Row],[Discount]]</f>
        <v>370</v>
      </c>
      <c r="P351">
        <f>order_data[[#This Row],[Order_Value]]+order_data[[#This Row],[Delivery_Fee]]-order_data[[#This Row],[Discount]]</f>
        <v>400</v>
      </c>
      <c r="Q351" t="str">
        <f>TEXT(order_data[[#This Row],[Order_Date]],"mmm")</f>
        <v>Jan</v>
      </c>
      <c r="R351">
        <f>MONTH(order_data[[#This Row],[Order_Date]])</f>
        <v>1</v>
      </c>
    </row>
    <row r="352" spans="1:18" x14ac:dyDescent="0.35">
      <c r="A352" t="s">
        <v>768</v>
      </c>
      <c r="B352" t="s">
        <v>65</v>
      </c>
      <c r="C352" t="s">
        <v>369</v>
      </c>
      <c r="D352" t="s">
        <v>16</v>
      </c>
      <c r="E352" t="s">
        <v>17</v>
      </c>
      <c r="F352" t="s">
        <v>18</v>
      </c>
      <c r="G352" t="s">
        <v>49</v>
      </c>
      <c r="H352">
        <v>584</v>
      </c>
      <c r="I352">
        <v>40</v>
      </c>
      <c r="J352">
        <v>50</v>
      </c>
      <c r="K352" t="s">
        <v>29</v>
      </c>
      <c r="L352">
        <v>52</v>
      </c>
      <c r="M352" t="s">
        <v>21</v>
      </c>
      <c r="N352">
        <f>COUNTIF(order_data[Order_ID],order_data[[#This Row],[Order_ID]])</f>
        <v>1</v>
      </c>
      <c r="O352">
        <f>order_data[[#This Row],[Order_Value]]-order_data[[#This Row],[Discount]]</f>
        <v>534</v>
      </c>
      <c r="P352">
        <f>order_data[[#This Row],[Order_Value]]+order_data[[#This Row],[Delivery_Fee]]-order_data[[#This Row],[Discount]]</f>
        <v>574</v>
      </c>
      <c r="Q352" t="str">
        <f>TEXT(order_data[[#This Row],[Order_Date]],"mmm")</f>
        <v>Mar</v>
      </c>
      <c r="R352">
        <f>MONTH(order_data[[#This Row],[Order_Date]])</f>
        <v>3</v>
      </c>
    </row>
    <row r="353" spans="1:18" x14ac:dyDescent="0.35">
      <c r="A353" t="s">
        <v>769</v>
      </c>
      <c r="B353" t="s">
        <v>105</v>
      </c>
      <c r="C353" t="s">
        <v>287</v>
      </c>
      <c r="D353" t="s">
        <v>25</v>
      </c>
      <c r="E353" t="s">
        <v>26</v>
      </c>
      <c r="F353" t="s">
        <v>27</v>
      </c>
      <c r="G353" t="s">
        <v>107</v>
      </c>
      <c r="H353">
        <v>710</v>
      </c>
      <c r="I353">
        <v>40</v>
      </c>
      <c r="J353">
        <v>100</v>
      </c>
      <c r="K353" t="s">
        <v>36</v>
      </c>
      <c r="L353">
        <v>26</v>
      </c>
      <c r="M353" t="s">
        <v>21</v>
      </c>
      <c r="N353">
        <f>COUNTIF(order_data[Order_ID],order_data[[#This Row],[Order_ID]])</f>
        <v>1</v>
      </c>
      <c r="O353">
        <f>order_data[[#This Row],[Order_Value]]-order_data[[#This Row],[Discount]]</f>
        <v>610</v>
      </c>
      <c r="P353">
        <f>order_data[[#This Row],[Order_Value]]+order_data[[#This Row],[Delivery_Fee]]-order_data[[#This Row],[Discount]]</f>
        <v>650</v>
      </c>
      <c r="Q353" t="str">
        <f>TEXT(order_data[[#This Row],[Order_Date]],"mmm")</f>
        <v>Mar</v>
      </c>
      <c r="R353">
        <f>MONTH(order_data[[#This Row],[Order_Date]])</f>
        <v>3</v>
      </c>
    </row>
    <row r="354" spans="1:18" x14ac:dyDescent="0.35">
      <c r="A354" t="s">
        <v>770</v>
      </c>
      <c r="B354" t="s">
        <v>146</v>
      </c>
      <c r="C354" t="s">
        <v>771</v>
      </c>
      <c r="D354" t="s">
        <v>40</v>
      </c>
      <c r="E354" t="s">
        <v>41</v>
      </c>
      <c r="F354" t="s">
        <v>27</v>
      </c>
      <c r="G354" t="s">
        <v>74</v>
      </c>
      <c r="H354">
        <v>486</v>
      </c>
      <c r="I354">
        <v>40</v>
      </c>
      <c r="J354">
        <v>0</v>
      </c>
      <c r="K354" t="s">
        <v>36</v>
      </c>
      <c r="L354">
        <v>30</v>
      </c>
      <c r="M354" t="s">
        <v>21</v>
      </c>
      <c r="N354">
        <f>COUNTIF(order_data[Order_ID],order_data[[#This Row],[Order_ID]])</f>
        <v>1</v>
      </c>
      <c r="O354">
        <f>order_data[[#This Row],[Order_Value]]-order_data[[#This Row],[Discount]]</f>
        <v>486</v>
      </c>
      <c r="P354">
        <f>order_data[[#This Row],[Order_Value]]+order_data[[#This Row],[Delivery_Fee]]-order_data[[#This Row],[Discount]]</f>
        <v>526</v>
      </c>
      <c r="Q354" t="str">
        <f>TEXT(order_data[[#This Row],[Order_Date]],"mmm")</f>
        <v>Feb</v>
      </c>
      <c r="R354">
        <f>MONTH(order_data[[#This Row],[Order_Date]])</f>
        <v>2</v>
      </c>
    </row>
    <row r="355" spans="1:18" x14ac:dyDescent="0.35">
      <c r="A355" t="s">
        <v>772</v>
      </c>
      <c r="B355" t="s">
        <v>267</v>
      </c>
      <c r="C355" t="s">
        <v>690</v>
      </c>
      <c r="D355" t="s">
        <v>40</v>
      </c>
      <c r="E355" t="s">
        <v>111</v>
      </c>
      <c r="F355" t="s">
        <v>18</v>
      </c>
      <c r="G355" t="s">
        <v>49</v>
      </c>
      <c r="H355">
        <v>349</v>
      </c>
      <c r="I355">
        <v>50</v>
      </c>
      <c r="J355">
        <v>20</v>
      </c>
      <c r="K355" t="s">
        <v>20</v>
      </c>
      <c r="L355">
        <v>37</v>
      </c>
      <c r="M355" t="s">
        <v>21</v>
      </c>
      <c r="N355">
        <f>COUNTIF(order_data[Order_ID],order_data[[#This Row],[Order_ID]])</f>
        <v>1</v>
      </c>
      <c r="O355">
        <f>order_data[[#This Row],[Order_Value]]-order_data[[#This Row],[Discount]]</f>
        <v>329</v>
      </c>
      <c r="P355">
        <f>order_data[[#This Row],[Order_Value]]+order_data[[#This Row],[Delivery_Fee]]-order_data[[#This Row],[Discount]]</f>
        <v>379</v>
      </c>
      <c r="Q355" t="str">
        <f>TEXT(order_data[[#This Row],[Order_Date]],"mmm")</f>
        <v>Jan</v>
      </c>
      <c r="R355">
        <f>MONTH(order_data[[#This Row],[Order_Date]])</f>
        <v>1</v>
      </c>
    </row>
    <row r="356" spans="1:18" x14ac:dyDescent="0.35">
      <c r="A356" t="s">
        <v>773</v>
      </c>
      <c r="B356" t="s">
        <v>51</v>
      </c>
      <c r="C356" t="s">
        <v>774</v>
      </c>
      <c r="D356" t="s">
        <v>40</v>
      </c>
      <c r="E356" t="s">
        <v>41</v>
      </c>
      <c r="F356" t="s">
        <v>27</v>
      </c>
      <c r="G356" t="s">
        <v>63</v>
      </c>
      <c r="H356">
        <v>797</v>
      </c>
      <c r="I356">
        <v>50</v>
      </c>
      <c r="J356">
        <v>0</v>
      </c>
      <c r="K356" t="s">
        <v>20</v>
      </c>
      <c r="L356">
        <v>59</v>
      </c>
      <c r="M356" t="s">
        <v>21</v>
      </c>
      <c r="N356">
        <f>COUNTIF(order_data[Order_ID],order_data[[#This Row],[Order_ID]])</f>
        <v>1</v>
      </c>
      <c r="O356">
        <f>order_data[[#This Row],[Order_Value]]-order_data[[#This Row],[Discount]]</f>
        <v>797</v>
      </c>
      <c r="P356">
        <f>order_data[[#This Row],[Order_Value]]+order_data[[#This Row],[Delivery_Fee]]-order_data[[#This Row],[Discount]]</f>
        <v>847</v>
      </c>
      <c r="Q356" t="str">
        <f>TEXT(order_data[[#This Row],[Order_Date]],"mmm")</f>
        <v>Feb</v>
      </c>
      <c r="R356">
        <f>MONTH(order_data[[#This Row],[Order_Date]])</f>
        <v>2</v>
      </c>
    </row>
    <row r="357" spans="1:18" x14ac:dyDescent="0.35">
      <c r="A357" t="s">
        <v>775</v>
      </c>
      <c r="B357" t="s">
        <v>600</v>
      </c>
      <c r="C357" t="s">
        <v>598</v>
      </c>
      <c r="D357" t="s">
        <v>16</v>
      </c>
      <c r="E357" t="s">
        <v>131</v>
      </c>
      <c r="F357" t="s">
        <v>55</v>
      </c>
      <c r="G357" t="s">
        <v>107</v>
      </c>
      <c r="H357">
        <v>795</v>
      </c>
      <c r="I357">
        <v>20</v>
      </c>
      <c r="J357">
        <v>100</v>
      </c>
      <c r="K357" t="s">
        <v>20</v>
      </c>
      <c r="L357">
        <v>57</v>
      </c>
      <c r="M357" t="s">
        <v>21</v>
      </c>
      <c r="N357">
        <f>COUNTIF(order_data[Order_ID],order_data[[#This Row],[Order_ID]])</f>
        <v>1</v>
      </c>
      <c r="O357">
        <f>order_data[[#This Row],[Order_Value]]-order_data[[#This Row],[Discount]]</f>
        <v>695</v>
      </c>
      <c r="P357">
        <f>order_data[[#This Row],[Order_Value]]+order_data[[#This Row],[Delivery_Fee]]-order_data[[#This Row],[Discount]]</f>
        <v>715</v>
      </c>
      <c r="Q357" t="str">
        <f>TEXT(order_data[[#This Row],[Order_Date]],"mmm")</f>
        <v>Mar</v>
      </c>
      <c r="R357">
        <f>MONTH(order_data[[#This Row],[Order_Date]])</f>
        <v>3</v>
      </c>
    </row>
    <row r="358" spans="1:18" x14ac:dyDescent="0.35">
      <c r="A358" t="s">
        <v>776</v>
      </c>
      <c r="B358" t="s">
        <v>207</v>
      </c>
      <c r="C358" t="s">
        <v>694</v>
      </c>
      <c r="D358" t="s">
        <v>40</v>
      </c>
      <c r="E358" t="s">
        <v>67</v>
      </c>
      <c r="F358" t="s">
        <v>48</v>
      </c>
      <c r="G358" t="s">
        <v>74</v>
      </c>
      <c r="H358">
        <v>568</v>
      </c>
      <c r="I358">
        <v>30</v>
      </c>
      <c r="J358">
        <v>100</v>
      </c>
      <c r="K358" t="s">
        <v>20</v>
      </c>
      <c r="L358">
        <v>45</v>
      </c>
      <c r="M358" t="s">
        <v>21</v>
      </c>
      <c r="N358">
        <f>COUNTIF(order_data[Order_ID],order_data[[#This Row],[Order_ID]])</f>
        <v>1</v>
      </c>
      <c r="O358">
        <f>order_data[[#This Row],[Order_Value]]-order_data[[#This Row],[Discount]]</f>
        <v>468</v>
      </c>
      <c r="P358">
        <f>order_data[[#This Row],[Order_Value]]+order_data[[#This Row],[Delivery_Fee]]-order_data[[#This Row],[Discount]]</f>
        <v>498</v>
      </c>
      <c r="Q358" t="str">
        <f>TEXT(order_data[[#This Row],[Order_Date]],"mmm")</f>
        <v>Jan</v>
      </c>
      <c r="R358">
        <f>MONTH(order_data[[#This Row],[Order_Date]])</f>
        <v>1</v>
      </c>
    </row>
    <row r="359" spans="1:18" x14ac:dyDescent="0.35">
      <c r="A359" t="s">
        <v>777</v>
      </c>
      <c r="B359" t="s">
        <v>167</v>
      </c>
      <c r="C359" t="s">
        <v>433</v>
      </c>
      <c r="D359" t="s">
        <v>25</v>
      </c>
      <c r="E359" t="s">
        <v>34</v>
      </c>
      <c r="F359" t="s">
        <v>27</v>
      </c>
      <c r="G359" t="s">
        <v>42</v>
      </c>
      <c r="H359">
        <v>516</v>
      </c>
      <c r="I359">
        <v>50</v>
      </c>
      <c r="J359">
        <v>20</v>
      </c>
      <c r="K359" t="s">
        <v>20</v>
      </c>
      <c r="L359">
        <v>55</v>
      </c>
      <c r="M359" t="s">
        <v>21</v>
      </c>
      <c r="N359">
        <f>COUNTIF(order_data[Order_ID],order_data[[#This Row],[Order_ID]])</f>
        <v>1</v>
      </c>
      <c r="O359">
        <f>order_data[[#This Row],[Order_Value]]-order_data[[#This Row],[Discount]]</f>
        <v>496</v>
      </c>
      <c r="P359">
        <f>order_data[[#This Row],[Order_Value]]+order_data[[#This Row],[Delivery_Fee]]-order_data[[#This Row],[Discount]]</f>
        <v>546</v>
      </c>
      <c r="Q359" t="str">
        <f>TEXT(order_data[[#This Row],[Order_Date]],"mmm")</f>
        <v>Feb</v>
      </c>
      <c r="R359">
        <f>MONTH(order_data[[#This Row],[Order_Date]])</f>
        <v>2</v>
      </c>
    </row>
    <row r="360" spans="1:18" x14ac:dyDescent="0.35">
      <c r="A360" t="s">
        <v>778</v>
      </c>
      <c r="B360" t="s">
        <v>129</v>
      </c>
      <c r="C360" t="s">
        <v>779</v>
      </c>
      <c r="D360" t="s">
        <v>25</v>
      </c>
      <c r="E360" t="s">
        <v>34</v>
      </c>
      <c r="F360" t="s">
        <v>27</v>
      </c>
      <c r="G360" t="s">
        <v>63</v>
      </c>
      <c r="H360">
        <v>452</v>
      </c>
      <c r="I360">
        <v>20</v>
      </c>
      <c r="J360">
        <v>20</v>
      </c>
      <c r="K360" t="s">
        <v>20</v>
      </c>
      <c r="L360">
        <v>24</v>
      </c>
      <c r="M360" t="s">
        <v>21</v>
      </c>
      <c r="N360">
        <f>COUNTIF(order_data[Order_ID],order_data[[#This Row],[Order_ID]])</f>
        <v>1</v>
      </c>
      <c r="O360">
        <f>order_data[[#This Row],[Order_Value]]-order_data[[#This Row],[Discount]]</f>
        <v>432</v>
      </c>
      <c r="P360">
        <f>order_data[[#This Row],[Order_Value]]+order_data[[#This Row],[Delivery_Fee]]-order_data[[#This Row],[Discount]]</f>
        <v>452</v>
      </c>
      <c r="Q360" t="str">
        <f>TEXT(order_data[[#This Row],[Order_Date]],"mmm")</f>
        <v>Feb</v>
      </c>
      <c r="R360">
        <f>MONTH(order_data[[#This Row],[Order_Date]])</f>
        <v>2</v>
      </c>
    </row>
    <row r="361" spans="1:18" x14ac:dyDescent="0.35">
      <c r="A361" t="s">
        <v>780</v>
      </c>
      <c r="B361" t="s">
        <v>38</v>
      </c>
      <c r="C361" t="s">
        <v>781</v>
      </c>
      <c r="D361" t="s">
        <v>53</v>
      </c>
      <c r="E361" t="s">
        <v>54</v>
      </c>
      <c r="F361" t="s">
        <v>55</v>
      </c>
      <c r="G361" t="s">
        <v>176</v>
      </c>
      <c r="H361">
        <v>383</v>
      </c>
      <c r="I361">
        <v>50</v>
      </c>
      <c r="J361">
        <v>20</v>
      </c>
      <c r="K361" t="s">
        <v>29</v>
      </c>
      <c r="L361">
        <v>22</v>
      </c>
      <c r="M361" t="s">
        <v>21</v>
      </c>
      <c r="N361">
        <f>COUNTIF(order_data[Order_ID],order_data[[#This Row],[Order_ID]])</f>
        <v>1</v>
      </c>
      <c r="O361">
        <f>order_data[[#This Row],[Order_Value]]-order_data[[#This Row],[Discount]]</f>
        <v>363</v>
      </c>
      <c r="P361">
        <f>order_data[[#This Row],[Order_Value]]+order_data[[#This Row],[Delivery_Fee]]-order_data[[#This Row],[Discount]]</f>
        <v>413</v>
      </c>
      <c r="Q361" t="str">
        <f>TEXT(order_data[[#This Row],[Order_Date]],"mmm")</f>
        <v>Jan</v>
      </c>
      <c r="R361">
        <f>MONTH(order_data[[#This Row],[Order_Date]])</f>
        <v>1</v>
      </c>
    </row>
    <row r="362" spans="1:18" x14ac:dyDescent="0.35">
      <c r="A362" t="s">
        <v>782</v>
      </c>
      <c r="B362" t="s">
        <v>244</v>
      </c>
      <c r="C362" t="s">
        <v>157</v>
      </c>
      <c r="D362" t="s">
        <v>16</v>
      </c>
      <c r="E362" t="s">
        <v>89</v>
      </c>
      <c r="F362" t="s">
        <v>18</v>
      </c>
      <c r="G362" t="s">
        <v>49</v>
      </c>
      <c r="H362">
        <v>150</v>
      </c>
      <c r="I362">
        <v>30</v>
      </c>
      <c r="J362">
        <v>100</v>
      </c>
      <c r="K362" t="s">
        <v>36</v>
      </c>
      <c r="L362">
        <v>21</v>
      </c>
      <c r="M362" t="s">
        <v>21</v>
      </c>
      <c r="N362">
        <f>COUNTIF(order_data[Order_ID],order_data[[#This Row],[Order_ID]])</f>
        <v>1</v>
      </c>
      <c r="O362">
        <f>order_data[[#This Row],[Order_Value]]-order_data[[#This Row],[Discount]]</f>
        <v>50</v>
      </c>
      <c r="P362">
        <f>order_data[[#This Row],[Order_Value]]+order_data[[#This Row],[Delivery_Fee]]-order_data[[#This Row],[Discount]]</f>
        <v>80</v>
      </c>
      <c r="Q362" t="str">
        <f>TEXT(order_data[[#This Row],[Order_Date]],"mmm")</f>
        <v>Feb</v>
      </c>
      <c r="R362">
        <f>MONTH(order_data[[#This Row],[Order_Date]])</f>
        <v>2</v>
      </c>
    </row>
    <row r="363" spans="1:18" x14ac:dyDescent="0.35">
      <c r="A363" t="s">
        <v>783</v>
      </c>
      <c r="B363" t="s">
        <v>398</v>
      </c>
      <c r="C363" t="s">
        <v>784</v>
      </c>
      <c r="D363" t="s">
        <v>40</v>
      </c>
      <c r="E363" t="s">
        <v>67</v>
      </c>
      <c r="F363" t="s">
        <v>48</v>
      </c>
      <c r="G363" t="s">
        <v>107</v>
      </c>
      <c r="H363">
        <v>758</v>
      </c>
      <c r="I363">
        <v>50</v>
      </c>
      <c r="J363">
        <v>30</v>
      </c>
      <c r="K363" t="s">
        <v>29</v>
      </c>
      <c r="L363">
        <v>32</v>
      </c>
      <c r="M363" t="s">
        <v>21</v>
      </c>
      <c r="N363">
        <f>COUNTIF(order_data[Order_ID],order_data[[#This Row],[Order_ID]])</f>
        <v>1</v>
      </c>
      <c r="O363">
        <f>order_data[[#This Row],[Order_Value]]-order_data[[#This Row],[Discount]]</f>
        <v>728</v>
      </c>
      <c r="P363">
        <f>order_data[[#This Row],[Order_Value]]+order_data[[#This Row],[Delivery_Fee]]-order_data[[#This Row],[Discount]]</f>
        <v>778</v>
      </c>
      <c r="Q363" t="str">
        <f>TEXT(order_data[[#This Row],[Order_Date]],"mmm")</f>
        <v>Feb</v>
      </c>
      <c r="R363">
        <f>MONTH(order_data[[#This Row],[Order_Date]])</f>
        <v>2</v>
      </c>
    </row>
    <row r="364" spans="1:18" x14ac:dyDescent="0.35">
      <c r="A364" t="s">
        <v>785</v>
      </c>
      <c r="B364" t="s">
        <v>291</v>
      </c>
      <c r="C364" t="s">
        <v>482</v>
      </c>
      <c r="D364" t="s">
        <v>53</v>
      </c>
      <c r="E364" t="s">
        <v>84</v>
      </c>
      <c r="F364" t="s">
        <v>85</v>
      </c>
      <c r="G364" t="s">
        <v>59</v>
      </c>
      <c r="H364">
        <v>628</v>
      </c>
      <c r="I364">
        <v>20</v>
      </c>
      <c r="J364">
        <v>30</v>
      </c>
      <c r="K364" t="s">
        <v>36</v>
      </c>
      <c r="L364">
        <v>59</v>
      </c>
      <c r="M364" t="s">
        <v>21</v>
      </c>
      <c r="N364">
        <f>COUNTIF(order_data[Order_ID],order_data[[#This Row],[Order_ID]])</f>
        <v>1</v>
      </c>
      <c r="O364">
        <f>order_data[[#This Row],[Order_Value]]-order_data[[#This Row],[Discount]]</f>
        <v>598</v>
      </c>
      <c r="P364">
        <f>order_data[[#This Row],[Order_Value]]+order_data[[#This Row],[Delivery_Fee]]-order_data[[#This Row],[Discount]]</f>
        <v>618</v>
      </c>
      <c r="Q364" t="str">
        <f>TEXT(order_data[[#This Row],[Order_Date]],"mmm")</f>
        <v>Feb</v>
      </c>
      <c r="R364">
        <f>MONTH(order_data[[#This Row],[Order_Date]])</f>
        <v>2</v>
      </c>
    </row>
    <row r="365" spans="1:18" x14ac:dyDescent="0.35">
      <c r="A365" t="s">
        <v>786</v>
      </c>
      <c r="B365" t="s">
        <v>247</v>
      </c>
      <c r="C365" t="s">
        <v>767</v>
      </c>
      <c r="D365" t="s">
        <v>46</v>
      </c>
      <c r="E365" t="s">
        <v>47</v>
      </c>
      <c r="F365" t="s">
        <v>48</v>
      </c>
      <c r="G365" t="s">
        <v>74</v>
      </c>
      <c r="H365">
        <v>409</v>
      </c>
      <c r="I365">
        <v>20</v>
      </c>
      <c r="J365">
        <v>50</v>
      </c>
      <c r="K365" t="s">
        <v>20</v>
      </c>
      <c r="L365">
        <v>39</v>
      </c>
      <c r="M365" t="s">
        <v>21</v>
      </c>
      <c r="N365">
        <f>COUNTIF(order_data[Order_ID],order_data[[#This Row],[Order_ID]])</f>
        <v>1</v>
      </c>
      <c r="O365">
        <f>order_data[[#This Row],[Order_Value]]-order_data[[#This Row],[Discount]]</f>
        <v>359</v>
      </c>
      <c r="P365">
        <f>order_data[[#This Row],[Order_Value]]+order_data[[#This Row],[Delivery_Fee]]-order_data[[#This Row],[Discount]]</f>
        <v>379</v>
      </c>
      <c r="Q365" t="str">
        <f>TEXT(order_data[[#This Row],[Order_Date]],"mmm")</f>
        <v>Mar</v>
      </c>
      <c r="R365">
        <f>MONTH(order_data[[#This Row],[Order_Date]])</f>
        <v>3</v>
      </c>
    </row>
    <row r="366" spans="1:18" x14ac:dyDescent="0.35">
      <c r="A366" t="s">
        <v>787</v>
      </c>
      <c r="B366" t="s">
        <v>109</v>
      </c>
      <c r="C366" t="s">
        <v>752</v>
      </c>
      <c r="D366" t="s">
        <v>46</v>
      </c>
      <c r="E366" t="s">
        <v>47</v>
      </c>
      <c r="F366" t="s">
        <v>48</v>
      </c>
      <c r="G366" t="s">
        <v>59</v>
      </c>
      <c r="H366">
        <v>159</v>
      </c>
      <c r="I366">
        <v>20</v>
      </c>
      <c r="J366">
        <v>30</v>
      </c>
      <c r="K366" t="s">
        <v>36</v>
      </c>
      <c r="L366">
        <v>57</v>
      </c>
      <c r="M366" t="s">
        <v>21</v>
      </c>
      <c r="N366">
        <f>COUNTIF(order_data[Order_ID],order_data[[#This Row],[Order_ID]])</f>
        <v>1</v>
      </c>
      <c r="O366">
        <f>order_data[[#This Row],[Order_Value]]-order_data[[#This Row],[Discount]]</f>
        <v>129</v>
      </c>
      <c r="P366">
        <f>order_data[[#This Row],[Order_Value]]+order_data[[#This Row],[Delivery_Fee]]-order_data[[#This Row],[Discount]]</f>
        <v>149</v>
      </c>
      <c r="Q366" t="str">
        <f>TEXT(order_data[[#This Row],[Order_Date]],"mmm")</f>
        <v>Jan</v>
      </c>
      <c r="R366">
        <f>MONTH(order_data[[#This Row],[Order_Date]])</f>
        <v>1</v>
      </c>
    </row>
    <row r="367" spans="1:18" x14ac:dyDescent="0.35">
      <c r="A367" t="s">
        <v>788</v>
      </c>
      <c r="B367" t="s">
        <v>199</v>
      </c>
      <c r="C367" t="s">
        <v>789</v>
      </c>
      <c r="D367" t="s">
        <v>40</v>
      </c>
      <c r="E367" t="s">
        <v>111</v>
      </c>
      <c r="F367" t="s">
        <v>18</v>
      </c>
      <c r="G367" t="s">
        <v>63</v>
      </c>
      <c r="H367">
        <v>176</v>
      </c>
      <c r="I367">
        <v>50</v>
      </c>
      <c r="J367">
        <v>30</v>
      </c>
      <c r="K367" t="s">
        <v>36</v>
      </c>
      <c r="L367">
        <v>60</v>
      </c>
      <c r="M367" t="s">
        <v>21</v>
      </c>
      <c r="N367">
        <f>COUNTIF(order_data[Order_ID],order_data[[#This Row],[Order_ID]])</f>
        <v>1</v>
      </c>
      <c r="O367">
        <f>order_data[[#This Row],[Order_Value]]-order_data[[#This Row],[Discount]]</f>
        <v>146</v>
      </c>
      <c r="P367">
        <f>order_data[[#This Row],[Order_Value]]+order_data[[#This Row],[Delivery_Fee]]-order_data[[#This Row],[Discount]]</f>
        <v>196</v>
      </c>
      <c r="Q367" t="str">
        <f>TEXT(order_data[[#This Row],[Order_Date]],"mmm")</f>
        <v>Jan</v>
      </c>
      <c r="R367">
        <f>MONTH(order_data[[#This Row],[Order_Date]])</f>
        <v>1</v>
      </c>
    </row>
    <row r="368" spans="1:18" x14ac:dyDescent="0.35">
      <c r="A368" t="s">
        <v>790</v>
      </c>
      <c r="B368" t="s">
        <v>207</v>
      </c>
      <c r="C368" t="s">
        <v>791</v>
      </c>
      <c r="D368" t="s">
        <v>40</v>
      </c>
      <c r="E368" t="s">
        <v>41</v>
      </c>
      <c r="F368" t="s">
        <v>27</v>
      </c>
      <c r="G368" t="s">
        <v>49</v>
      </c>
      <c r="H368">
        <v>204</v>
      </c>
      <c r="I368">
        <v>20</v>
      </c>
      <c r="J368">
        <v>50</v>
      </c>
      <c r="K368" t="s">
        <v>20</v>
      </c>
      <c r="L368">
        <v>32</v>
      </c>
      <c r="M368" t="s">
        <v>21</v>
      </c>
      <c r="N368">
        <f>COUNTIF(order_data[Order_ID],order_data[[#This Row],[Order_ID]])</f>
        <v>1</v>
      </c>
      <c r="O368">
        <f>order_data[[#This Row],[Order_Value]]-order_data[[#This Row],[Discount]]</f>
        <v>154</v>
      </c>
      <c r="P368">
        <f>order_data[[#This Row],[Order_Value]]+order_data[[#This Row],[Delivery_Fee]]-order_data[[#This Row],[Discount]]</f>
        <v>174</v>
      </c>
      <c r="Q368" t="str">
        <f>TEXT(order_data[[#This Row],[Order_Date]],"mmm")</f>
        <v>Jan</v>
      </c>
      <c r="R368">
        <f>MONTH(order_data[[#This Row],[Order_Date]])</f>
        <v>1</v>
      </c>
    </row>
    <row r="369" spans="1:18" x14ac:dyDescent="0.35">
      <c r="A369" t="s">
        <v>792</v>
      </c>
      <c r="B369" t="s">
        <v>174</v>
      </c>
      <c r="C369" t="s">
        <v>684</v>
      </c>
      <c r="D369" t="s">
        <v>16</v>
      </c>
      <c r="E369" t="s">
        <v>89</v>
      </c>
      <c r="F369" t="s">
        <v>18</v>
      </c>
      <c r="G369" t="s">
        <v>74</v>
      </c>
      <c r="H369">
        <v>559</v>
      </c>
      <c r="I369">
        <v>20</v>
      </c>
      <c r="J369">
        <v>100</v>
      </c>
      <c r="K369" t="s">
        <v>20</v>
      </c>
      <c r="L369">
        <v>37</v>
      </c>
      <c r="M369" t="s">
        <v>21</v>
      </c>
      <c r="N369">
        <f>COUNTIF(order_data[Order_ID],order_data[[#This Row],[Order_ID]])</f>
        <v>1</v>
      </c>
      <c r="O369">
        <f>order_data[[#This Row],[Order_Value]]-order_data[[#This Row],[Discount]]</f>
        <v>459</v>
      </c>
      <c r="P369">
        <f>order_data[[#This Row],[Order_Value]]+order_data[[#This Row],[Delivery_Fee]]-order_data[[#This Row],[Discount]]</f>
        <v>479</v>
      </c>
      <c r="Q369" t="str">
        <f>TEXT(order_data[[#This Row],[Order_Date]],"mmm")</f>
        <v>Feb</v>
      </c>
      <c r="R369">
        <f>MONTH(order_data[[#This Row],[Order_Date]])</f>
        <v>2</v>
      </c>
    </row>
    <row r="370" spans="1:18" x14ac:dyDescent="0.35">
      <c r="A370" t="s">
        <v>793</v>
      </c>
      <c r="B370" t="s">
        <v>72</v>
      </c>
      <c r="C370" t="s">
        <v>794</v>
      </c>
      <c r="D370" t="s">
        <v>46</v>
      </c>
      <c r="E370" t="s">
        <v>148</v>
      </c>
      <c r="F370" t="s">
        <v>27</v>
      </c>
      <c r="G370" t="s">
        <v>19</v>
      </c>
      <c r="H370">
        <v>368</v>
      </c>
      <c r="I370">
        <v>20</v>
      </c>
      <c r="J370">
        <v>20</v>
      </c>
      <c r="K370" t="s">
        <v>36</v>
      </c>
      <c r="L370">
        <v>36</v>
      </c>
      <c r="M370" t="s">
        <v>30</v>
      </c>
      <c r="N370">
        <f>COUNTIF(order_data[Order_ID],order_data[[#This Row],[Order_ID]])</f>
        <v>1</v>
      </c>
      <c r="O370">
        <f>order_data[[#This Row],[Order_Value]]-order_data[[#This Row],[Discount]]</f>
        <v>348</v>
      </c>
      <c r="P370">
        <f>order_data[[#This Row],[Order_Value]]+order_data[[#This Row],[Delivery_Fee]]-order_data[[#This Row],[Discount]]</f>
        <v>368</v>
      </c>
      <c r="Q370" t="str">
        <f>TEXT(order_data[[#This Row],[Order_Date]],"mmm")</f>
        <v>Jan</v>
      </c>
      <c r="R370">
        <f>MONTH(order_data[[#This Row],[Order_Date]])</f>
        <v>1</v>
      </c>
    </row>
    <row r="371" spans="1:18" x14ac:dyDescent="0.35">
      <c r="A371" t="s">
        <v>795</v>
      </c>
      <c r="B371" t="s">
        <v>192</v>
      </c>
      <c r="C371" t="s">
        <v>351</v>
      </c>
      <c r="D371" t="s">
        <v>46</v>
      </c>
      <c r="E371" t="s">
        <v>47</v>
      </c>
      <c r="F371" t="s">
        <v>48</v>
      </c>
      <c r="G371" t="s">
        <v>19</v>
      </c>
      <c r="H371">
        <v>262</v>
      </c>
      <c r="I371">
        <v>40</v>
      </c>
      <c r="J371">
        <v>100</v>
      </c>
      <c r="K371" t="s">
        <v>36</v>
      </c>
      <c r="L371">
        <v>41</v>
      </c>
      <c r="M371" t="s">
        <v>21</v>
      </c>
      <c r="N371">
        <f>COUNTIF(order_data[Order_ID],order_data[[#This Row],[Order_ID]])</f>
        <v>1</v>
      </c>
      <c r="O371">
        <f>order_data[[#This Row],[Order_Value]]-order_data[[#This Row],[Discount]]</f>
        <v>162</v>
      </c>
      <c r="P371">
        <f>order_data[[#This Row],[Order_Value]]+order_data[[#This Row],[Delivery_Fee]]-order_data[[#This Row],[Discount]]</f>
        <v>202</v>
      </c>
      <c r="Q371" t="str">
        <f>TEXT(order_data[[#This Row],[Order_Date]],"mmm")</f>
        <v>Mar</v>
      </c>
      <c r="R371">
        <f>MONTH(order_data[[#This Row],[Order_Date]])</f>
        <v>3</v>
      </c>
    </row>
    <row r="372" spans="1:18" x14ac:dyDescent="0.35">
      <c r="A372" t="s">
        <v>796</v>
      </c>
      <c r="B372" t="s">
        <v>146</v>
      </c>
      <c r="C372" t="s">
        <v>797</v>
      </c>
      <c r="D372" t="s">
        <v>46</v>
      </c>
      <c r="E372" t="s">
        <v>70</v>
      </c>
      <c r="F372" t="s">
        <v>18</v>
      </c>
      <c r="G372" t="s">
        <v>19</v>
      </c>
      <c r="H372">
        <v>693</v>
      </c>
      <c r="I372">
        <v>50</v>
      </c>
      <c r="J372">
        <v>0</v>
      </c>
      <c r="K372" t="s">
        <v>29</v>
      </c>
      <c r="L372">
        <v>41</v>
      </c>
      <c r="M372" t="s">
        <v>21</v>
      </c>
      <c r="N372">
        <f>COUNTIF(order_data[Order_ID],order_data[[#This Row],[Order_ID]])</f>
        <v>1</v>
      </c>
      <c r="O372">
        <f>order_data[[#This Row],[Order_Value]]-order_data[[#This Row],[Discount]]</f>
        <v>693</v>
      </c>
      <c r="P372">
        <f>order_data[[#This Row],[Order_Value]]+order_data[[#This Row],[Delivery_Fee]]-order_data[[#This Row],[Discount]]</f>
        <v>743</v>
      </c>
      <c r="Q372" t="str">
        <f>TEXT(order_data[[#This Row],[Order_Date]],"mmm")</f>
        <v>Feb</v>
      </c>
      <c r="R372">
        <f>MONTH(order_data[[#This Row],[Order_Date]])</f>
        <v>2</v>
      </c>
    </row>
    <row r="373" spans="1:18" x14ac:dyDescent="0.35">
      <c r="A373" t="s">
        <v>798</v>
      </c>
      <c r="B373" t="s">
        <v>69</v>
      </c>
      <c r="C373" t="s">
        <v>799</v>
      </c>
      <c r="D373" t="s">
        <v>40</v>
      </c>
      <c r="E373" t="s">
        <v>67</v>
      </c>
      <c r="F373" t="s">
        <v>48</v>
      </c>
      <c r="G373" t="s">
        <v>49</v>
      </c>
      <c r="H373">
        <v>472</v>
      </c>
      <c r="I373">
        <v>50</v>
      </c>
      <c r="J373">
        <v>100</v>
      </c>
      <c r="K373" t="s">
        <v>20</v>
      </c>
      <c r="L373">
        <v>27</v>
      </c>
      <c r="M373" t="s">
        <v>21</v>
      </c>
      <c r="N373">
        <f>COUNTIF(order_data[Order_ID],order_data[[#This Row],[Order_ID]])</f>
        <v>1</v>
      </c>
      <c r="O373">
        <f>order_data[[#This Row],[Order_Value]]-order_data[[#This Row],[Discount]]</f>
        <v>372</v>
      </c>
      <c r="P373">
        <f>order_data[[#This Row],[Order_Value]]+order_data[[#This Row],[Delivery_Fee]]-order_data[[#This Row],[Discount]]</f>
        <v>422</v>
      </c>
      <c r="Q373" t="str">
        <f>TEXT(order_data[[#This Row],[Order_Date]],"mmm")</f>
        <v>Feb</v>
      </c>
      <c r="R373">
        <f>MONTH(order_data[[#This Row],[Order_Date]])</f>
        <v>2</v>
      </c>
    </row>
    <row r="374" spans="1:18" x14ac:dyDescent="0.35">
      <c r="A374" t="s">
        <v>800</v>
      </c>
      <c r="B374" t="s">
        <v>205</v>
      </c>
      <c r="C374" t="s">
        <v>801</v>
      </c>
      <c r="D374" t="s">
        <v>16</v>
      </c>
      <c r="E374" t="s">
        <v>131</v>
      </c>
      <c r="F374" t="s">
        <v>55</v>
      </c>
      <c r="G374" t="s">
        <v>19</v>
      </c>
      <c r="H374">
        <v>559</v>
      </c>
      <c r="I374">
        <v>30</v>
      </c>
      <c r="J374">
        <v>30</v>
      </c>
      <c r="K374" t="s">
        <v>36</v>
      </c>
      <c r="L374">
        <v>49</v>
      </c>
      <c r="M374" t="s">
        <v>21</v>
      </c>
      <c r="N374">
        <f>COUNTIF(order_data[Order_ID],order_data[[#This Row],[Order_ID]])</f>
        <v>1</v>
      </c>
      <c r="O374">
        <f>order_data[[#This Row],[Order_Value]]-order_data[[#This Row],[Discount]]</f>
        <v>529</v>
      </c>
      <c r="P374">
        <f>order_data[[#This Row],[Order_Value]]+order_data[[#This Row],[Delivery_Fee]]-order_data[[#This Row],[Discount]]</f>
        <v>559</v>
      </c>
      <c r="Q374" t="str">
        <f>TEXT(order_data[[#This Row],[Order_Date]],"mmm")</f>
        <v>Jan</v>
      </c>
      <c r="R374">
        <f>MONTH(order_data[[#This Row],[Order_Date]])</f>
        <v>1</v>
      </c>
    </row>
    <row r="375" spans="1:18" x14ac:dyDescent="0.35">
      <c r="A375" t="s">
        <v>802</v>
      </c>
      <c r="B375" t="s">
        <v>96</v>
      </c>
      <c r="C375" t="s">
        <v>803</v>
      </c>
      <c r="D375" t="s">
        <v>25</v>
      </c>
      <c r="E375" t="s">
        <v>26</v>
      </c>
      <c r="F375" t="s">
        <v>27</v>
      </c>
      <c r="G375" t="s">
        <v>74</v>
      </c>
      <c r="H375">
        <v>752</v>
      </c>
      <c r="I375">
        <v>30</v>
      </c>
      <c r="J375">
        <v>30</v>
      </c>
      <c r="K375" t="s">
        <v>29</v>
      </c>
      <c r="L375">
        <v>40</v>
      </c>
      <c r="M375" t="s">
        <v>21</v>
      </c>
      <c r="N375">
        <f>COUNTIF(order_data[Order_ID],order_data[[#This Row],[Order_ID]])</f>
        <v>1</v>
      </c>
      <c r="O375">
        <f>order_data[[#This Row],[Order_Value]]-order_data[[#This Row],[Discount]]</f>
        <v>722</v>
      </c>
      <c r="P375">
        <f>order_data[[#This Row],[Order_Value]]+order_data[[#This Row],[Delivery_Fee]]-order_data[[#This Row],[Discount]]</f>
        <v>752</v>
      </c>
      <c r="Q375" t="str">
        <f>TEXT(order_data[[#This Row],[Order_Date]],"mmm")</f>
        <v>Mar</v>
      </c>
      <c r="R375">
        <f>MONTH(order_data[[#This Row],[Order_Date]])</f>
        <v>3</v>
      </c>
    </row>
    <row r="376" spans="1:18" x14ac:dyDescent="0.35">
      <c r="A376" t="s">
        <v>804</v>
      </c>
      <c r="B376" t="s">
        <v>562</v>
      </c>
      <c r="C376" t="s">
        <v>155</v>
      </c>
      <c r="D376" t="s">
        <v>53</v>
      </c>
      <c r="E376" t="s">
        <v>54</v>
      </c>
      <c r="F376" t="s">
        <v>55</v>
      </c>
      <c r="G376" t="s">
        <v>19</v>
      </c>
      <c r="H376">
        <v>767</v>
      </c>
      <c r="I376">
        <v>40</v>
      </c>
      <c r="J376">
        <v>0</v>
      </c>
      <c r="K376" t="s">
        <v>36</v>
      </c>
      <c r="L376">
        <v>56</v>
      </c>
      <c r="M376" t="s">
        <v>21</v>
      </c>
      <c r="N376">
        <f>COUNTIF(order_data[Order_ID],order_data[[#This Row],[Order_ID]])</f>
        <v>1</v>
      </c>
      <c r="O376">
        <f>order_data[[#This Row],[Order_Value]]-order_data[[#This Row],[Discount]]</f>
        <v>767</v>
      </c>
      <c r="P376">
        <f>order_data[[#This Row],[Order_Value]]+order_data[[#This Row],[Delivery_Fee]]-order_data[[#This Row],[Discount]]</f>
        <v>807</v>
      </c>
      <c r="Q376" t="str">
        <f>TEXT(order_data[[#This Row],[Order_Date]],"mmm")</f>
        <v>Feb</v>
      </c>
      <c r="R376">
        <f>MONTH(order_data[[#This Row],[Order_Date]])</f>
        <v>2</v>
      </c>
    </row>
    <row r="377" spans="1:18" x14ac:dyDescent="0.35">
      <c r="A377" t="s">
        <v>805</v>
      </c>
      <c r="B377" t="s">
        <v>186</v>
      </c>
      <c r="C377" t="s">
        <v>806</v>
      </c>
      <c r="D377" t="s">
        <v>16</v>
      </c>
      <c r="E377" t="s">
        <v>131</v>
      </c>
      <c r="F377" t="s">
        <v>55</v>
      </c>
      <c r="G377" t="s">
        <v>35</v>
      </c>
      <c r="H377">
        <v>383</v>
      </c>
      <c r="I377">
        <v>30</v>
      </c>
      <c r="J377">
        <v>20</v>
      </c>
      <c r="K377" t="s">
        <v>36</v>
      </c>
      <c r="L377">
        <v>46</v>
      </c>
      <c r="M377" t="s">
        <v>21</v>
      </c>
      <c r="N377">
        <f>COUNTIF(order_data[Order_ID],order_data[[#This Row],[Order_ID]])</f>
        <v>1</v>
      </c>
      <c r="O377">
        <f>order_data[[#This Row],[Order_Value]]-order_data[[#This Row],[Discount]]</f>
        <v>363</v>
      </c>
      <c r="P377">
        <f>order_data[[#This Row],[Order_Value]]+order_data[[#This Row],[Delivery_Fee]]-order_data[[#This Row],[Discount]]</f>
        <v>393</v>
      </c>
      <c r="Q377" t="str">
        <f>TEXT(order_data[[#This Row],[Order_Date]],"mmm")</f>
        <v>Mar</v>
      </c>
      <c r="R377">
        <f>MONTH(order_data[[#This Row],[Order_Date]])</f>
        <v>3</v>
      </c>
    </row>
    <row r="378" spans="1:18" x14ac:dyDescent="0.35">
      <c r="A378" t="s">
        <v>807</v>
      </c>
      <c r="B378" t="s">
        <v>133</v>
      </c>
      <c r="C378" t="s">
        <v>808</v>
      </c>
      <c r="D378" t="s">
        <v>46</v>
      </c>
      <c r="E378" t="s">
        <v>47</v>
      </c>
      <c r="F378" t="s">
        <v>48</v>
      </c>
      <c r="G378" t="s">
        <v>176</v>
      </c>
      <c r="H378">
        <v>790</v>
      </c>
      <c r="I378">
        <v>20</v>
      </c>
      <c r="J378">
        <v>0</v>
      </c>
      <c r="K378" t="s">
        <v>36</v>
      </c>
      <c r="L378">
        <v>33</v>
      </c>
      <c r="M378" t="s">
        <v>21</v>
      </c>
      <c r="N378">
        <f>COUNTIF(order_data[Order_ID],order_data[[#This Row],[Order_ID]])</f>
        <v>1</v>
      </c>
      <c r="O378">
        <f>order_data[[#This Row],[Order_Value]]-order_data[[#This Row],[Discount]]</f>
        <v>790</v>
      </c>
      <c r="P378">
        <f>order_data[[#This Row],[Order_Value]]+order_data[[#This Row],[Delivery_Fee]]-order_data[[#This Row],[Discount]]</f>
        <v>810</v>
      </c>
      <c r="Q378" t="str">
        <f>TEXT(order_data[[#This Row],[Order_Date]],"mmm")</f>
        <v>Mar</v>
      </c>
      <c r="R378">
        <f>MONTH(order_data[[#This Row],[Order_Date]])</f>
        <v>3</v>
      </c>
    </row>
    <row r="379" spans="1:18" x14ac:dyDescent="0.35">
      <c r="A379" t="s">
        <v>809</v>
      </c>
      <c r="B379" t="s">
        <v>476</v>
      </c>
      <c r="C379" t="s">
        <v>810</v>
      </c>
      <c r="D379" t="s">
        <v>46</v>
      </c>
      <c r="E379" t="s">
        <v>47</v>
      </c>
      <c r="F379" t="s">
        <v>48</v>
      </c>
      <c r="G379" t="s">
        <v>28</v>
      </c>
      <c r="H379">
        <v>655</v>
      </c>
      <c r="I379">
        <v>50</v>
      </c>
      <c r="J379">
        <v>0</v>
      </c>
      <c r="K379" t="s">
        <v>20</v>
      </c>
      <c r="L379">
        <v>59</v>
      </c>
      <c r="M379" t="s">
        <v>21</v>
      </c>
      <c r="N379">
        <f>COUNTIF(order_data[Order_ID],order_data[[#This Row],[Order_ID]])</f>
        <v>1</v>
      </c>
      <c r="O379">
        <f>order_data[[#This Row],[Order_Value]]-order_data[[#This Row],[Discount]]</f>
        <v>655</v>
      </c>
      <c r="P379">
        <f>order_data[[#This Row],[Order_Value]]+order_data[[#This Row],[Delivery_Fee]]-order_data[[#This Row],[Discount]]</f>
        <v>705</v>
      </c>
      <c r="Q379" t="str">
        <f>TEXT(order_data[[#This Row],[Order_Date]],"mmm")</f>
        <v>Jan</v>
      </c>
      <c r="R379">
        <f>MONTH(order_data[[#This Row],[Order_Date]])</f>
        <v>1</v>
      </c>
    </row>
    <row r="380" spans="1:18" x14ac:dyDescent="0.35">
      <c r="A380" t="s">
        <v>811</v>
      </c>
      <c r="B380" t="s">
        <v>326</v>
      </c>
      <c r="C380" t="s">
        <v>496</v>
      </c>
      <c r="D380" t="s">
        <v>40</v>
      </c>
      <c r="E380" t="s">
        <v>41</v>
      </c>
      <c r="F380" t="s">
        <v>27</v>
      </c>
      <c r="G380" t="s">
        <v>74</v>
      </c>
      <c r="H380">
        <v>312</v>
      </c>
      <c r="I380">
        <v>20</v>
      </c>
      <c r="J380">
        <v>0</v>
      </c>
      <c r="K380" t="s">
        <v>36</v>
      </c>
      <c r="L380">
        <v>38</v>
      </c>
      <c r="M380" t="s">
        <v>21</v>
      </c>
      <c r="N380">
        <f>COUNTIF(order_data[Order_ID],order_data[[#This Row],[Order_ID]])</f>
        <v>1</v>
      </c>
      <c r="O380">
        <f>order_data[[#This Row],[Order_Value]]-order_data[[#This Row],[Discount]]</f>
        <v>312</v>
      </c>
      <c r="P380">
        <f>order_data[[#This Row],[Order_Value]]+order_data[[#This Row],[Delivery_Fee]]-order_data[[#This Row],[Discount]]</f>
        <v>332</v>
      </c>
      <c r="Q380" t="str">
        <f>TEXT(order_data[[#This Row],[Order_Date]],"mmm")</f>
        <v>Mar</v>
      </c>
      <c r="R380">
        <f>MONTH(order_data[[#This Row],[Order_Date]])</f>
        <v>3</v>
      </c>
    </row>
    <row r="381" spans="1:18" x14ac:dyDescent="0.35">
      <c r="A381" t="s">
        <v>812</v>
      </c>
      <c r="B381" t="s">
        <v>167</v>
      </c>
      <c r="C381" t="s">
        <v>813</v>
      </c>
      <c r="D381" t="s">
        <v>40</v>
      </c>
      <c r="E381" t="s">
        <v>41</v>
      </c>
      <c r="F381" t="s">
        <v>27</v>
      </c>
      <c r="G381" t="s">
        <v>176</v>
      </c>
      <c r="H381">
        <v>554</v>
      </c>
      <c r="I381">
        <v>30</v>
      </c>
      <c r="J381">
        <v>0</v>
      </c>
      <c r="K381" t="s">
        <v>29</v>
      </c>
      <c r="L381">
        <v>58</v>
      </c>
      <c r="M381" t="s">
        <v>21</v>
      </c>
      <c r="N381">
        <f>COUNTIF(order_data[Order_ID],order_data[[#This Row],[Order_ID]])</f>
        <v>1</v>
      </c>
      <c r="O381">
        <f>order_data[[#This Row],[Order_Value]]-order_data[[#This Row],[Discount]]</f>
        <v>554</v>
      </c>
      <c r="P381">
        <f>order_data[[#This Row],[Order_Value]]+order_data[[#This Row],[Delivery_Fee]]-order_data[[#This Row],[Discount]]</f>
        <v>584</v>
      </c>
      <c r="Q381" t="str">
        <f>TEXT(order_data[[#This Row],[Order_Date]],"mmm")</f>
        <v>Feb</v>
      </c>
      <c r="R381">
        <f>MONTH(order_data[[#This Row],[Order_Date]])</f>
        <v>2</v>
      </c>
    </row>
    <row r="382" spans="1:18" x14ac:dyDescent="0.35">
      <c r="A382" t="s">
        <v>814</v>
      </c>
      <c r="B382" t="s">
        <v>80</v>
      </c>
      <c r="C382" t="s">
        <v>250</v>
      </c>
      <c r="D382" t="s">
        <v>16</v>
      </c>
      <c r="E382" t="s">
        <v>89</v>
      </c>
      <c r="F382" t="s">
        <v>18</v>
      </c>
      <c r="G382" t="s">
        <v>63</v>
      </c>
      <c r="H382">
        <v>602</v>
      </c>
      <c r="I382">
        <v>20</v>
      </c>
      <c r="J382">
        <v>30</v>
      </c>
      <c r="K382" t="s">
        <v>20</v>
      </c>
      <c r="L382">
        <v>45</v>
      </c>
      <c r="M382" t="s">
        <v>21</v>
      </c>
      <c r="N382">
        <f>COUNTIF(order_data[Order_ID],order_data[[#This Row],[Order_ID]])</f>
        <v>1</v>
      </c>
      <c r="O382">
        <f>order_data[[#This Row],[Order_Value]]-order_data[[#This Row],[Discount]]</f>
        <v>572</v>
      </c>
      <c r="P382">
        <f>order_data[[#This Row],[Order_Value]]+order_data[[#This Row],[Delivery_Fee]]-order_data[[#This Row],[Discount]]</f>
        <v>592</v>
      </c>
      <c r="Q382" t="str">
        <f>TEXT(order_data[[#This Row],[Order_Date]],"mmm")</f>
        <v>Feb</v>
      </c>
      <c r="R382">
        <f>MONTH(order_data[[#This Row],[Order_Date]])</f>
        <v>2</v>
      </c>
    </row>
    <row r="383" spans="1:18" x14ac:dyDescent="0.35">
      <c r="A383" t="s">
        <v>815</v>
      </c>
      <c r="B383" t="s">
        <v>80</v>
      </c>
      <c r="C383" t="s">
        <v>816</v>
      </c>
      <c r="D383" t="s">
        <v>25</v>
      </c>
      <c r="E383" t="s">
        <v>26</v>
      </c>
      <c r="F383" t="s">
        <v>27</v>
      </c>
      <c r="G383" t="s">
        <v>176</v>
      </c>
      <c r="H383">
        <v>494</v>
      </c>
      <c r="I383">
        <v>30</v>
      </c>
      <c r="J383">
        <v>0</v>
      </c>
      <c r="K383" t="s">
        <v>36</v>
      </c>
      <c r="L383">
        <v>50</v>
      </c>
      <c r="M383" t="s">
        <v>21</v>
      </c>
      <c r="N383">
        <f>COUNTIF(order_data[Order_ID],order_data[[#This Row],[Order_ID]])</f>
        <v>1</v>
      </c>
      <c r="O383">
        <f>order_data[[#This Row],[Order_Value]]-order_data[[#This Row],[Discount]]</f>
        <v>494</v>
      </c>
      <c r="P383">
        <f>order_data[[#This Row],[Order_Value]]+order_data[[#This Row],[Delivery_Fee]]-order_data[[#This Row],[Discount]]</f>
        <v>524</v>
      </c>
      <c r="Q383" t="str">
        <f>TEXT(order_data[[#This Row],[Order_Date]],"mmm")</f>
        <v>Feb</v>
      </c>
      <c r="R383">
        <f>MONTH(order_data[[#This Row],[Order_Date]])</f>
        <v>2</v>
      </c>
    </row>
    <row r="384" spans="1:18" x14ac:dyDescent="0.35">
      <c r="A384" t="s">
        <v>817</v>
      </c>
      <c r="B384" t="s">
        <v>241</v>
      </c>
      <c r="C384" t="s">
        <v>818</v>
      </c>
      <c r="D384" t="s">
        <v>46</v>
      </c>
      <c r="E384" t="s">
        <v>47</v>
      </c>
      <c r="F384" t="s">
        <v>48</v>
      </c>
      <c r="G384" t="s">
        <v>63</v>
      </c>
      <c r="H384">
        <v>382</v>
      </c>
      <c r="I384">
        <v>20</v>
      </c>
      <c r="J384">
        <v>20</v>
      </c>
      <c r="K384" t="s">
        <v>36</v>
      </c>
      <c r="L384">
        <v>34</v>
      </c>
      <c r="M384" t="s">
        <v>21</v>
      </c>
      <c r="N384">
        <f>COUNTIF(order_data[Order_ID],order_data[[#This Row],[Order_ID]])</f>
        <v>1</v>
      </c>
      <c r="O384">
        <f>order_data[[#This Row],[Order_Value]]-order_data[[#This Row],[Discount]]</f>
        <v>362</v>
      </c>
      <c r="P384">
        <f>order_data[[#This Row],[Order_Value]]+order_data[[#This Row],[Delivery_Fee]]-order_data[[#This Row],[Discount]]</f>
        <v>382</v>
      </c>
      <c r="Q384" t="str">
        <f>TEXT(order_data[[#This Row],[Order_Date]],"mmm")</f>
        <v>Mar</v>
      </c>
      <c r="R384">
        <f>MONTH(order_data[[#This Row],[Order_Date]])</f>
        <v>3</v>
      </c>
    </row>
    <row r="385" spans="1:18" x14ac:dyDescent="0.35">
      <c r="A385" t="s">
        <v>819</v>
      </c>
      <c r="B385" t="s">
        <v>657</v>
      </c>
      <c r="C385" t="s">
        <v>820</v>
      </c>
      <c r="D385" t="s">
        <v>46</v>
      </c>
      <c r="E385" t="s">
        <v>70</v>
      </c>
      <c r="F385" t="s">
        <v>18</v>
      </c>
      <c r="G385" t="s">
        <v>59</v>
      </c>
      <c r="H385">
        <v>648</v>
      </c>
      <c r="I385">
        <v>40</v>
      </c>
      <c r="J385">
        <v>0</v>
      </c>
      <c r="K385" t="s">
        <v>29</v>
      </c>
      <c r="L385">
        <v>29</v>
      </c>
      <c r="M385" t="s">
        <v>21</v>
      </c>
      <c r="N385">
        <f>COUNTIF(order_data[Order_ID],order_data[[#This Row],[Order_ID]])</f>
        <v>1</v>
      </c>
      <c r="O385">
        <f>order_data[[#This Row],[Order_Value]]-order_data[[#This Row],[Discount]]</f>
        <v>648</v>
      </c>
      <c r="P385">
        <f>order_data[[#This Row],[Order_Value]]+order_data[[#This Row],[Delivery_Fee]]-order_data[[#This Row],[Discount]]</f>
        <v>688</v>
      </c>
      <c r="Q385" t="str">
        <f>TEXT(order_data[[#This Row],[Order_Date]],"mmm")</f>
        <v>Jan</v>
      </c>
      <c r="R385">
        <f>MONTH(order_data[[#This Row],[Order_Date]])</f>
        <v>1</v>
      </c>
    </row>
    <row r="386" spans="1:18" x14ac:dyDescent="0.35">
      <c r="A386" t="s">
        <v>821</v>
      </c>
      <c r="B386" t="s">
        <v>267</v>
      </c>
      <c r="C386" t="s">
        <v>822</v>
      </c>
      <c r="D386" t="s">
        <v>40</v>
      </c>
      <c r="E386" t="s">
        <v>111</v>
      </c>
      <c r="F386" t="s">
        <v>18</v>
      </c>
      <c r="G386" t="s">
        <v>19</v>
      </c>
      <c r="H386">
        <v>786</v>
      </c>
      <c r="I386">
        <v>40</v>
      </c>
      <c r="J386">
        <v>0</v>
      </c>
      <c r="K386" t="s">
        <v>36</v>
      </c>
      <c r="L386">
        <v>31</v>
      </c>
      <c r="M386" t="s">
        <v>21</v>
      </c>
      <c r="N386">
        <f>COUNTIF(order_data[Order_ID],order_data[[#This Row],[Order_ID]])</f>
        <v>1</v>
      </c>
      <c r="O386">
        <f>order_data[[#This Row],[Order_Value]]-order_data[[#This Row],[Discount]]</f>
        <v>786</v>
      </c>
      <c r="P386">
        <f>order_data[[#This Row],[Order_Value]]+order_data[[#This Row],[Delivery_Fee]]-order_data[[#This Row],[Discount]]</f>
        <v>826</v>
      </c>
      <c r="Q386" t="str">
        <f>TEXT(order_data[[#This Row],[Order_Date]],"mmm")</f>
        <v>Jan</v>
      </c>
      <c r="R386">
        <f>MONTH(order_data[[#This Row],[Order_Date]])</f>
        <v>1</v>
      </c>
    </row>
    <row r="387" spans="1:18" x14ac:dyDescent="0.35">
      <c r="A387" t="s">
        <v>823</v>
      </c>
      <c r="B387" t="s">
        <v>76</v>
      </c>
      <c r="C387" t="s">
        <v>824</v>
      </c>
      <c r="D387" t="s">
        <v>25</v>
      </c>
      <c r="E387" t="s">
        <v>26</v>
      </c>
      <c r="F387" t="s">
        <v>27</v>
      </c>
      <c r="G387" t="s">
        <v>19</v>
      </c>
      <c r="H387">
        <v>749</v>
      </c>
      <c r="I387">
        <v>50</v>
      </c>
      <c r="J387">
        <v>30</v>
      </c>
      <c r="K387" t="s">
        <v>20</v>
      </c>
      <c r="L387">
        <v>56</v>
      </c>
      <c r="M387" t="s">
        <v>21</v>
      </c>
      <c r="N387">
        <f>COUNTIF(order_data[Order_ID],order_data[[#This Row],[Order_ID]])</f>
        <v>1</v>
      </c>
      <c r="O387">
        <f>order_data[[#This Row],[Order_Value]]-order_data[[#This Row],[Discount]]</f>
        <v>719</v>
      </c>
      <c r="P387">
        <f>order_data[[#This Row],[Order_Value]]+order_data[[#This Row],[Delivery_Fee]]-order_data[[#This Row],[Discount]]</f>
        <v>769</v>
      </c>
      <c r="Q387" t="str">
        <f>TEXT(order_data[[#This Row],[Order_Date]],"mmm")</f>
        <v>Feb</v>
      </c>
      <c r="R387">
        <f>MONTH(order_data[[#This Row],[Order_Date]])</f>
        <v>2</v>
      </c>
    </row>
    <row r="388" spans="1:18" x14ac:dyDescent="0.35">
      <c r="A388" t="s">
        <v>825</v>
      </c>
      <c r="B388" t="s">
        <v>105</v>
      </c>
      <c r="C388" t="s">
        <v>826</v>
      </c>
      <c r="D388" t="s">
        <v>46</v>
      </c>
      <c r="E388" t="s">
        <v>47</v>
      </c>
      <c r="F388" t="s">
        <v>48</v>
      </c>
      <c r="G388" t="s">
        <v>35</v>
      </c>
      <c r="H388">
        <v>501</v>
      </c>
      <c r="I388">
        <v>40</v>
      </c>
      <c r="J388">
        <v>30</v>
      </c>
      <c r="K388" t="s">
        <v>20</v>
      </c>
      <c r="L388">
        <v>32</v>
      </c>
      <c r="M388" t="s">
        <v>21</v>
      </c>
      <c r="N388">
        <f>COUNTIF(order_data[Order_ID],order_data[[#This Row],[Order_ID]])</f>
        <v>1</v>
      </c>
      <c r="O388">
        <f>order_data[[#This Row],[Order_Value]]-order_data[[#This Row],[Discount]]</f>
        <v>471</v>
      </c>
      <c r="P388">
        <f>order_data[[#This Row],[Order_Value]]+order_data[[#This Row],[Delivery_Fee]]-order_data[[#This Row],[Discount]]</f>
        <v>511</v>
      </c>
      <c r="Q388" t="str">
        <f>TEXT(order_data[[#This Row],[Order_Date]],"mmm")</f>
        <v>Mar</v>
      </c>
      <c r="R388">
        <f>MONTH(order_data[[#This Row],[Order_Date]])</f>
        <v>3</v>
      </c>
    </row>
    <row r="389" spans="1:18" x14ac:dyDescent="0.35">
      <c r="A389" t="s">
        <v>827</v>
      </c>
      <c r="B389" t="s">
        <v>295</v>
      </c>
      <c r="C389" t="s">
        <v>828</v>
      </c>
      <c r="D389" t="s">
        <v>46</v>
      </c>
      <c r="E389" t="s">
        <v>70</v>
      </c>
      <c r="F389" t="s">
        <v>18</v>
      </c>
      <c r="G389" t="s">
        <v>19</v>
      </c>
      <c r="H389">
        <v>524</v>
      </c>
      <c r="I389">
        <v>30</v>
      </c>
      <c r="J389">
        <v>100</v>
      </c>
      <c r="K389" t="s">
        <v>36</v>
      </c>
      <c r="L389">
        <v>23</v>
      </c>
      <c r="M389" t="s">
        <v>21</v>
      </c>
      <c r="N389">
        <f>COUNTIF(order_data[Order_ID],order_data[[#This Row],[Order_ID]])</f>
        <v>1</v>
      </c>
      <c r="O389">
        <f>order_data[[#This Row],[Order_Value]]-order_data[[#This Row],[Discount]]</f>
        <v>424</v>
      </c>
      <c r="P389">
        <f>order_data[[#This Row],[Order_Value]]+order_data[[#This Row],[Delivery_Fee]]-order_data[[#This Row],[Discount]]</f>
        <v>454</v>
      </c>
      <c r="Q389" t="str">
        <f>TEXT(order_data[[#This Row],[Order_Date]],"mmm")</f>
        <v>Jan</v>
      </c>
      <c r="R389">
        <f>MONTH(order_data[[#This Row],[Order_Date]])</f>
        <v>1</v>
      </c>
    </row>
    <row r="390" spans="1:18" x14ac:dyDescent="0.35">
      <c r="A390" t="s">
        <v>829</v>
      </c>
      <c r="B390" t="s">
        <v>291</v>
      </c>
      <c r="C390" t="s">
        <v>830</v>
      </c>
      <c r="D390" t="s">
        <v>25</v>
      </c>
      <c r="E390" t="s">
        <v>78</v>
      </c>
      <c r="F390" t="s">
        <v>48</v>
      </c>
      <c r="G390" t="s">
        <v>63</v>
      </c>
      <c r="H390">
        <v>749</v>
      </c>
      <c r="I390">
        <v>50</v>
      </c>
      <c r="J390">
        <v>100</v>
      </c>
      <c r="K390" t="s">
        <v>20</v>
      </c>
      <c r="L390">
        <v>58</v>
      </c>
      <c r="M390" t="s">
        <v>21</v>
      </c>
      <c r="N390">
        <f>COUNTIF(order_data[Order_ID],order_data[[#This Row],[Order_ID]])</f>
        <v>1</v>
      </c>
      <c r="O390">
        <f>order_data[[#This Row],[Order_Value]]-order_data[[#This Row],[Discount]]</f>
        <v>649</v>
      </c>
      <c r="P390">
        <f>order_data[[#This Row],[Order_Value]]+order_data[[#This Row],[Delivery_Fee]]-order_data[[#This Row],[Discount]]</f>
        <v>699</v>
      </c>
      <c r="Q390" t="str">
        <f>TEXT(order_data[[#This Row],[Order_Date]],"mmm")</f>
        <v>Feb</v>
      </c>
      <c r="R390">
        <f>MONTH(order_data[[#This Row],[Order_Date]])</f>
        <v>2</v>
      </c>
    </row>
    <row r="391" spans="1:18" x14ac:dyDescent="0.35">
      <c r="A391" t="s">
        <v>831</v>
      </c>
      <c r="B391" t="s">
        <v>568</v>
      </c>
      <c r="C391" t="s">
        <v>134</v>
      </c>
      <c r="D391" t="s">
        <v>25</v>
      </c>
      <c r="E391" t="s">
        <v>78</v>
      </c>
      <c r="F391" t="s">
        <v>48</v>
      </c>
      <c r="G391" t="s">
        <v>107</v>
      </c>
      <c r="H391">
        <v>643</v>
      </c>
      <c r="I391">
        <v>30</v>
      </c>
      <c r="J391">
        <v>0</v>
      </c>
      <c r="K391" t="s">
        <v>29</v>
      </c>
      <c r="L391">
        <v>29</v>
      </c>
      <c r="M391" t="s">
        <v>21</v>
      </c>
      <c r="N391">
        <f>COUNTIF(order_data[Order_ID],order_data[[#This Row],[Order_ID]])</f>
        <v>1</v>
      </c>
      <c r="O391">
        <f>order_data[[#This Row],[Order_Value]]-order_data[[#This Row],[Discount]]</f>
        <v>643</v>
      </c>
      <c r="P391">
        <f>order_data[[#This Row],[Order_Value]]+order_data[[#This Row],[Delivery_Fee]]-order_data[[#This Row],[Discount]]</f>
        <v>673</v>
      </c>
      <c r="Q391" t="str">
        <f>TEXT(order_data[[#This Row],[Order_Date]],"mmm")</f>
        <v>Mar</v>
      </c>
      <c r="R391">
        <f>MONTH(order_data[[#This Row],[Order_Date]])</f>
        <v>3</v>
      </c>
    </row>
    <row r="392" spans="1:18" x14ac:dyDescent="0.35">
      <c r="A392" t="s">
        <v>832</v>
      </c>
      <c r="B392" t="s">
        <v>267</v>
      </c>
      <c r="C392" t="s">
        <v>659</v>
      </c>
      <c r="D392" t="s">
        <v>53</v>
      </c>
      <c r="E392" t="s">
        <v>84</v>
      </c>
      <c r="F392" t="s">
        <v>85</v>
      </c>
      <c r="G392" t="s">
        <v>35</v>
      </c>
      <c r="H392">
        <v>765</v>
      </c>
      <c r="I392">
        <v>50</v>
      </c>
      <c r="J392">
        <v>20</v>
      </c>
      <c r="K392" t="s">
        <v>36</v>
      </c>
      <c r="L392">
        <v>55</v>
      </c>
      <c r="M392" t="s">
        <v>21</v>
      </c>
      <c r="N392">
        <f>COUNTIF(order_data[Order_ID],order_data[[#This Row],[Order_ID]])</f>
        <v>1</v>
      </c>
      <c r="O392">
        <f>order_data[[#This Row],[Order_Value]]-order_data[[#This Row],[Discount]]</f>
        <v>745</v>
      </c>
      <c r="P392">
        <f>order_data[[#This Row],[Order_Value]]+order_data[[#This Row],[Delivery_Fee]]-order_data[[#This Row],[Discount]]</f>
        <v>795</v>
      </c>
      <c r="Q392" t="str">
        <f>TEXT(order_data[[#This Row],[Order_Date]],"mmm")</f>
        <v>Jan</v>
      </c>
      <c r="R392">
        <f>MONTH(order_data[[#This Row],[Order_Date]])</f>
        <v>1</v>
      </c>
    </row>
    <row r="393" spans="1:18" x14ac:dyDescent="0.35">
      <c r="A393" t="s">
        <v>833</v>
      </c>
      <c r="B393" t="s">
        <v>80</v>
      </c>
      <c r="C393" t="s">
        <v>834</v>
      </c>
      <c r="D393" t="s">
        <v>40</v>
      </c>
      <c r="E393" t="s">
        <v>41</v>
      </c>
      <c r="F393" t="s">
        <v>27</v>
      </c>
      <c r="G393" t="s">
        <v>74</v>
      </c>
      <c r="H393">
        <v>575</v>
      </c>
      <c r="I393">
        <v>50</v>
      </c>
      <c r="J393">
        <v>100</v>
      </c>
      <c r="K393" t="s">
        <v>29</v>
      </c>
      <c r="L393">
        <v>53</v>
      </c>
      <c r="M393" t="s">
        <v>21</v>
      </c>
      <c r="N393">
        <f>COUNTIF(order_data[Order_ID],order_data[[#This Row],[Order_ID]])</f>
        <v>1</v>
      </c>
      <c r="O393">
        <f>order_data[[#This Row],[Order_Value]]-order_data[[#This Row],[Discount]]</f>
        <v>475</v>
      </c>
      <c r="P393">
        <f>order_data[[#This Row],[Order_Value]]+order_data[[#This Row],[Delivery_Fee]]-order_data[[#This Row],[Discount]]</f>
        <v>525</v>
      </c>
      <c r="Q393" t="str">
        <f>TEXT(order_data[[#This Row],[Order_Date]],"mmm")</f>
        <v>Feb</v>
      </c>
      <c r="R393">
        <f>MONTH(order_data[[#This Row],[Order_Date]])</f>
        <v>2</v>
      </c>
    </row>
    <row r="394" spans="1:18" x14ac:dyDescent="0.35">
      <c r="A394" t="s">
        <v>835</v>
      </c>
      <c r="B394" t="s">
        <v>305</v>
      </c>
      <c r="C394" t="s">
        <v>269</v>
      </c>
      <c r="D394" t="s">
        <v>16</v>
      </c>
      <c r="E394" t="s">
        <v>131</v>
      </c>
      <c r="F394" t="s">
        <v>55</v>
      </c>
      <c r="G394" t="s">
        <v>59</v>
      </c>
      <c r="H394">
        <v>789</v>
      </c>
      <c r="I394">
        <v>50</v>
      </c>
      <c r="J394">
        <v>100</v>
      </c>
      <c r="K394" t="s">
        <v>20</v>
      </c>
      <c r="L394">
        <v>36</v>
      </c>
      <c r="M394" t="s">
        <v>21</v>
      </c>
      <c r="N394">
        <f>COUNTIF(order_data[Order_ID],order_data[[#This Row],[Order_ID]])</f>
        <v>1</v>
      </c>
      <c r="O394">
        <f>order_data[[#This Row],[Order_Value]]-order_data[[#This Row],[Discount]]</f>
        <v>689</v>
      </c>
      <c r="P394">
        <f>order_data[[#This Row],[Order_Value]]+order_data[[#This Row],[Delivery_Fee]]-order_data[[#This Row],[Discount]]</f>
        <v>739</v>
      </c>
      <c r="Q394" t="str">
        <f>TEXT(order_data[[#This Row],[Order_Date]],"mmm")</f>
        <v>Jan</v>
      </c>
      <c r="R394">
        <f>MONTH(order_data[[#This Row],[Order_Date]])</f>
        <v>1</v>
      </c>
    </row>
    <row r="395" spans="1:18" x14ac:dyDescent="0.35">
      <c r="A395" t="s">
        <v>836</v>
      </c>
      <c r="B395" t="s">
        <v>118</v>
      </c>
      <c r="C395" t="s">
        <v>698</v>
      </c>
      <c r="D395" t="s">
        <v>16</v>
      </c>
      <c r="E395" t="s">
        <v>131</v>
      </c>
      <c r="F395" t="s">
        <v>55</v>
      </c>
      <c r="G395" t="s">
        <v>176</v>
      </c>
      <c r="H395">
        <v>490</v>
      </c>
      <c r="I395">
        <v>30</v>
      </c>
      <c r="J395">
        <v>20</v>
      </c>
      <c r="K395" t="s">
        <v>29</v>
      </c>
      <c r="L395">
        <v>60</v>
      </c>
      <c r="M395" t="s">
        <v>21</v>
      </c>
      <c r="N395">
        <f>COUNTIF(order_data[Order_ID],order_data[[#This Row],[Order_ID]])</f>
        <v>1</v>
      </c>
      <c r="O395">
        <f>order_data[[#This Row],[Order_Value]]-order_data[[#This Row],[Discount]]</f>
        <v>470</v>
      </c>
      <c r="P395">
        <f>order_data[[#This Row],[Order_Value]]+order_data[[#This Row],[Delivery_Fee]]-order_data[[#This Row],[Discount]]</f>
        <v>500</v>
      </c>
      <c r="Q395" t="str">
        <f>TEXT(order_data[[#This Row],[Order_Date]],"mmm")</f>
        <v>Mar</v>
      </c>
      <c r="R395">
        <f>MONTH(order_data[[#This Row],[Order_Date]])</f>
        <v>3</v>
      </c>
    </row>
    <row r="396" spans="1:18" x14ac:dyDescent="0.35">
      <c r="A396" t="s">
        <v>837</v>
      </c>
      <c r="B396" t="s">
        <v>280</v>
      </c>
      <c r="C396" t="s">
        <v>838</v>
      </c>
      <c r="D396" t="s">
        <v>53</v>
      </c>
      <c r="E396" t="s">
        <v>152</v>
      </c>
      <c r="F396" t="s">
        <v>18</v>
      </c>
      <c r="G396" t="s">
        <v>63</v>
      </c>
      <c r="H396">
        <v>684</v>
      </c>
      <c r="I396">
        <v>40</v>
      </c>
      <c r="J396">
        <v>50</v>
      </c>
      <c r="K396" t="s">
        <v>36</v>
      </c>
      <c r="L396">
        <v>53</v>
      </c>
      <c r="M396" t="s">
        <v>21</v>
      </c>
      <c r="N396">
        <f>COUNTIF(order_data[Order_ID],order_data[[#This Row],[Order_ID]])</f>
        <v>1</v>
      </c>
      <c r="O396">
        <f>order_data[[#This Row],[Order_Value]]-order_data[[#This Row],[Discount]]</f>
        <v>634</v>
      </c>
      <c r="P396">
        <f>order_data[[#This Row],[Order_Value]]+order_data[[#This Row],[Delivery_Fee]]-order_data[[#This Row],[Discount]]</f>
        <v>674</v>
      </c>
      <c r="Q396" t="str">
        <f>TEXT(order_data[[#This Row],[Order_Date]],"mmm")</f>
        <v>Jan</v>
      </c>
      <c r="R396">
        <f>MONTH(order_data[[#This Row],[Order_Date]])</f>
        <v>1</v>
      </c>
    </row>
    <row r="397" spans="1:18" x14ac:dyDescent="0.35">
      <c r="A397" t="s">
        <v>839</v>
      </c>
      <c r="B397" t="s">
        <v>291</v>
      </c>
      <c r="C397" t="s">
        <v>840</v>
      </c>
      <c r="D397" t="s">
        <v>16</v>
      </c>
      <c r="E397" t="s">
        <v>89</v>
      </c>
      <c r="F397" t="s">
        <v>18</v>
      </c>
      <c r="G397" t="s">
        <v>42</v>
      </c>
      <c r="H397">
        <v>169</v>
      </c>
      <c r="I397">
        <v>30</v>
      </c>
      <c r="J397">
        <v>30</v>
      </c>
      <c r="K397" t="s">
        <v>36</v>
      </c>
      <c r="L397">
        <v>49</v>
      </c>
      <c r="M397" t="s">
        <v>21</v>
      </c>
      <c r="N397">
        <f>COUNTIF(order_data[Order_ID],order_data[[#This Row],[Order_ID]])</f>
        <v>1</v>
      </c>
      <c r="O397">
        <f>order_data[[#This Row],[Order_Value]]-order_data[[#This Row],[Discount]]</f>
        <v>139</v>
      </c>
      <c r="P397">
        <f>order_data[[#This Row],[Order_Value]]+order_data[[#This Row],[Delivery_Fee]]-order_data[[#This Row],[Discount]]</f>
        <v>169</v>
      </c>
      <c r="Q397" t="str">
        <f>TEXT(order_data[[#This Row],[Order_Date]],"mmm")</f>
        <v>Feb</v>
      </c>
      <c r="R397">
        <f>MONTH(order_data[[#This Row],[Order_Date]])</f>
        <v>2</v>
      </c>
    </row>
    <row r="398" spans="1:18" x14ac:dyDescent="0.35">
      <c r="A398" t="s">
        <v>841</v>
      </c>
      <c r="B398" t="s">
        <v>398</v>
      </c>
      <c r="C398" t="s">
        <v>842</v>
      </c>
      <c r="D398" t="s">
        <v>53</v>
      </c>
      <c r="E398" t="s">
        <v>152</v>
      </c>
      <c r="F398" t="s">
        <v>18</v>
      </c>
      <c r="G398" t="s">
        <v>28</v>
      </c>
      <c r="H398">
        <v>560</v>
      </c>
      <c r="I398">
        <v>20</v>
      </c>
      <c r="J398">
        <v>20</v>
      </c>
      <c r="K398" t="s">
        <v>36</v>
      </c>
      <c r="L398">
        <v>60</v>
      </c>
      <c r="M398" t="s">
        <v>21</v>
      </c>
      <c r="N398">
        <f>COUNTIF(order_data[Order_ID],order_data[[#This Row],[Order_ID]])</f>
        <v>1</v>
      </c>
      <c r="O398">
        <f>order_data[[#This Row],[Order_Value]]-order_data[[#This Row],[Discount]]</f>
        <v>540</v>
      </c>
      <c r="P398">
        <f>order_data[[#This Row],[Order_Value]]+order_data[[#This Row],[Delivery_Fee]]-order_data[[#This Row],[Discount]]</f>
        <v>560</v>
      </c>
      <c r="Q398" t="str">
        <f>TEXT(order_data[[#This Row],[Order_Date]],"mmm")</f>
        <v>Feb</v>
      </c>
      <c r="R398">
        <f>MONTH(order_data[[#This Row],[Order_Date]])</f>
        <v>2</v>
      </c>
    </row>
    <row r="399" spans="1:18" x14ac:dyDescent="0.35">
      <c r="A399" t="s">
        <v>843</v>
      </c>
      <c r="B399" t="s">
        <v>513</v>
      </c>
      <c r="C399" t="s">
        <v>844</v>
      </c>
      <c r="D399" t="s">
        <v>46</v>
      </c>
      <c r="E399" t="s">
        <v>47</v>
      </c>
      <c r="F399" t="s">
        <v>48</v>
      </c>
      <c r="G399" t="s">
        <v>42</v>
      </c>
      <c r="H399">
        <v>457</v>
      </c>
      <c r="I399">
        <v>30</v>
      </c>
      <c r="J399">
        <v>100</v>
      </c>
      <c r="K399" t="s">
        <v>36</v>
      </c>
      <c r="L399">
        <v>58</v>
      </c>
      <c r="M399" t="s">
        <v>21</v>
      </c>
      <c r="N399">
        <f>COUNTIF(order_data[Order_ID],order_data[[#This Row],[Order_ID]])</f>
        <v>1</v>
      </c>
      <c r="O399">
        <f>order_data[[#This Row],[Order_Value]]-order_data[[#This Row],[Discount]]</f>
        <v>357</v>
      </c>
      <c r="P399">
        <f>order_data[[#This Row],[Order_Value]]+order_data[[#This Row],[Delivery_Fee]]-order_data[[#This Row],[Discount]]</f>
        <v>387</v>
      </c>
      <c r="Q399" t="str">
        <f>TEXT(order_data[[#This Row],[Order_Date]],"mmm")</f>
        <v>Feb</v>
      </c>
      <c r="R399">
        <f>MONTH(order_data[[#This Row],[Order_Date]])</f>
        <v>2</v>
      </c>
    </row>
    <row r="400" spans="1:18" x14ac:dyDescent="0.35">
      <c r="A400" t="s">
        <v>845</v>
      </c>
      <c r="B400" t="s">
        <v>133</v>
      </c>
      <c r="C400" t="s">
        <v>592</v>
      </c>
      <c r="D400" t="s">
        <v>46</v>
      </c>
      <c r="E400" t="s">
        <v>148</v>
      </c>
      <c r="F400" t="s">
        <v>27</v>
      </c>
      <c r="G400" t="s">
        <v>74</v>
      </c>
      <c r="H400">
        <v>374</v>
      </c>
      <c r="I400">
        <v>20</v>
      </c>
      <c r="J400">
        <v>0</v>
      </c>
      <c r="K400" t="s">
        <v>36</v>
      </c>
      <c r="L400">
        <v>47</v>
      </c>
      <c r="M400" t="s">
        <v>21</v>
      </c>
      <c r="N400">
        <f>COUNTIF(order_data[Order_ID],order_data[[#This Row],[Order_ID]])</f>
        <v>1</v>
      </c>
      <c r="O400">
        <f>order_data[[#This Row],[Order_Value]]-order_data[[#This Row],[Discount]]</f>
        <v>374</v>
      </c>
      <c r="P400">
        <f>order_data[[#This Row],[Order_Value]]+order_data[[#This Row],[Delivery_Fee]]-order_data[[#This Row],[Discount]]</f>
        <v>394</v>
      </c>
      <c r="Q400" t="str">
        <f>TEXT(order_data[[#This Row],[Order_Date]],"mmm")</f>
        <v>Mar</v>
      </c>
      <c r="R400">
        <f>MONTH(order_data[[#This Row],[Order_Date]])</f>
        <v>3</v>
      </c>
    </row>
    <row r="401" spans="1:18" x14ac:dyDescent="0.35">
      <c r="A401" t="s">
        <v>846</v>
      </c>
      <c r="B401" t="s">
        <v>398</v>
      </c>
      <c r="C401" t="s">
        <v>311</v>
      </c>
      <c r="D401" t="s">
        <v>46</v>
      </c>
      <c r="E401" t="s">
        <v>47</v>
      </c>
      <c r="F401" t="s">
        <v>48</v>
      </c>
      <c r="G401" t="s">
        <v>42</v>
      </c>
      <c r="H401">
        <v>532</v>
      </c>
      <c r="I401">
        <v>40</v>
      </c>
      <c r="J401">
        <v>50</v>
      </c>
      <c r="K401" t="s">
        <v>20</v>
      </c>
      <c r="L401">
        <v>55</v>
      </c>
      <c r="M401" t="s">
        <v>21</v>
      </c>
      <c r="N401">
        <f>COUNTIF(order_data[Order_ID],order_data[[#This Row],[Order_ID]])</f>
        <v>1</v>
      </c>
      <c r="O401">
        <f>order_data[[#This Row],[Order_Value]]-order_data[[#This Row],[Discount]]</f>
        <v>482</v>
      </c>
      <c r="P401">
        <f>order_data[[#This Row],[Order_Value]]+order_data[[#This Row],[Delivery_Fee]]-order_data[[#This Row],[Discount]]</f>
        <v>522</v>
      </c>
      <c r="Q401" t="str">
        <f>TEXT(order_data[[#This Row],[Order_Date]],"mmm")</f>
        <v>Feb</v>
      </c>
      <c r="R401">
        <f>MONTH(order_data[[#This Row],[Order_Date]])</f>
        <v>2</v>
      </c>
    </row>
    <row r="402" spans="1:18" x14ac:dyDescent="0.35">
      <c r="A402" t="s">
        <v>847</v>
      </c>
      <c r="B402" t="s">
        <v>218</v>
      </c>
      <c r="C402" t="s">
        <v>459</v>
      </c>
      <c r="D402" t="s">
        <v>53</v>
      </c>
      <c r="E402" t="s">
        <v>54</v>
      </c>
      <c r="F402" t="s">
        <v>55</v>
      </c>
      <c r="G402" t="s">
        <v>59</v>
      </c>
      <c r="H402">
        <v>333</v>
      </c>
      <c r="I402">
        <v>40</v>
      </c>
      <c r="J402">
        <v>30</v>
      </c>
      <c r="K402" t="s">
        <v>36</v>
      </c>
      <c r="L402">
        <v>39</v>
      </c>
      <c r="M402" t="s">
        <v>21</v>
      </c>
      <c r="N402">
        <f>COUNTIF(order_data[Order_ID],order_data[[#This Row],[Order_ID]])</f>
        <v>1</v>
      </c>
      <c r="O402">
        <f>order_data[[#This Row],[Order_Value]]-order_data[[#This Row],[Discount]]</f>
        <v>303</v>
      </c>
      <c r="P402">
        <f>order_data[[#This Row],[Order_Value]]+order_data[[#This Row],[Delivery_Fee]]-order_data[[#This Row],[Discount]]</f>
        <v>343</v>
      </c>
      <c r="Q402" t="str">
        <f>TEXT(order_data[[#This Row],[Order_Date]],"mmm")</f>
        <v>Feb</v>
      </c>
      <c r="R402">
        <f>MONTH(order_data[[#This Row],[Order_Date]])</f>
        <v>2</v>
      </c>
    </row>
    <row r="403" spans="1:18" x14ac:dyDescent="0.35">
      <c r="A403" t="s">
        <v>848</v>
      </c>
      <c r="B403" t="s">
        <v>339</v>
      </c>
      <c r="C403" t="s">
        <v>849</v>
      </c>
      <c r="D403" t="s">
        <v>46</v>
      </c>
      <c r="E403" t="s">
        <v>70</v>
      </c>
      <c r="F403" t="s">
        <v>18</v>
      </c>
      <c r="G403" t="s">
        <v>59</v>
      </c>
      <c r="H403">
        <v>776</v>
      </c>
      <c r="I403">
        <v>20</v>
      </c>
      <c r="J403">
        <v>50</v>
      </c>
      <c r="K403" t="s">
        <v>29</v>
      </c>
      <c r="L403">
        <v>41</v>
      </c>
      <c r="M403" t="s">
        <v>21</v>
      </c>
      <c r="N403">
        <f>COUNTIF(order_data[Order_ID],order_data[[#This Row],[Order_ID]])</f>
        <v>1</v>
      </c>
      <c r="O403">
        <f>order_data[[#This Row],[Order_Value]]-order_data[[#This Row],[Discount]]</f>
        <v>726</v>
      </c>
      <c r="P403">
        <f>order_data[[#This Row],[Order_Value]]+order_data[[#This Row],[Delivery_Fee]]-order_data[[#This Row],[Discount]]</f>
        <v>746</v>
      </c>
      <c r="Q403" t="str">
        <f>TEXT(order_data[[#This Row],[Order_Date]],"mmm")</f>
        <v>Jan</v>
      </c>
      <c r="R403">
        <f>MONTH(order_data[[#This Row],[Order_Date]])</f>
        <v>1</v>
      </c>
    </row>
    <row r="404" spans="1:18" x14ac:dyDescent="0.35">
      <c r="A404" t="s">
        <v>850</v>
      </c>
      <c r="B404" t="s">
        <v>44</v>
      </c>
      <c r="C404" t="s">
        <v>208</v>
      </c>
      <c r="D404" t="s">
        <v>46</v>
      </c>
      <c r="E404" t="s">
        <v>70</v>
      </c>
      <c r="F404" t="s">
        <v>18</v>
      </c>
      <c r="G404" t="s">
        <v>74</v>
      </c>
      <c r="H404">
        <v>343</v>
      </c>
      <c r="I404">
        <v>30</v>
      </c>
      <c r="J404">
        <v>50</v>
      </c>
      <c r="K404" t="s">
        <v>36</v>
      </c>
      <c r="L404">
        <v>21</v>
      </c>
      <c r="M404" t="s">
        <v>21</v>
      </c>
      <c r="N404">
        <f>COUNTIF(order_data[Order_ID],order_data[[#This Row],[Order_ID]])</f>
        <v>1</v>
      </c>
      <c r="O404">
        <f>order_data[[#This Row],[Order_Value]]-order_data[[#This Row],[Discount]]</f>
        <v>293</v>
      </c>
      <c r="P404">
        <f>order_data[[#This Row],[Order_Value]]+order_data[[#This Row],[Delivery_Fee]]-order_data[[#This Row],[Discount]]</f>
        <v>323</v>
      </c>
      <c r="Q404" t="str">
        <f>TEXT(order_data[[#This Row],[Order_Date]],"mmm")</f>
        <v>Jan</v>
      </c>
      <c r="R404">
        <f>MONTH(order_data[[#This Row],[Order_Date]])</f>
        <v>1</v>
      </c>
    </row>
    <row r="405" spans="1:18" x14ac:dyDescent="0.35">
      <c r="A405" t="s">
        <v>851</v>
      </c>
      <c r="B405" t="s">
        <v>305</v>
      </c>
      <c r="C405" t="s">
        <v>401</v>
      </c>
      <c r="D405" t="s">
        <v>16</v>
      </c>
      <c r="E405" t="s">
        <v>89</v>
      </c>
      <c r="F405" t="s">
        <v>18</v>
      </c>
      <c r="G405" t="s">
        <v>63</v>
      </c>
      <c r="H405">
        <v>268</v>
      </c>
      <c r="I405">
        <v>30</v>
      </c>
      <c r="J405">
        <v>0</v>
      </c>
      <c r="K405" t="s">
        <v>29</v>
      </c>
      <c r="L405">
        <v>38</v>
      </c>
      <c r="M405" t="s">
        <v>21</v>
      </c>
      <c r="N405">
        <f>COUNTIF(order_data[Order_ID],order_data[[#This Row],[Order_ID]])</f>
        <v>1</v>
      </c>
      <c r="O405">
        <f>order_data[[#This Row],[Order_Value]]-order_data[[#This Row],[Discount]]</f>
        <v>268</v>
      </c>
      <c r="P405">
        <f>order_data[[#This Row],[Order_Value]]+order_data[[#This Row],[Delivery_Fee]]-order_data[[#This Row],[Discount]]</f>
        <v>298</v>
      </c>
      <c r="Q405" t="str">
        <f>TEXT(order_data[[#This Row],[Order_Date]],"mmm")</f>
        <v>Jan</v>
      </c>
      <c r="R405">
        <f>MONTH(order_data[[#This Row],[Order_Date]])</f>
        <v>1</v>
      </c>
    </row>
    <row r="406" spans="1:18" x14ac:dyDescent="0.35">
      <c r="A406" t="s">
        <v>852</v>
      </c>
      <c r="B406" t="s">
        <v>154</v>
      </c>
      <c r="C406" t="s">
        <v>830</v>
      </c>
      <c r="D406" t="s">
        <v>25</v>
      </c>
      <c r="E406" t="s">
        <v>26</v>
      </c>
      <c r="F406" t="s">
        <v>27</v>
      </c>
      <c r="G406" t="s">
        <v>35</v>
      </c>
      <c r="H406">
        <v>760</v>
      </c>
      <c r="I406">
        <v>50</v>
      </c>
      <c r="J406">
        <v>100</v>
      </c>
      <c r="K406" t="s">
        <v>36</v>
      </c>
      <c r="L406">
        <v>56</v>
      </c>
      <c r="M406" t="s">
        <v>21</v>
      </c>
      <c r="N406">
        <f>COUNTIF(order_data[Order_ID],order_data[[#This Row],[Order_ID]])</f>
        <v>1</v>
      </c>
      <c r="O406">
        <f>order_data[[#This Row],[Order_Value]]-order_data[[#This Row],[Discount]]</f>
        <v>660</v>
      </c>
      <c r="P406">
        <f>order_data[[#This Row],[Order_Value]]+order_data[[#This Row],[Delivery_Fee]]-order_data[[#This Row],[Discount]]</f>
        <v>710</v>
      </c>
      <c r="Q406" t="str">
        <f>TEXT(order_data[[#This Row],[Order_Date]],"mmm")</f>
        <v>Jan</v>
      </c>
      <c r="R406">
        <f>MONTH(order_data[[#This Row],[Order_Date]])</f>
        <v>1</v>
      </c>
    </row>
    <row r="407" spans="1:18" x14ac:dyDescent="0.35">
      <c r="A407" t="s">
        <v>853</v>
      </c>
      <c r="B407" t="s">
        <v>280</v>
      </c>
      <c r="C407" t="s">
        <v>854</v>
      </c>
      <c r="D407" t="s">
        <v>53</v>
      </c>
      <c r="E407" t="s">
        <v>152</v>
      </c>
      <c r="F407" t="s">
        <v>18</v>
      </c>
      <c r="G407" t="s">
        <v>42</v>
      </c>
      <c r="H407">
        <v>541</v>
      </c>
      <c r="I407">
        <v>50</v>
      </c>
      <c r="J407">
        <v>20</v>
      </c>
      <c r="K407" t="s">
        <v>36</v>
      </c>
      <c r="L407">
        <v>51</v>
      </c>
      <c r="M407" t="s">
        <v>21</v>
      </c>
      <c r="N407">
        <f>COUNTIF(order_data[Order_ID],order_data[[#This Row],[Order_ID]])</f>
        <v>1</v>
      </c>
      <c r="O407">
        <f>order_data[[#This Row],[Order_Value]]-order_data[[#This Row],[Discount]]</f>
        <v>521</v>
      </c>
      <c r="P407">
        <f>order_data[[#This Row],[Order_Value]]+order_data[[#This Row],[Delivery_Fee]]-order_data[[#This Row],[Discount]]</f>
        <v>571</v>
      </c>
      <c r="Q407" t="str">
        <f>TEXT(order_data[[#This Row],[Order_Date]],"mmm")</f>
        <v>Jan</v>
      </c>
      <c r="R407">
        <f>MONTH(order_data[[#This Row],[Order_Date]])</f>
        <v>1</v>
      </c>
    </row>
    <row r="408" spans="1:18" x14ac:dyDescent="0.35">
      <c r="A408" t="s">
        <v>855</v>
      </c>
      <c r="B408" t="s">
        <v>393</v>
      </c>
      <c r="C408" t="s">
        <v>856</v>
      </c>
      <c r="D408" t="s">
        <v>46</v>
      </c>
      <c r="E408" t="s">
        <v>47</v>
      </c>
      <c r="F408" t="s">
        <v>48</v>
      </c>
      <c r="G408" t="s">
        <v>59</v>
      </c>
      <c r="H408">
        <v>703</v>
      </c>
      <c r="I408">
        <v>20</v>
      </c>
      <c r="J408">
        <v>20</v>
      </c>
      <c r="K408" t="s">
        <v>29</v>
      </c>
      <c r="L408">
        <v>21</v>
      </c>
      <c r="M408" t="s">
        <v>21</v>
      </c>
      <c r="N408">
        <f>COUNTIF(order_data[Order_ID],order_data[[#This Row],[Order_ID]])</f>
        <v>1</v>
      </c>
      <c r="O408">
        <f>order_data[[#This Row],[Order_Value]]-order_data[[#This Row],[Discount]]</f>
        <v>683</v>
      </c>
      <c r="P408">
        <f>order_data[[#This Row],[Order_Value]]+order_data[[#This Row],[Delivery_Fee]]-order_data[[#This Row],[Discount]]</f>
        <v>703</v>
      </c>
      <c r="Q408" t="str">
        <f>TEXT(order_data[[#This Row],[Order_Date]],"mmm")</f>
        <v>Feb</v>
      </c>
      <c r="R408">
        <f>MONTH(order_data[[#This Row],[Order_Date]])</f>
        <v>2</v>
      </c>
    </row>
    <row r="409" spans="1:18" x14ac:dyDescent="0.35">
      <c r="A409" t="s">
        <v>857</v>
      </c>
      <c r="B409" t="s">
        <v>657</v>
      </c>
      <c r="C409" t="s">
        <v>858</v>
      </c>
      <c r="D409" t="s">
        <v>53</v>
      </c>
      <c r="E409" t="s">
        <v>84</v>
      </c>
      <c r="F409" t="s">
        <v>85</v>
      </c>
      <c r="G409" t="s">
        <v>74</v>
      </c>
      <c r="H409">
        <v>573</v>
      </c>
      <c r="I409">
        <v>30</v>
      </c>
      <c r="J409">
        <v>0</v>
      </c>
      <c r="K409" t="s">
        <v>20</v>
      </c>
      <c r="L409">
        <v>57</v>
      </c>
      <c r="M409" t="s">
        <v>30</v>
      </c>
      <c r="N409">
        <f>COUNTIF(order_data[Order_ID],order_data[[#This Row],[Order_ID]])</f>
        <v>1</v>
      </c>
      <c r="O409">
        <f>order_data[[#This Row],[Order_Value]]-order_data[[#This Row],[Discount]]</f>
        <v>573</v>
      </c>
      <c r="P409">
        <f>order_data[[#This Row],[Order_Value]]+order_data[[#This Row],[Delivery_Fee]]-order_data[[#This Row],[Discount]]</f>
        <v>603</v>
      </c>
      <c r="Q409" t="str">
        <f>TEXT(order_data[[#This Row],[Order_Date]],"mmm")</f>
        <v>Jan</v>
      </c>
      <c r="R409">
        <f>MONTH(order_data[[#This Row],[Order_Date]])</f>
        <v>1</v>
      </c>
    </row>
    <row r="410" spans="1:18" x14ac:dyDescent="0.35">
      <c r="A410" t="s">
        <v>859</v>
      </c>
      <c r="B410" t="s">
        <v>413</v>
      </c>
      <c r="C410" t="s">
        <v>860</v>
      </c>
      <c r="D410" t="s">
        <v>25</v>
      </c>
      <c r="E410" t="s">
        <v>26</v>
      </c>
      <c r="F410" t="s">
        <v>27</v>
      </c>
      <c r="G410" t="s">
        <v>28</v>
      </c>
      <c r="H410">
        <v>447</v>
      </c>
      <c r="I410">
        <v>50</v>
      </c>
      <c r="J410">
        <v>0</v>
      </c>
      <c r="K410" t="s">
        <v>20</v>
      </c>
      <c r="L410">
        <v>51</v>
      </c>
      <c r="M410" t="s">
        <v>21</v>
      </c>
      <c r="N410">
        <f>COUNTIF(order_data[Order_ID],order_data[[#This Row],[Order_ID]])</f>
        <v>1</v>
      </c>
      <c r="O410">
        <f>order_data[[#This Row],[Order_Value]]-order_data[[#This Row],[Discount]]</f>
        <v>447</v>
      </c>
      <c r="P410">
        <f>order_data[[#This Row],[Order_Value]]+order_data[[#This Row],[Delivery_Fee]]-order_data[[#This Row],[Discount]]</f>
        <v>497</v>
      </c>
      <c r="Q410" t="str">
        <f>TEXT(order_data[[#This Row],[Order_Date]],"mmm")</f>
        <v>Mar</v>
      </c>
      <c r="R410">
        <f>MONTH(order_data[[#This Row],[Order_Date]])</f>
        <v>3</v>
      </c>
    </row>
    <row r="411" spans="1:18" x14ac:dyDescent="0.35">
      <c r="A411" t="s">
        <v>861</v>
      </c>
      <c r="B411" t="s">
        <v>473</v>
      </c>
      <c r="C411" t="s">
        <v>441</v>
      </c>
      <c r="D411" t="s">
        <v>46</v>
      </c>
      <c r="E411" t="s">
        <v>148</v>
      </c>
      <c r="F411" t="s">
        <v>27</v>
      </c>
      <c r="G411" t="s">
        <v>42</v>
      </c>
      <c r="H411">
        <v>770</v>
      </c>
      <c r="I411">
        <v>40</v>
      </c>
      <c r="J411">
        <v>100</v>
      </c>
      <c r="K411" t="s">
        <v>29</v>
      </c>
      <c r="L411">
        <v>38</v>
      </c>
      <c r="M411" t="s">
        <v>21</v>
      </c>
      <c r="N411">
        <f>COUNTIF(order_data[Order_ID],order_data[[#This Row],[Order_ID]])</f>
        <v>1</v>
      </c>
      <c r="O411">
        <f>order_data[[#This Row],[Order_Value]]-order_data[[#This Row],[Discount]]</f>
        <v>670</v>
      </c>
      <c r="P411">
        <f>order_data[[#This Row],[Order_Value]]+order_data[[#This Row],[Delivery_Fee]]-order_data[[#This Row],[Discount]]</f>
        <v>710</v>
      </c>
      <c r="Q411" t="str">
        <f>TEXT(order_data[[#This Row],[Order_Date]],"mmm")</f>
        <v>Mar</v>
      </c>
      <c r="R411">
        <f>MONTH(order_data[[#This Row],[Order_Date]])</f>
        <v>3</v>
      </c>
    </row>
    <row r="412" spans="1:18" x14ac:dyDescent="0.35">
      <c r="A412" t="s">
        <v>862</v>
      </c>
      <c r="B412" t="s">
        <v>76</v>
      </c>
      <c r="C412" t="s">
        <v>278</v>
      </c>
      <c r="D412" t="s">
        <v>46</v>
      </c>
      <c r="E412" t="s">
        <v>47</v>
      </c>
      <c r="F412" t="s">
        <v>48</v>
      </c>
      <c r="G412" t="s">
        <v>63</v>
      </c>
      <c r="H412">
        <v>609</v>
      </c>
      <c r="I412">
        <v>40</v>
      </c>
      <c r="J412">
        <v>100</v>
      </c>
      <c r="K412" t="s">
        <v>29</v>
      </c>
      <c r="L412">
        <v>41</v>
      </c>
      <c r="M412" t="s">
        <v>21</v>
      </c>
      <c r="N412">
        <f>COUNTIF(order_data[Order_ID],order_data[[#This Row],[Order_ID]])</f>
        <v>1</v>
      </c>
      <c r="O412">
        <f>order_data[[#This Row],[Order_Value]]-order_data[[#This Row],[Discount]]</f>
        <v>509</v>
      </c>
      <c r="P412">
        <f>order_data[[#This Row],[Order_Value]]+order_data[[#This Row],[Delivery_Fee]]-order_data[[#This Row],[Discount]]</f>
        <v>549</v>
      </c>
      <c r="Q412" t="str">
        <f>TEXT(order_data[[#This Row],[Order_Date]],"mmm")</f>
        <v>Feb</v>
      </c>
      <c r="R412">
        <f>MONTH(order_data[[#This Row],[Order_Date]])</f>
        <v>2</v>
      </c>
    </row>
    <row r="413" spans="1:18" x14ac:dyDescent="0.35">
      <c r="A413" t="s">
        <v>863</v>
      </c>
      <c r="B413" t="s">
        <v>38</v>
      </c>
      <c r="C413" t="s">
        <v>864</v>
      </c>
      <c r="D413" t="s">
        <v>25</v>
      </c>
      <c r="E413" t="s">
        <v>78</v>
      </c>
      <c r="F413" t="s">
        <v>48</v>
      </c>
      <c r="G413" t="s">
        <v>63</v>
      </c>
      <c r="H413">
        <v>411</v>
      </c>
      <c r="I413">
        <v>40</v>
      </c>
      <c r="J413">
        <v>100</v>
      </c>
      <c r="K413" t="s">
        <v>20</v>
      </c>
      <c r="L413">
        <v>32</v>
      </c>
      <c r="M413" t="s">
        <v>21</v>
      </c>
      <c r="N413">
        <f>COUNTIF(order_data[Order_ID],order_data[[#This Row],[Order_ID]])</f>
        <v>1</v>
      </c>
      <c r="O413">
        <f>order_data[[#This Row],[Order_Value]]-order_data[[#This Row],[Discount]]</f>
        <v>311</v>
      </c>
      <c r="P413">
        <f>order_data[[#This Row],[Order_Value]]+order_data[[#This Row],[Delivery_Fee]]-order_data[[#This Row],[Discount]]</f>
        <v>351</v>
      </c>
      <c r="Q413" t="str">
        <f>TEXT(order_data[[#This Row],[Order_Date]],"mmm")</f>
        <v>Jan</v>
      </c>
      <c r="R413">
        <f>MONTH(order_data[[#This Row],[Order_Date]])</f>
        <v>1</v>
      </c>
    </row>
    <row r="414" spans="1:18" x14ac:dyDescent="0.35">
      <c r="A414" t="s">
        <v>865</v>
      </c>
      <c r="B414" t="s">
        <v>65</v>
      </c>
      <c r="C414" t="s">
        <v>313</v>
      </c>
      <c r="D414" t="s">
        <v>25</v>
      </c>
      <c r="E414" t="s">
        <v>78</v>
      </c>
      <c r="F414" t="s">
        <v>48</v>
      </c>
      <c r="G414" t="s">
        <v>28</v>
      </c>
      <c r="H414">
        <v>313</v>
      </c>
      <c r="I414">
        <v>40</v>
      </c>
      <c r="J414">
        <v>0</v>
      </c>
      <c r="K414" t="s">
        <v>36</v>
      </c>
      <c r="L414">
        <v>41</v>
      </c>
      <c r="M414" t="s">
        <v>21</v>
      </c>
      <c r="N414">
        <f>COUNTIF(order_data[Order_ID],order_data[[#This Row],[Order_ID]])</f>
        <v>1</v>
      </c>
      <c r="O414">
        <f>order_data[[#This Row],[Order_Value]]-order_data[[#This Row],[Discount]]</f>
        <v>313</v>
      </c>
      <c r="P414">
        <f>order_data[[#This Row],[Order_Value]]+order_data[[#This Row],[Delivery_Fee]]-order_data[[#This Row],[Discount]]</f>
        <v>353</v>
      </c>
      <c r="Q414" t="str">
        <f>TEXT(order_data[[#This Row],[Order_Date]],"mmm")</f>
        <v>Mar</v>
      </c>
      <c r="R414">
        <f>MONTH(order_data[[#This Row],[Order_Date]])</f>
        <v>3</v>
      </c>
    </row>
    <row r="415" spans="1:18" x14ac:dyDescent="0.35">
      <c r="A415" t="s">
        <v>866</v>
      </c>
      <c r="B415" t="s">
        <v>154</v>
      </c>
      <c r="C415" t="s">
        <v>690</v>
      </c>
      <c r="D415" t="s">
        <v>46</v>
      </c>
      <c r="E415" t="s">
        <v>148</v>
      </c>
      <c r="F415" t="s">
        <v>27</v>
      </c>
      <c r="G415" t="s">
        <v>107</v>
      </c>
      <c r="H415">
        <v>287</v>
      </c>
      <c r="I415">
        <v>30</v>
      </c>
      <c r="J415">
        <v>50</v>
      </c>
      <c r="K415" t="s">
        <v>36</v>
      </c>
      <c r="L415">
        <v>45</v>
      </c>
      <c r="M415" t="s">
        <v>21</v>
      </c>
      <c r="N415">
        <f>COUNTIF(order_data[Order_ID],order_data[[#This Row],[Order_ID]])</f>
        <v>1</v>
      </c>
      <c r="O415">
        <f>order_data[[#This Row],[Order_Value]]-order_data[[#This Row],[Discount]]</f>
        <v>237</v>
      </c>
      <c r="P415">
        <f>order_data[[#This Row],[Order_Value]]+order_data[[#This Row],[Delivery_Fee]]-order_data[[#This Row],[Discount]]</f>
        <v>267</v>
      </c>
      <c r="Q415" t="str">
        <f>TEXT(order_data[[#This Row],[Order_Date]],"mmm")</f>
        <v>Jan</v>
      </c>
      <c r="R415">
        <f>MONTH(order_data[[#This Row],[Order_Date]])</f>
        <v>1</v>
      </c>
    </row>
    <row r="416" spans="1:18" x14ac:dyDescent="0.35">
      <c r="A416" t="s">
        <v>867</v>
      </c>
      <c r="B416" t="s">
        <v>32</v>
      </c>
      <c r="C416" t="s">
        <v>868</v>
      </c>
      <c r="D416" t="s">
        <v>40</v>
      </c>
      <c r="E416" t="s">
        <v>111</v>
      </c>
      <c r="F416" t="s">
        <v>18</v>
      </c>
      <c r="G416" t="s">
        <v>35</v>
      </c>
      <c r="H416">
        <v>172</v>
      </c>
      <c r="I416">
        <v>20</v>
      </c>
      <c r="J416">
        <v>50</v>
      </c>
      <c r="K416" t="s">
        <v>20</v>
      </c>
      <c r="L416">
        <v>50</v>
      </c>
      <c r="M416" t="s">
        <v>21</v>
      </c>
      <c r="N416">
        <f>COUNTIF(order_data[Order_ID],order_data[[#This Row],[Order_ID]])</f>
        <v>1</v>
      </c>
      <c r="O416">
        <f>order_data[[#This Row],[Order_Value]]-order_data[[#This Row],[Discount]]</f>
        <v>122</v>
      </c>
      <c r="P416">
        <f>order_data[[#This Row],[Order_Value]]+order_data[[#This Row],[Delivery_Fee]]-order_data[[#This Row],[Discount]]</f>
        <v>142</v>
      </c>
      <c r="Q416" t="str">
        <f>TEXT(order_data[[#This Row],[Order_Date]],"mmm")</f>
        <v>Jan</v>
      </c>
      <c r="R416">
        <f>MONTH(order_data[[#This Row],[Order_Date]])</f>
        <v>1</v>
      </c>
    </row>
    <row r="417" spans="1:18" x14ac:dyDescent="0.35">
      <c r="A417" t="s">
        <v>869</v>
      </c>
      <c r="B417" t="s">
        <v>23</v>
      </c>
      <c r="C417" t="s">
        <v>797</v>
      </c>
      <c r="D417" t="s">
        <v>40</v>
      </c>
      <c r="E417" t="s">
        <v>67</v>
      </c>
      <c r="F417" t="s">
        <v>48</v>
      </c>
      <c r="G417" t="s">
        <v>42</v>
      </c>
      <c r="H417">
        <v>325</v>
      </c>
      <c r="I417">
        <v>30</v>
      </c>
      <c r="J417">
        <v>100</v>
      </c>
      <c r="K417" t="s">
        <v>20</v>
      </c>
      <c r="L417">
        <v>31</v>
      </c>
      <c r="M417" t="s">
        <v>21</v>
      </c>
      <c r="N417">
        <f>COUNTIF(order_data[Order_ID],order_data[[#This Row],[Order_ID]])</f>
        <v>1</v>
      </c>
      <c r="O417">
        <f>order_data[[#This Row],[Order_Value]]-order_data[[#This Row],[Discount]]</f>
        <v>225</v>
      </c>
      <c r="P417">
        <f>order_data[[#This Row],[Order_Value]]+order_data[[#This Row],[Delivery_Fee]]-order_data[[#This Row],[Discount]]</f>
        <v>255</v>
      </c>
      <c r="Q417" t="str">
        <f>TEXT(order_data[[#This Row],[Order_Date]],"mmm")</f>
        <v>Mar</v>
      </c>
      <c r="R417">
        <f>MONTH(order_data[[#This Row],[Order_Date]])</f>
        <v>3</v>
      </c>
    </row>
    <row r="418" spans="1:18" x14ac:dyDescent="0.35">
      <c r="A418" t="s">
        <v>870</v>
      </c>
      <c r="B418" t="s">
        <v>218</v>
      </c>
      <c r="C418" t="s">
        <v>871</v>
      </c>
      <c r="D418" t="s">
        <v>40</v>
      </c>
      <c r="E418" t="s">
        <v>67</v>
      </c>
      <c r="F418" t="s">
        <v>48</v>
      </c>
      <c r="G418" t="s">
        <v>59</v>
      </c>
      <c r="H418">
        <v>214</v>
      </c>
      <c r="I418">
        <v>40</v>
      </c>
      <c r="J418">
        <v>50</v>
      </c>
      <c r="K418" t="s">
        <v>36</v>
      </c>
      <c r="L418">
        <v>35</v>
      </c>
      <c r="M418" t="s">
        <v>21</v>
      </c>
      <c r="N418">
        <f>COUNTIF(order_data[Order_ID],order_data[[#This Row],[Order_ID]])</f>
        <v>1</v>
      </c>
      <c r="O418">
        <f>order_data[[#This Row],[Order_Value]]-order_data[[#This Row],[Discount]]</f>
        <v>164</v>
      </c>
      <c r="P418">
        <f>order_data[[#This Row],[Order_Value]]+order_data[[#This Row],[Delivery_Fee]]-order_data[[#This Row],[Discount]]</f>
        <v>204</v>
      </c>
      <c r="Q418" t="str">
        <f>TEXT(order_data[[#This Row],[Order_Date]],"mmm")</f>
        <v>Feb</v>
      </c>
      <c r="R418">
        <f>MONTH(order_data[[#This Row],[Order_Date]])</f>
        <v>2</v>
      </c>
    </row>
    <row r="419" spans="1:18" x14ac:dyDescent="0.35">
      <c r="A419" t="s">
        <v>872</v>
      </c>
      <c r="B419" t="s">
        <v>223</v>
      </c>
      <c r="C419" t="s">
        <v>873</v>
      </c>
      <c r="D419" t="s">
        <v>40</v>
      </c>
      <c r="E419" t="s">
        <v>67</v>
      </c>
      <c r="F419" t="s">
        <v>48</v>
      </c>
      <c r="G419" t="s">
        <v>49</v>
      </c>
      <c r="H419">
        <v>589</v>
      </c>
      <c r="I419">
        <v>40</v>
      </c>
      <c r="J419">
        <v>30</v>
      </c>
      <c r="K419" t="s">
        <v>20</v>
      </c>
      <c r="L419">
        <v>58</v>
      </c>
      <c r="M419" t="s">
        <v>21</v>
      </c>
      <c r="N419">
        <f>COUNTIF(order_data[Order_ID],order_data[[#This Row],[Order_ID]])</f>
        <v>1</v>
      </c>
      <c r="O419">
        <f>order_data[[#This Row],[Order_Value]]-order_data[[#This Row],[Discount]]</f>
        <v>559</v>
      </c>
      <c r="P419">
        <f>order_data[[#This Row],[Order_Value]]+order_data[[#This Row],[Delivery_Fee]]-order_data[[#This Row],[Discount]]</f>
        <v>599</v>
      </c>
      <c r="Q419" t="str">
        <f>TEXT(order_data[[#This Row],[Order_Date]],"mmm")</f>
        <v>Mar</v>
      </c>
      <c r="R419">
        <f>MONTH(order_data[[#This Row],[Order_Date]])</f>
        <v>3</v>
      </c>
    </row>
    <row r="420" spans="1:18" x14ac:dyDescent="0.35">
      <c r="A420" t="s">
        <v>874</v>
      </c>
      <c r="B420" t="s">
        <v>657</v>
      </c>
      <c r="C420" t="s">
        <v>503</v>
      </c>
      <c r="D420" t="s">
        <v>16</v>
      </c>
      <c r="E420" t="s">
        <v>131</v>
      </c>
      <c r="F420" t="s">
        <v>55</v>
      </c>
      <c r="G420" t="s">
        <v>35</v>
      </c>
      <c r="H420">
        <v>241</v>
      </c>
      <c r="I420">
        <v>20</v>
      </c>
      <c r="J420">
        <v>30</v>
      </c>
      <c r="K420" t="s">
        <v>20</v>
      </c>
      <c r="L420">
        <v>32</v>
      </c>
      <c r="M420" t="s">
        <v>21</v>
      </c>
      <c r="N420">
        <f>COUNTIF(order_data[Order_ID],order_data[[#This Row],[Order_ID]])</f>
        <v>1</v>
      </c>
      <c r="O420">
        <f>order_data[[#This Row],[Order_Value]]-order_data[[#This Row],[Discount]]</f>
        <v>211</v>
      </c>
      <c r="P420">
        <f>order_data[[#This Row],[Order_Value]]+order_data[[#This Row],[Delivery_Fee]]-order_data[[#This Row],[Discount]]</f>
        <v>231</v>
      </c>
      <c r="Q420" t="str">
        <f>TEXT(order_data[[#This Row],[Order_Date]],"mmm")</f>
        <v>Jan</v>
      </c>
      <c r="R420">
        <f>MONTH(order_data[[#This Row],[Order_Date]])</f>
        <v>1</v>
      </c>
    </row>
    <row r="421" spans="1:18" x14ac:dyDescent="0.35">
      <c r="A421" t="s">
        <v>875</v>
      </c>
      <c r="B421" t="s">
        <v>271</v>
      </c>
      <c r="C421" t="s">
        <v>340</v>
      </c>
      <c r="D421" t="s">
        <v>40</v>
      </c>
      <c r="E421" t="s">
        <v>111</v>
      </c>
      <c r="F421" t="s">
        <v>18</v>
      </c>
      <c r="G421" t="s">
        <v>176</v>
      </c>
      <c r="H421">
        <v>744</v>
      </c>
      <c r="I421">
        <v>50</v>
      </c>
      <c r="J421">
        <v>100</v>
      </c>
      <c r="K421" t="s">
        <v>29</v>
      </c>
      <c r="L421">
        <v>24</v>
      </c>
      <c r="M421" t="s">
        <v>21</v>
      </c>
      <c r="N421">
        <f>COUNTIF(order_data[Order_ID],order_data[[#This Row],[Order_ID]])</f>
        <v>1</v>
      </c>
      <c r="O421">
        <f>order_data[[#This Row],[Order_Value]]-order_data[[#This Row],[Discount]]</f>
        <v>644</v>
      </c>
      <c r="P421">
        <f>order_data[[#This Row],[Order_Value]]+order_data[[#This Row],[Delivery_Fee]]-order_data[[#This Row],[Discount]]</f>
        <v>694</v>
      </c>
      <c r="Q421" t="str">
        <f>TEXT(order_data[[#This Row],[Order_Date]],"mmm")</f>
        <v>Jan</v>
      </c>
      <c r="R421">
        <f>MONTH(order_data[[#This Row],[Order_Date]])</f>
        <v>1</v>
      </c>
    </row>
    <row r="422" spans="1:18" x14ac:dyDescent="0.35">
      <c r="A422" t="s">
        <v>876</v>
      </c>
      <c r="B422" t="s">
        <v>365</v>
      </c>
      <c r="C422" t="s">
        <v>151</v>
      </c>
      <c r="D422" t="s">
        <v>16</v>
      </c>
      <c r="E422" t="s">
        <v>89</v>
      </c>
      <c r="F422" t="s">
        <v>18</v>
      </c>
      <c r="G422" t="s">
        <v>176</v>
      </c>
      <c r="H422">
        <v>212</v>
      </c>
      <c r="I422">
        <v>50</v>
      </c>
      <c r="J422">
        <v>20</v>
      </c>
      <c r="K422" t="s">
        <v>29</v>
      </c>
      <c r="L422">
        <v>28</v>
      </c>
      <c r="M422" t="s">
        <v>21</v>
      </c>
      <c r="N422">
        <f>COUNTIF(order_data[Order_ID],order_data[[#This Row],[Order_ID]])</f>
        <v>1</v>
      </c>
      <c r="O422">
        <f>order_data[[#This Row],[Order_Value]]-order_data[[#This Row],[Discount]]</f>
        <v>192</v>
      </c>
      <c r="P422">
        <f>order_data[[#This Row],[Order_Value]]+order_data[[#This Row],[Delivery_Fee]]-order_data[[#This Row],[Discount]]</f>
        <v>242</v>
      </c>
      <c r="Q422" t="str">
        <f>TEXT(order_data[[#This Row],[Order_Date]],"mmm")</f>
        <v>Jan</v>
      </c>
      <c r="R422">
        <f>MONTH(order_data[[#This Row],[Order_Date]])</f>
        <v>1</v>
      </c>
    </row>
    <row r="423" spans="1:18" x14ac:dyDescent="0.35">
      <c r="A423" t="s">
        <v>877</v>
      </c>
      <c r="B423" t="s">
        <v>432</v>
      </c>
      <c r="C423" t="s">
        <v>137</v>
      </c>
      <c r="D423" t="s">
        <v>53</v>
      </c>
      <c r="E423" t="s">
        <v>84</v>
      </c>
      <c r="F423" t="s">
        <v>85</v>
      </c>
      <c r="G423" t="s">
        <v>42</v>
      </c>
      <c r="H423">
        <v>746</v>
      </c>
      <c r="I423">
        <v>40</v>
      </c>
      <c r="J423">
        <v>0</v>
      </c>
      <c r="K423" t="s">
        <v>29</v>
      </c>
      <c r="L423">
        <v>57</v>
      </c>
      <c r="M423" t="s">
        <v>21</v>
      </c>
      <c r="N423">
        <f>COUNTIF(order_data[Order_ID],order_data[[#This Row],[Order_ID]])</f>
        <v>1</v>
      </c>
      <c r="O423">
        <f>order_data[[#This Row],[Order_Value]]-order_data[[#This Row],[Discount]]</f>
        <v>746</v>
      </c>
      <c r="P423">
        <f>order_data[[#This Row],[Order_Value]]+order_data[[#This Row],[Delivery_Fee]]-order_data[[#This Row],[Discount]]</f>
        <v>786</v>
      </c>
      <c r="Q423" t="str">
        <f>TEXT(order_data[[#This Row],[Order_Date]],"mmm")</f>
        <v>Feb</v>
      </c>
      <c r="R423">
        <f>MONTH(order_data[[#This Row],[Order_Date]])</f>
        <v>2</v>
      </c>
    </row>
    <row r="424" spans="1:18" x14ac:dyDescent="0.35">
      <c r="A424" t="s">
        <v>878</v>
      </c>
      <c r="B424" t="s">
        <v>295</v>
      </c>
      <c r="C424" t="s">
        <v>879</v>
      </c>
      <c r="D424" t="s">
        <v>25</v>
      </c>
      <c r="E424" t="s">
        <v>78</v>
      </c>
      <c r="F424" t="s">
        <v>48</v>
      </c>
      <c r="G424" t="s">
        <v>28</v>
      </c>
      <c r="H424">
        <v>527</v>
      </c>
      <c r="I424">
        <v>40</v>
      </c>
      <c r="J424">
        <v>50</v>
      </c>
      <c r="K424" t="s">
        <v>20</v>
      </c>
      <c r="L424">
        <v>56</v>
      </c>
      <c r="M424" t="s">
        <v>21</v>
      </c>
      <c r="N424">
        <f>COUNTIF(order_data[Order_ID],order_data[[#This Row],[Order_ID]])</f>
        <v>1</v>
      </c>
      <c r="O424">
        <f>order_data[[#This Row],[Order_Value]]-order_data[[#This Row],[Discount]]</f>
        <v>477</v>
      </c>
      <c r="P424">
        <f>order_data[[#This Row],[Order_Value]]+order_data[[#This Row],[Delivery_Fee]]-order_data[[#This Row],[Discount]]</f>
        <v>517</v>
      </c>
      <c r="Q424" t="str">
        <f>TEXT(order_data[[#This Row],[Order_Date]],"mmm")</f>
        <v>Jan</v>
      </c>
      <c r="R424">
        <f>MONTH(order_data[[#This Row],[Order_Date]])</f>
        <v>1</v>
      </c>
    </row>
    <row r="425" spans="1:18" x14ac:dyDescent="0.35">
      <c r="A425" t="s">
        <v>880</v>
      </c>
      <c r="B425" t="s">
        <v>297</v>
      </c>
      <c r="C425" t="s">
        <v>323</v>
      </c>
      <c r="D425" t="s">
        <v>46</v>
      </c>
      <c r="E425" t="s">
        <v>148</v>
      </c>
      <c r="F425" t="s">
        <v>27</v>
      </c>
      <c r="G425" t="s">
        <v>74</v>
      </c>
      <c r="H425">
        <v>308</v>
      </c>
      <c r="I425">
        <v>50</v>
      </c>
      <c r="J425">
        <v>50</v>
      </c>
      <c r="K425" t="s">
        <v>29</v>
      </c>
      <c r="L425">
        <v>32</v>
      </c>
      <c r="M425" t="s">
        <v>21</v>
      </c>
      <c r="N425">
        <f>COUNTIF(order_data[Order_ID],order_data[[#This Row],[Order_ID]])</f>
        <v>1</v>
      </c>
      <c r="O425">
        <f>order_data[[#This Row],[Order_Value]]-order_data[[#This Row],[Discount]]</f>
        <v>258</v>
      </c>
      <c r="P425">
        <f>order_data[[#This Row],[Order_Value]]+order_data[[#This Row],[Delivery_Fee]]-order_data[[#This Row],[Discount]]</f>
        <v>308</v>
      </c>
      <c r="Q425" t="str">
        <f>TEXT(order_data[[#This Row],[Order_Date]],"mmm")</f>
        <v>Feb</v>
      </c>
      <c r="R425">
        <f>MONTH(order_data[[#This Row],[Order_Date]])</f>
        <v>2</v>
      </c>
    </row>
    <row r="426" spans="1:18" x14ac:dyDescent="0.35">
      <c r="A426" t="s">
        <v>881</v>
      </c>
      <c r="B426" t="s">
        <v>513</v>
      </c>
      <c r="C426" t="s">
        <v>882</v>
      </c>
      <c r="D426" t="s">
        <v>25</v>
      </c>
      <c r="E426" t="s">
        <v>26</v>
      </c>
      <c r="F426" t="s">
        <v>27</v>
      </c>
      <c r="G426" t="s">
        <v>176</v>
      </c>
      <c r="H426">
        <v>239</v>
      </c>
      <c r="I426">
        <v>20</v>
      </c>
      <c r="J426">
        <v>100</v>
      </c>
      <c r="K426" t="s">
        <v>36</v>
      </c>
      <c r="L426">
        <v>37</v>
      </c>
      <c r="M426" t="s">
        <v>21</v>
      </c>
      <c r="N426">
        <f>COUNTIF(order_data[Order_ID],order_data[[#This Row],[Order_ID]])</f>
        <v>1</v>
      </c>
      <c r="O426">
        <f>order_data[[#This Row],[Order_Value]]-order_data[[#This Row],[Discount]]</f>
        <v>139</v>
      </c>
      <c r="P426">
        <f>order_data[[#This Row],[Order_Value]]+order_data[[#This Row],[Delivery_Fee]]-order_data[[#This Row],[Discount]]</f>
        <v>159</v>
      </c>
      <c r="Q426" t="str">
        <f>TEXT(order_data[[#This Row],[Order_Date]],"mmm")</f>
        <v>Feb</v>
      </c>
      <c r="R426">
        <f>MONTH(order_data[[#This Row],[Order_Date]])</f>
        <v>2</v>
      </c>
    </row>
    <row r="427" spans="1:18" x14ac:dyDescent="0.35">
      <c r="A427" t="s">
        <v>883</v>
      </c>
      <c r="B427" t="s">
        <v>181</v>
      </c>
      <c r="C427" t="s">
        <v>884</v>
      </c>
      <c r="D427" t="s">
        <v>16</v>
      </c>
      <c r="E427" t="s">
        <v>131</v>
      </c>
      <c r="F427" t="s">
        <v>55</v>
      </c>
      <c r="G427" t="s">
        <v>63</v>
      </c>
      <c r="H427">
        <v>502</v>
      </c>
      <c r="I427">
        <v>20</v>
      </c>
      <c r="J427">
        <v>50</v>
      </c>
      <c r="K427" t="s">
        <v>20</v>
      </c>
      <c r="L427">
        <v>41</v>
      </c>
      <c r="M427" t="s">
        <v>21</v>
      </c>
      <c r="N427">
        <f>COUNTIF(order_data[Order_ID],order_data[[#This Row],[Order_ID]])</f>
        <v>1</v>
      </c>
      <c r="O427">
        <f>order_data[[#This Row],[Order_Value]]-order_data[[#This Row],[Discount]]</f>
        <v>452</v>
      </c>
      <c r="P427">
        <f>order_data[[#This Row],[Order_Value]]+order_data[[#This Row],[Delivery_Fee]]-order_data[[#This Row],[Discount]]</f>
        <v>472</v>
      </c>
      <c r="Q427" t="str">
        <f>TEXT(order_data[[#This Row],[Order_Date]],"mmm")</f>
        <v>Feb</v>
      </c>
      <c r="R427">
        <f>MONTH(order_data[[#This Row],[Order_Date]])</f>
        <v>2</v>
      </c>
    </row>
    <row r="428" spans="1:18" x14ac:dyDescent="0.35">
      <c r="A428" t="s">
        <v>885</v>
      </c>
      <c r="B428" t="s">
        <v>513</v>
      </c>
      <c r="C428" t="s">
        <v>886</v>
      </c>
      <c r="D428" t="s">
        <v>40</v>
      </c>
      <c r="E428" t="s">
        <v>41</v>
      </c>
      <c r="F428" t="s">
        <v>27</v>
      </c>
      <c r="G428" t="s">
        <v>28</v>
      </c>
      <c r="H428">
        <v>521</v>
      </c>
      <c r="I428">
        <v>50</v>
      </c>
      <c r="J428">
        <v>100</v>
      </c>
      <c r="K428" t="s">
        <v>36</v>
      </c>
      <c r="L428">
        <v>57</v>
      </c>
      <c r="M428" t="s">
        <v>21</v>
      </c>
      <c r="N428">
        <f>COUNTIF(order_data[Order_ID],order_data[[#This Row],[Order_ID]])</f>
        <v>1</v>
      </c>
      <c r="O428">
        <f>order_data[[#This Row],[Order_Value]]-order_data[[#This Row],[Discount]]</f>
        <v>421</v>
      </c>
      <c r="P428">
        <f>order_data[[#This Row],[Order_Value]]+order_data[[#This Row],[Delivery_Fee]]-order_data[[#This Row],[Discount]]</f>
        <v>471</v>
      </c>
      <c r="Q428" t="str">
        <f>TEXT(order_data[[#This Row],[Order_Date]],"mmm")</f>
        <v>Feb</v>
      </c>
      <c r="R428">
        <f>MONTH(order_data[[#This Row],[Order_Date]])</f>
        <v>2</v>
      </c>
    </row>
    <row r="429" spans="1:18" x14ac:dyDescent="0.35">
      <c r="A429" t="s">
        <v>887</v>
      </c>
      <c r="B429" t="s">
        <v>329</v>
      </c>
      <c r="C429" t="s">
        <v>545</v>
      </c>
      <c r="D429" t="s">
        <v>53</v>
      </c>
      <c r="E429" t="s">
        <v>152</v>
      </c>
      <c r="F429" t="s">
        <v>18</v>
      </c>
      <c r="G429" t="s">
        <v>35</v>
      </c>
      <c r="H429">
        <v>317</v>
      </c>
      <c r="I429">
        <v>30</v>
      </c>
      <c r="J429">
        <v>0</v>
      </c>
      <c r="K429" t="s">
        <v>36</v>
      </c>
      <c r="L429">
        <v>26</v>
      </c>
      <c r="M429" t="s">
        <v>21</v>
      </c>
      <c r="N429">
        <f>COUNTIF(order_data[Order_ID],order_data[[#This Row],[Order_ID]])</f>
        <v>1</v>
      </c>
      <c r="O429">
        <f>order_data[[#This Row],[Order_Value]]-order_data[[#This Row],[Discount]]</f>
        <v>317</v>
      </c>
      <c r="P429">
        <f>order_data[[#This Row],[Order_Value]]+order_data[[#This Row],[Delivery_Fee]]-order_data[[#This Row],[Discount]]</f>
        <v>347</v>
      </c>
      <c r="Q429" t="str">
        <f>TEXT(order_data[[#This Row],[Order_Date]],"mmm")</f>
        <v>Mar</v>
      </c>
      <c r="R429">
        <f>MONTH(order_data[[#This Row],[Order_Date]])</f>
        <v>3</v>
      </c>
    </row>
    <row r="430" spans="1:18" x14ac:dyDescent="0.35">
      <c r="A430" t="s">
        <v>888</v>
      </c>
      <c r="B430" t="s">
        <v>365</v>
      </c>
      <c r="C430" t="s">
        <v>889</v>
      </c>
      <c r="D430" t="s">
        <v>25</v>
      </c>
      <c r="E430" t="s">
        <v>78</v>
      </c>
      <c r="F430" t="s">
        <v>48</v>
      </c>
      <c r="G430" t="s">
        <v>176</v>
      </c>
      <c r="H430">
        <v>579</v>
      </c>
      <c r="I430">
        <v>20</v>
      </c>
      <c r="J430">
        <v>100</v>
      </c>
      <c r="K430" t="s">
        <v>20</v>
      </c>
      <c r="L430">
        <v>51</v>
      </c>
      <c r="M430" t="s">
        <v>21</v>
      </c>
      <c r="N430">
        <f>COUNTIF(order_data[Order_ID],order_data[[#This Row],[Order_ID]])</f>
        <v>1</v>
      </c>
      <c r="O430">
        <f>order_data[[#This Row],[Order_Value]]-order_data[[#This Row],[Discount]]</f>
        <v>479</v>
      </c>
      <c r="P430">
        <f>order_data[[#This Row],[Order_Value]]+order_data[[#This Row],[Delivery_Fee]]-order_data[[#This Row],[Discount]]</f>
        <v>499</v>
      </c>
      <c r="Q430" t="str">
        <f>TEXT(order_data[[#This Row],[Order_Date]],"mmm")</f>
        <v>Jan</v>
      </c>
      <c r="R430">
        <f>MONTH(order_data[[#This Row],[Order_Date]])</f>
        <v>1</v>
      </c>
    </row>
    <row r="431" spans="1:18" x14ac:dyDescent="0.35">
      <c r="A431" t="s">
        <v>890</v>
      </c>
      <c r="B431" t="s">
        <v>291</v>
      </c>
      <c r="C431" t="s">
        <v>891</v>
      </c>
      <c r="D431" t="s">
        <v>25</v>
      </c>
      <c r="E431" t="s">
        <v>78</v>
      </c>
      <c r="F431" t="s">
        <v>48</v>
      </c>
      <c r="G431" t="s">
        <v>19</v>
      </c>
      <c r="H431">
        <v>388</v>
      </c>
      <c r="I431">
        <v>30</v>
      </c>
      <c r="J431">
        <v>100</v>
      </c>
      <c r="K431" t="s">
        <v>29</v>
      </c>
      <c r="L431">
        <v>49</v>
      </c>
      <c r="M431" t="s">
        <v>21</v>
      </c>
      <c r="N431">
        <f>COUNTIF(order_data[Order_ID],order_data[[#This Row],[Order_ID]])</f>
        <v>1</v>
      </c>
      <c r="O431">
        <f>order_data[[#This Row],[Order_Value]]-order_data[[#This Row],[Discount]]</f>
        <v>288</v>
      </c>
      <c r="P431">
        <f>order_data[[#This Row],[Order_Value]]+order_data[[#This Row],[Delivery_Fee]]-order_data[[#This Row],[Discount]]</f>
        <v>318</v>
      </c>
      <c r="Q431" t="str">
        <f>TEXT(order_data[[#This Row],[Order_Date]],"mmm")</f>
        <v>Feb</v>
      </c>
      <c r="R431">
        <f>MONTH(order_data[[#This Row],[Order_Date]])</f>
        <v>2</v>
      </c>
    </row>
    <row r="432" spans="1:18" x14ac:dyDescent="0.35">
      <c r="A432" t="s">
        <v>892</v>
      </c>
      <c r="B432" t="s">
        <v>473</v>
      </c>
      <c r="C432" t="s">
        <v>233</v>
      </c>
      <c r="D432" t="s">
        <v>46</v>
      </c>
      <c r="E432" t="s">
        <v>148</v>
      </c>
      <c r="F432" t="s">
        <v>27</v>
      </c>
      <c r="G432" t="s">
        <v>63</v>
      </c>
      <c r="H432">
        <v>171</v>
      </c>
      <c r="I432">
        <v>30</v>
      </c>
      <c r="J432">
        <v>0</v>
      </c>
      <c r="K432" t="s">
        <v>29</v>
      </c>
      <c r="L432">
        <v>37</v>
      </c>
      <c r="M432" t="s">
        <v>21</v>
      </c>
      <c r="N432">
        <f>COUNTIF(order_data[Order_ID],order_data[[#This Row],[Order_ID]])</f>
        <v>1</v>
      </c>
      <c r="O432">
        <f>order_data[[#This Row],[Order_Value]]-order_data[[#This Row],[Discount]]</f>
        <v>171</v>
      </c>
      <c r="P432">
        <f>order_data[[#This Row],[Order_Value]]+order_data[[#This Row],[Delivery_Fee]]-order_data[[#This Row],[Discount]]</f>
        <v>201</v>
      </c>
      <c r="Q432" t="str">
        <f>TEXT(order_data[[#This Row],[Order_Date]],"mmm")</f>
        <v>Mar</v>
      </c>
      <c r="R432">
        <f>MONTH(order_data[[#This Row],[Order_Date]])</f>
        <v>3</v>
      </c>
    </row>
    <row r="433" spans="1:18" x14ac:dyDescent="0.35">
      <c r="A433" t="s">
        <v>893</v>
      </c>
      <c r="B433" t="s">
        <v>99</v>
      </c>
      <c r="C433" t="s">
        <v>537</v>
      </c>
      <c r="D433" t="s">
        <v>40</v>
      </c>
      <c r="E433" t="s">
        <v>41</v>
      </c>
      <c r="F433" t="s">
        <v>27</v>
      </c>
      <c r="G433" t="s">
        <v>59</v>
      </c>
      <c r="H433">
        <v>185</v>
      </c>
      <c r="I433">
        <v>30</v>
      </c>
      <c r="J433">
        <v>0</v>
      </c>
      <c r="K433" t="s">
        <v>29</v>
      </c>
      <c r="L433">
        <v>36</v>
      </c>
      <c r="M433" t="s">
        <v>30</v>
      </c>
      <c r="N433">
        <f>COUNTIF(order_data[Order_ID],order_data[[#This Row],[Order_ID]])</f>
        <v>1</v>
      </c>
      <c r="O433">
        <f>order_data[[#This Row],[Order_Value]]-order_data[[#This Row],[Discount]]</f>
        <v>185</v>
      </c>
      <c r="P433">
        <f>order_data[[#This Row],[Order_Value]]+order_data[[#This Row],[Delivery_Fee]]-order_data[[#This Row],[Discount]]</f>
        <v>215</v>
      </c>
      <c r="Q433" t="str">
        <f>TEXT(order_data[[#This Row],[Order_Date]],"mmm")</f>
        <v>Mar</v>
      </c>
      <c r="R433">
        <f>MONTH(order_data[[#This Row],[Order_Date]])</f>
        <v>3</v>
      </c>
    </row>
    <row r="434" spans="1:18" x14ac:dyDescent="0.35">
      <c r="A434" t="s">
        <v>894</v>
      </c>
      <c r="B434" t="s">
        <v>186</v>
      </c>
      <c r="C434" t="s">
        <v>895</v>
      </c>
      <c r="D434" t="s">
        <v>40</v>
      </c>
      <c r="E434" t="s">
        <v>67</v>
      </c>
      <c r="F434" t="s">
        <v>48</v>
      </c>
      <c r="G434" t="s">
        <v>107</v>
      </c>
      <c r="H434">
        <v>451</v>
      </c>
      <c r="I434">
        <v>50</v>
      </c>
      <c r="J434">
        <v>20</v>
      </c>
      <c r="K434" t="s">
        <v>36</v>
      </c>
      <c r="L434">
        <v>50</v>
      </c>
      <c r="M434" t="s">
        <v>21</v>
      </c>
      <c r="N434">
        <f>COUNTIF(order_data[Order_ID],order_data[[#This Row],[Order_ID]])</f>
        <v>1</v>
      </c>
      <c r="O434">
        <f>order_data[[#This Row],[Order_Value]]-order_data[[#This Row],[Discount]]</f>
        <v>431</v>
      </c>
      <c r="P434">
        <f>order_data[[#This Row],[Order_Value]]+order_data[[#This Row],[Delivery_Fee]]-order_data[[#This Row],[Discount]]</f>
        <v>481</v>
      </c>
      <c r="Q434" t="str">
        <f>TEXT(order_data[[#This Row],[Order_Date]],"mmm")</f>
        <v>Mar</v>
      </c>
      <c r="R434">
        <f>MONTH(order_data[[#This Row],[Order_Date]])</f>
        <v>3</v>
      </c>
    </row>
    <row r="435" spans="1:18" x14ac:dyDescent="0.35">
      <c r="A435" t="s">
        <v>896</v>
      </c>
      <c r="B435" t="s">
        <v>113</v>
      </c>
      <c r="C435" t="s">
        <v>897</v>
      </c>
      <c r="D435" t="s">
        <v>16</v>
      </c>
      <c r="E435" t="s">
        <v>89</v>
      </c>
      <c r="F435" t="s">
        <v>18</v>
      </c>
      <c r="G435" t="s">
        <v>107</v>
      </c>
      <c r="H435">
        <v>361</v>
      </c>
      <c r="I435">
        <v>40</v>
      </c>
      <c r="J435">
        <v>100</v>
      </c>
      <c r="K435" t="s">
        <v>36</v>
      </c>
      <c r="L435">
        <v>48</v>
      </c>
      <c r="M435" t="s">
        <v>21</v>
      </c>
      <c r="N435">
        <f>COUNTIF(order_data[Order_ID],order_data[[#This Row],[Order_ID]])</f>
        <v>1</v>
      </c>
      <c r="O435">
        <f>order_data[[#This Row],[Order_Value]]-order_data[[#This Row],[Discount]]</f>
        <v>261</v>
      </c>
      <c r="P435">
        <f>order_data[[#This Row],[Order_Value]]+order_data[[#This Row],[Delivery_Fee]]-order_data[[#This Row],[Discount]]</f>
        <v>301</v>
      </c>
      <c r="Q435" t="str">
        <f>TEXT(order_data[[#This Row],[Order_Date]],"mmm")</f>
        <v>Mar</v>
      </c>
      <c r="R435">
        <f>MONTH(order_data[[#This Row],[Order_Date]])</f>
        <v>3</v>
      </c>
    </row>
    <row r="436" spans="1:18" x14ac:dyDescent="0.35">
      <c r="A436" t="s">
        <v>898</v>
      </c>
      <c r="B436" t="s">
        <v>113</v>
      </c>
      <c r="C436" t="s">
        <v>899</v>
      </c>
      <c r="D436" t="s">
        <v>25</v>
      </c>
      <c r="E436" t="s">
        <v>34</v>
      </c>
      <c r="F436" t="s">
        <v>27</v>
      </c>
      <c r="G436" t="s">
        <v>35</v>
      </c>
      <c r="H436">
        <v>283</v>
      </c>
      <c r="I436">
        <v>20</v>
      </c>
      <c r="J436">
        <v>100</v>
      </c>
      <c r="K436" t="s">
        <v>36</v>
      </c>
      <c r="L436">
        <v>50</v>
      </c>
      <c r="M436" t="s">
        <v>21</v>
      </c>
      <c r="N436">
        <f>COUNTIF(order_data[Order_ID],order_data[[#This Row],[Order_ID]])</f>
        <v>1</v>
      </c>
      <c r="O436">
        <f>order_data[[#This Row],[Order_Value]]-order_data[[#This Row],[Discount]]</f>
        <v>183</v>
      </c>
      <c r="P436">
        <f>order_data[[#This Row],[Order_Value]]+order_data[[#This Row],[Delivery_Fee]]-order_data[[#This Row],[Discount]]</f>
        <v>203</v>
      </c>
      <c r="Q436" t="str">
        <f>TEXT(order_data[[#This Row],[Order_Date]],"mmm")</f>
        <v>Mar</v>
      </c>
      <c r="R436">
        <f>MONTH(order_data[[#This Row],[Order_Date]])</f>
        <v>3</v>
      </c>
    </row>
    <row r="437" spans="1:18" x14ac:dyDescent="0.35">
      <c r="A437" t="s">
        <v>900</v>
      </c>
      <c r="B437" t="s">
        <v>118</v>
      </c>
      <c r="C437" t="s">
        <v>437</v>
      </c>
      <c r="D437" t="s">
        <v>25</v>
      </c>
      <c r="E437" t="s">
        <v>78</v>
      </c>
      <c r="F437" t="s">
        <v>48</v>
      </c>
      <c r="G437" t="s">
        <v>59</v>
      </c>
      <c r="H437">
        <v>632</v>
      </c>
      <c r="I437">
        <v>50</v>
      </c>
      <c r="J437">
        <v>50</v>
      </c>
      <c r="K437" t="s">
        <v>20</v>
      </c>
      <c r="L437">
        <v>56</v>
      </c>
      <c r="M437" t="s">
        <v>21</v>
      </c>
      <c r="N437">
        <f>COUNTIF(order_data[Order_ID],order_data[[#This Row],[Order_ID]])</f>
        <v>1</v>
      </c>
      <c r="O437">
        <f>order_data[[#This Row],[Order_Value]]-order_data[[#This Row],[Discount]]</f>
        <v>582</v>
      </c>
      <c r="P437">
        <f>order_data[[#This Row],[Order_Value]]+order_data[[#This Row],[Delivery_Fee]]-order_data[[#This Row],[Discount]]</f>
        <v>632</v>
      </c>
      <c r="Q437" t="str">
        <f>TEXT(order_data[[#This Row],[Order_Date]],"mmm")</f>
        <v>Mar</v>
      </c>
      <c r="R437">
        <f>MONTH(order_data[[#This Row],[Order_Date]])</f>
        <v>3</v>
      </c>
    </row>
    <row r="438" spans="1:18" x14ac:dyDescent="0.35">
      <c r="A438" t="s">
        <v>901</v>
      </c>
      <c r="B438" t="s">
        <v>109</v>
      </c>
      <c r="C438" t="s">
        <v>902</v>
      </c>
      <c r="D438" t="s">
        <v>25</v>
      </c>
      <c r="E438" t="s">
        <v>34</v>
      </c>
      <c r="F438" t="s">
        <v>27</v>
      </c>
      <c r="G438" t="s">
        <v>74</v>
      </c>
      <c r="H438">
        <v>538</v>
      </c>
      <c r="I438">
        <v>50</v>
      </c>
      <c r="J438">
        <v>20</v>
      </c>
      <c r="K438" t="s">
        <v>36</v>
      </c>
      <c r="L438">
        <v>27</v>
      </c>
      <c r="M438" t="s">
        <v>21</v>
      </c>
      <c r="N438">
        <f>COUNTIF(order_data[Order_ID],order_data[[#This Row],[Order_ID]])</f>
        <v>1</v>
      </c>
      <c r="O438">
        <f>order_data[[#This Row],[Order_Value]]-order_data[[#This Row],[Discount]]</f>
        <v>518</v>
      </c>
      <c r="P438">
        <f>order_data[[#This Row],[Order_Value]]+order_data[[#This Row],[Delivery_Fee]]-order_data[[#This Row],[Discount]]</f>
        <v>568</v>
      </c>
      <c r="Q438" t="str">
        <f>TEXT(order_data[[#This Row],[Order_Date]],"mmm")</f>
        <v>Jan</v>
      </c>
      <c r="R438">
        <f>MONTH(order_data[[#This Row],[Order_Date]])</f>
        <v>1</v>
      </c>
    </row>
    <row r="439" spans="1:18" x14ac:dyDescent="0.35">
      <c r="A439" t="s">
        <v>903</v>
      </c>
      <c r="B439" t="s">
        <v>32</v>
      </c>
      <c r="C439" t="s">
        <v>527</v>
      </c>
      <c r="D439" t="s">
        <v>40</v>
      </c>
      <c r="E439" t="s">
        <v>67</v>
      </c>
      <c r="F439" t="s">
        <v>48</v>
      </c>
      <c r="G439" t="s">
        <v>59</v>
      </c>
      <c r="H439">
        <v>591</v>
      </c>
      <c r="I439">
        <v>40</v>
      </c>
      <c r="J439">
        <v>100</v>
      </c>
      <c r="K439" t="s">
        <v>20</v>
      </c>
      <c r="L439">
        <v>54</v>
      </c>
      <c r="M439" t="s">
        <v>21</v>
      </c>
      <c r="N439">
        <f>COUNTIF(order_data[Order_ID],order_data[[#This Row],[Order_ID]])</f>
        <v>1</v>
      </c>
      <c r="O439">
        <f>order_data[[#This Row],[Order_Value]]-order_data[[#This Row],[Discount]]</f>
        <v>491</v>
      </c>
      <c r="P439">
        <f>order_data[[#This Row],[Order_Value]]+order_data[[#This Row],[Delivery_Fee]]-order_data[[#This Row],[Discount]]</f>
        <v>531</v>
      </c>
      <c r="Q439" t="str">
        <f>TEXT(order_data[[#This Row],[Order_Date]],"mmm")</f>
        <v>Jan</v>
      </c>
      <c r="R439">
        <f>MONTH(order_data[[#This Row],[Order_Date]])</f>
        <v>1</v>
      </c>
    </row>
    <row r="440" spans="1:18" x14ac:dyDescent="0.35">
      <c r="A440" t="s">
        <v>904</v>
      </c>
      <c r="B440" t="s">
        <v>218</v>
      </c>
      <c r="C440" t="s">
        <v>905</v>
      </c>
      <c r="D440" t="s">
        <v>53</v>
      </c>
      <c r="E440" t="s">
        <v>54</v>
      </c>
      <c r="F440" t="s">
        <v>55</v>
      </c>
      <c r="G440" t="s">
        <v>35</v>
      </c>
      <c r="H440">
        <v>469</v>
      </c>
      <c r="I440">
        <v>40</v>
      </c>
      <c r="J440">
        <v>20</v>
      </c>
      <c r="K440" t="s">
        <v>36</v>
      </c>
      <c r="L440">
        <v>31</v>
      </c>
      <c r="M440" t="s">
        <v>21</v>
      </c>
      <c r="N440">
        <f>COUNTIF(order_data[Order_ID],order_data[[#This Row],[Order_ID]])</f>
        <v>1</v>
      </c>
      <c r="O440">
        <f>order_data[[#This Row],[Order_Value]]-order_data[[#This Row],[Discount]]</f>
        <v>449</v>
      </c>
      <c r="P440">
        <f>order_data[[#This Row],[Order_Value]]+order_data[[#This Row],[Delivery_Fee]]-order_data[[#This Row],[Discount]]</f>
        <v>489</v>
      </c>
      <c r="Q440" t="str">
        <f>TEXT(order_data[[#This Row],[Order_Date]],"mmm")</f>
        <v>Feb</v>
      </c>
      <c r="R440">
        <f>MONTH(order_data[[#This Row],[Order_Date]])</f>
        <v>2</v>
      </c>
    </row>
    <row r="441" spans="1:18" x14ac:dyDescent="0.35">
      <c r="A441" t="s">
        <v>906</v>
      </c>
      <c r="B441" t="s">
        <v>76</v>
      </c>
      <c r="C441" t="s">
        <v>907</v>
      </c>
      <c r="D441" t="s">
        <v>53</v>
      </c>
      <c r="E441" t="s">
        <v>152</v>
      </c>
      <c r="F441" t="s">
        <v>18</v>
      </c>
      <c r="G441" t="s">
        <v>28</v>
      </c>
      <c r="H441">
        <v>542</v>
      </c>
      <c r="I441">
        <v>40</v>
      </c>
      <c r="J441">
        <v>100</v>
      </c>
      <c r="K441" t="s">
        <v>29</v>
      </c>
      <c r="L441">
        <v>31</v>
      </c>
      <c r="M441" t="s">
        <v>21</v>
      </c>
      <c r="N441">
        <f>COUNTIF(order_data[Order_ID],order_data[[#This Row],[Order_ID]])</f>
        <v>1</v>
      </c>
      <c r="O441">
        <f>order_data[[#This Row],[Order_Value]]-order_data[[#This Row],[Discount]]</f>
        <v>442</v>
      </c>
      <c r="P441">
        <f>order_data[[#This Row],[Order_Value]]+order_data[[#This Row],[Delivery_Fee]]-order_data[[#This Row],[Discount]]</f>
        <v>482</v>
      </c>
      <c r="Q441" t="str">
        <f>TEXT(order_data[[#This Row],[Order_Date]],"mmm")</f>
        <v>Feb</v>
      </c>
      <c r="R441">
        <f>MONTH(order_data[[#This Row],[Order_Date]])</f>
        <v>2</v>
      </c>
    </row>
    <row r="442" spans="1:18" x14ac:dyDescent="0.35">
      <c r="A442" t="s">
        <v>908</v>
      </c>
      <c r="B442" t="s">
        <v>23</v>
      </c>
      <c r="C442" t="s">
        <v>909</v>
      </c>
      <c r="D442" t="s">
        <v>16</v>
      </c>
      <c r="E442" t="s">
        <v>89</v>
      </c>
      <c r="F442" t="s">
        <v>18</v>
      </c>
      <c r="G442" t="s">
        <v>63</v>
      </c>
      <c r="H442">
        <v>645</v>
      </c>
      <c r="I442">
        <v>30</v>
      </c>
      <c r="J442">
        <v>50</v>
      </c>
      <c r="K442" t="s">
        <v>29</v>
      </c>
      <c r="L442">
        <v>57</v>
      </c>
      <c r="M442" t="s">
        <v>21</v>
      </c>
      <c r="N442">
        <f>COUNTIF(order_data[Order_ID],order_data[[#This Row],[Order_ID]])</f>
        <v>1</v>
      </c>
      <c r="O442">
        <f>order_data[[#This Row],[Order_Value]]-order_data[[#This Row],[Discount]]</f>
        <v>595</v>
      </c>
      <c r="P442">
        <f>order_data[[#This Row],[Order_Value]]+order_data[[#This Row],[Delivery_Fee]]-order_data[[#This Row],[Discount]]</f>
        <v>625</v>
      </c>
      <c r="Q442" t="str">
        <f>TEXT(order_data[[#This Row],[Order_Date]],"mmm")</f>
        <v>Mar</v>
      </c>
      <c r="R442">
        <f>MONTH(order_data[[#This Row],[Order_Date]])</f>
        <v>3</v>
      </c>
    </row>
    <row r="443" spans="1:18" x14ac:dyDescent="0.35">
      <c r="A443" t="s">
        <v>910</v>
      </c>
      <c r="B443" t="s">
        <v>76</v>
      </c>
      <c r="C443" t="s">
        <v>911</v>
      </c>
      <c r="D443" t="s">
        <v>25</v>
      </c>
      <c r="E443" t="s">
        <v>34</v>
      </c>
      <c r="F443" t="s">
        <v>27</v>
      </c>
      <c r="G443" t="s">
        <v>19</v>
      </c>
      <c r="H443">
        <v>657</v>
      </c>
      <c r="I443">
        <v>20</v>
      </c>
      <c r="J443">
        <v>100</v>
      </c>
      <c r="K443" t="s">
        <v>29</v>
      </c>
      <c r="L443">
        <v>48</v>
      </c>
      <c r="M443" t="s">
        <v>21</v>
      </c>
      <c r="N443">
        <f>COUNTIF(order_data[Order_ID],order_data[[#This Row],[Order_ID]])</f>
        <v>1</v>
      </c>
      <c r="O443">
        <f>order_data[[#This Row],[Order_Value]]-order_data[[#This Row],[Discount]]</f>
        <v>557</v>
      </c>
      <c r="P443">
        <f>order_data[[#This Row],[Order_Value]]+order_data[[#This Row],[Delivery_Fee]]-order_data[[#This Row],[Discount]]</f>
        <v>577</v>
      </c>
      <c r="Q443" t="str">
        <f>TEXT(order_data[[#This Row],[Order_Date]],"mmm")</f>
        <v>Feb</v>
      </c>
      <c r="R443">
        <f>MONTH(order_data[[#This Row],[Order_Date]])</f>
        <v>2</v>
      </c>
    </row>
    <row r="444" spans="1:18" x14ac:dyDescent="0.35">
      <c r="A444" t="s">
        <v>912</v>
      </c>
      <c r="B444" t="s">
        <v>247</v>
      </c>
      <c r="C444" t="s">
        <v>810</v>
      </c>
      <c r="D444" t="s">
        <v>40</v>
      </c>
      <c r="E444" t="s">
        <v>111</v>
      </c>
      <c r="F444" t="s">
        <v>18</v>
      </c>
      <c r="G444" t="s">
        <v>74</v>
      </c>
      <c r="H444">
        <v>664</v>
      </c>
      <c r="I444">
        <v>50</v>
      </c>
      <c r="J444">
        <v>50</v>
      </c>
      <c r="K444" t="s">
        <v>29</v>
      </c>
      <c r="L444">
        <v>24</v>
      </c>
      <c r="M444" t="s">
        <v>30</v>
      </c>
      <c r="N444">
        <f>COUNTIF(order_data[Order_ID],order_data[[#This Row],[Order_ID]])</f>
        <v>1</v>
      </c>
      <c r="O444">
        <f>order_data[[#This Row],[Order_Value]]-order_data[[#This Row],[Discount]]</f>
        <v>614</v>
      </c>
      <c r="P444">
        <f>order_data[[#This Row],[Order_Value]]+order_data[[#This Row],[Delivery_Fee]]-order_data[[#This Row],[Discount]]</f>
        <v>664</v>
      </c>
      <c r="Q444" t="str">
        <f>TEXT(order_data[[#This Row],[Order_Date]],"mmm")</f>
        <v>Mar</v>
      </c>
      <c r="R444">
        <f>MONTH(order_data[[#This Row],[Order_Date]])</f>
        <v>3</v>
      </c>
    </row>
    <row r="445" spans="1:18" x14ac:dyDescent="0.35">
      <c r="A445" t="s">
        <v>913</v>
      </c>
      <c r="B445" t="s">
        <v>109</v>
      </c>
      <c r="C445" t="s">
        <v>914</v>
      </c>
      <c r="D445" t="s">
        <v>40</v>
      </c>
      <c r="E445" t="s">
        <v>111</v>
      </c>
      <c r="F445" t="s">
        <v>18</v>
      </c>
      <c r="G445" t="s">
        <v>19</v>
      </c>
      <c r="H445">
        <v>719</v>
      </c>
      <c r="I445">
        <v>30</v>
      </c>
      <c r="J445">
        <v>30</v>
      </c>
      <c r="K445" t="s">
        <v>20</v>
      </c>
      <c r="L445">
        <v>54</v>
      </c>
      <c r="M445" t="s">
        <v>21</v>
      </c>
      <c r="N445">
        <f>COUNTIF(order_data[Order_ID],order_data[[#This Row],[Order_ID]])</f>
        <v>1</v>
      </c>
      <c r="O445">
        <f>order_data[[#This Row],[Order_Value]]-order_data[[#This Row],[Discount]]</f>
        <v>689</v>
      </c>
      <c r="P445">
        <f>order_data[[#This Row],[Order_Value]]+order_data[[#This Row],[Delivery_Fee]]-order_data[[#This Row],[Discount]]</f>
        <v>719</v>
      </c>
      <c r="Q445" t="str">
        <f>TEXT(order_data[[#This Row],[Order_Date]],"mmm")</f>
        <v>Jan</v>
      </c>
      <c r="R445">
        <f>MONTH(order_data[[#This Row],[Order_Date]])</f>
        <v>1</v>
      </c>
    </row>
    <row r="446" spans="1:18" x14ac:dyDescent="0.35">
      <c r="A446" t="s">
        <v>915</v>
      </c>
      <c r="B446" t="s">
        <v>513</v>
      </c>
      <c r="C446" t="s">
        <v>916</v>
      </c>
      <c r="D446" t="s">
        <v>40</v>
      </c>
      <c r="E446" t="s">
        <v>111</v>
      </c>
      <c r="F446" t="s">
        <v>18</v>
      </c>
      <c r="G446" t="s">
        <v>176</v>
      </c>
      <c r="H446">
        <v>299</v>
      </c>
      <c r="I446">
        <v>50</v>
      </c>
      <c r="J446">
        <v>0</v>
      </c>
      <c r="K446" t="s">
        <v>20</v>
      </c>
      <c r="L446">
        <v>46</v>
      </c>
      <c r="M446" t="s">
        <v>21</v>
      </c>
      <c r="N446">
        <f>COUNTIF(order_data[Order_ID],order_data[[#This Row],[Order_ID]])</f>
        <v>1</v>
      </c>
      <c r="O446">
        <f>order_data[[#This Row],[Order_Value]]-order_data[[#This Row],[Discount]]</f>
        <v>299</v>
      </c>
      <c r="P446">
        <f>order_data[[#This Row],[Order_Value]]+order_data[[#This Row],[Delivery_Fee]]-order_data[[#This Row],[Discount]]</f>
        <v>349</v>
      </c>
      <c r="Q446" t="str">
        <f>TEXT(order_data[[#This Row],[Order_Date]],"mmm")</f>
        <v>Feb</v>
      </c>
      <c r="R446">
        <f>MONTH(order_data[[#This Row],[Order_Date]])</f>
        <v>2</v>
      </c>
    </row>
    <row r="447" spans="1:18" x14ac:dyDescent="0.35">
      <c r="A447" t="s">
        <v>917</v>
      </c>
      <c r="B447" t="s">
        <v>91</v>
      </c>
      <c r="C447" t="s">
        <v>918</v>
      </c>
      <c r="D447" t="s">
        <v>46</v>
      </c>
      <c r="E447" t="s">
        <v>47</v>
      </c>
      <c r="F447" t="s">
        <v>48</v>
      </c>
      <c r="G447" t="s">
        <v>59</v>
      </c>
      <c r="H447">
        <v>160</v>
      </c>
      <c r="I447">
        <v>30</v>
      </c>
      <c r="J447">
        <v>30</v>
      </c>
      <c r="K447" t="s">
        <v>20</v>
      </c>
      <c r="L447">
        <v>50</v>
      </c>
      <c r="M447" t="s">
        <v>21</v>
      </c>
      <c r="N447">
        <f>COUNTIF(order_data[Order_ID],order_data[[#This Row],[Order_ID]])</f>
        <v>1</v>
      </c>
      <c r="O447">
        <f>order_data[[#This Row],[Order_Value]]-order_data[[#This Row],[Discount]]</f>
        <v>130</v>
      </c>
      <c r="P447">
        <f>order_data[[#This Row],[Order_Value]]+order_data[[#This Row],[Delivery_Fee]]-order_data[[#This Row],[Discount]]</f>
        <v>160</v>
      </c>
      <c r="Q447" t="str">
        <f>TEXT(order_data[[#This Row],[Order_Date]],"mmm")</f>
        <v>Mar</v>
      </c>
      <c r="R447">
        <f>MONTH(order_data[[#This Row],[Order_Date]])</f>
        <v>3</v>
      </c>
    </row>
    <row r="448" spans="1:18" x14ac:dyDescent="0.35">
      <c r="A448" t="s">
        <v>919</v>
      </c>
      <c r="B448" t="s">
        <v>99</v>
      </c>
      <c r="C448" t="s">
        <v>623</v>
      </c>
      <c r="D448" t="s">
        <v>16</v>
      </c>
      <c r="E448" t="s">
        <v>131</v>
      </c>
      <c r="F448" t="s">
        <v>55</v>
      </c>
      <c r="G448" t="s">
        <v>176</v>
      </c>
      <c r="H448">
        <v>192</v>
      </c>
      <c r="I448">
        <v>50</v>
      </c>
      <c r="J448">
        <v>20</v>
      </c>
      <c r="K448" t="s">
        <v>20</v>
      </c>
      <c r="L448">
        <v>28</v>
      </c>
      <c r="M448" t="s">
        <v>21</v>
      </c>
      <c r="N448">
        <f>COUNTIF(order_data[Order_ID],order_data[[#This Row],[Order_ID]])</f>
        <v>1</v>
      </c>
      <c r="O448">
        <f>order_data[[#This Row],[Order_Value]]-order_data[[#This Row],[Discount]]</f>
        <v>172</v>
      </c>
      <c r="P448">
        <f>order_data[[#This Row],[Order_Value]]+order_data[[#This Row],[Delivery_Fee]]-order_data[[#This Row],[Discount]]</f>
        <v>222</v>
      </c>
      <c r="Q448" t="str">
        <f>TEXT(order_data[[#This Row],[Order_Date]],"mmm")</f>
        <v>Mar</v>
      </c>
      <c r="R448">
        <f>MONTH(order_data[[#This Row],[Order_Date]])</f>
        <v>3</v>
      </c>
    </row>
    <row r="449" spans="1:18" x14ac:dyDescent="0.35">
      <c r="A449" t="s">
        <v>920</v>
      </c>
      <c r="B449" t="s">
        <v>51</v>
      </c>
      <c r="C449" t="s">
        <v>629</v>
      </c>
      <c r="D449" t="s">
        <v>53</v>
      </c>
      <c r="E449" t="s">
        <v>84</v>
      </c>
      <c r="F449" t="s">
        <v>85</v>
      </c>
      <c r="G449" t="s">
        <v>28</v>
      </c>
      <c r="H449">
        <v>697</v>
      </c>
      <c r="I449">
        <v>20</v>
      </c>
      <c r="J449">
        <v>30</v>
      </c>
      <c r="K449" t="s">
        <v>36</v>
      </c>
      <c r="L449">
        <v>25</v>
      </c>
      <c r="M449" t="s">
        <v>21</v>
      </c>
      <c r="N449">
        <f>COUNTIF(order_data[Order_ID],order_data[[#This Row],[Order_ID]])</f>
        <v>1</v>
      </c>
      <c r="O449">
        <f>order_data[[#This Row],[Order_Value]]-order_data[[#This Row],[Discount]]</f>
        <v>667</v>
      </c>
      <c r="P449">
        <f>order_data[[#This Row],[Order_Value]]+order_data[[#This Row],[Delivery_Fee]]-order_data[[#This Row],[Discount]]</f>
        <v>687</v>
      </c>
      <c r="Q449" t="str">
        <f>TEXT(order_data[[#This Row],[Order_Date]],"mmm")</f>
        <v>Feb</v>
      </c>
      <c r="R449">
        <f>MONTH(order_data[[#This Row],[Order_Date]])</f>
        <v>2</v>
      </c>
    </row>
    <row r="450" spans="1:18" x14ac:dyDescent="0.35">
      <c r="A450" t="s">
        <v>921</v>
      </c>
      <c r="B450" t="s">
        <v>72</v>
      </c>
      <c r="C450" t="s">
        <v>922</v>
      </c>
      <c r="D450" t="s">
        <v>53</v>
      </c>
      <c r="E450" t="s">
        <v>84</v>
      </c>
      <c r="F450" t="s">
        <v>85</v>
      </c>
      <c r="G450" t="s">
        <v>74</v>
      </c>
      <c r="H450">
        <v>315</v>
      </c>
      <c r="I450">
        <v>50</v>
      </c>
      <c r="J450">
        <v>50</v>
      </c>
      <c r="K450" t="s">
        <v>29</v>
      </c>
      <c r="L450">
        <v>55</v>
      </c>
      <c r="M450" t="s">
        <v>21</v>
      </c>
      <c r="N450">
        <f>COUNTIF(order_data[Order_ID],order_data[[#This Row],[Order_ID]])</f>
        <v>1</v>
      </c>
      <c r="O450">
        <f>order_data[[#This Row],[Order_Value]]-order_data[[#This Row],[Discount]]</f>
        <v>265</v>
      </c>
      <c r="P450">
        <f>order_data[[#This Row],[Order_Value]]+order_data[[#This Row],[Delivery_Fee]]-order_data[[#This Row],[Discount]]</f>
        <v>315</v>
      </c>
      <c r="Q450" t="str">
        <f>TEXT(order_data[[#This Row],[Order_Date]],"mmm")</f>
        <v>Jan</v>
      </c>
      <c r="R450">
        <f>MONTH(order_data[[#This Row],[Order_Date]])</f>
        <v>1</v>
      </c>
    </row>
    <row r="451" spans="1:18" x14ac:dyDescent="0.35">
      <c r="A451" t="s">
        <v>923</v>
      </c>
      <c r="B451" t="s">
        <v>473</v>
      </c>
      <c r="C451" t="s">
        <v>924</v>
      </c>
      <c r="D451" t="s">
        <v>16</v>
      </c>
      <c r="E451" t="s">
        <v>17</v>
      </c>
      <c r="F451" t="s">
        <v>18</v>
      </c>
      <c r="G451" t="s">
        <v>49</v>
      </c>
      <c r="H451">
        <v>325</v>
      </c>
      <c r="I451">
        <v>40</v>
      </c>
      <c r="J451">
        <v>50</v>
      </c>
      <c r="K451" t="s">
        <v>29</v>
      </c>
      <c r="L451">
        <v>30</v>
      </c>
      <c r="M451" t="s">
        <v>21</v>
      </c>
      <c r="N451">
        <f>COUNTIF(order_data[Order_ID],order_data[[#This Row],[Order_ID]])</f>
        <v>1</v>
      </c>
      <c r="O451">
        <f>order_data[[#This Row],[Order_Value]]-order_data[[#This Row],[Discount]]</f>
        <v>275</v>
      </c>
      <c r="P451">
        <f>order_data[[#This Row],[Order_Value]]+order_data[[#This Row],[Delivery_Fee]]-order_data[[#This Row],[Discount]]</f>
        <v>315</v>
      </c>
      <c r="Q451" t="str">
        <f>TEXT(order_data[[#This Row],[Order_Date]],"mmm")</f>
        <v>Mar</v>
      </c>
      <c r="R451">
        <f>MONTH(order_data[[#This Row],[Order_Date]])</f>
        <v>3</v>
      </c>
    </row>
    <row r="452" spans="1:18" x14ac:dyDescent="0.35">
      <c r="A452" t="s">
        <v>925</v>
      </c>
      <c r="B452" t="s">
        <v>247</v>
      </c>
      <c r="C452" t="s">
        <v>926</v>
      </c>
      <c r="D452" t="s">
        <v>25</v>
      </c>
      <c r="E452" t="s">
        <v>26</v>
      </c>
      <c r="F452" t="s">
        <v>27</v>
      </c>
      <c r="G452" t="s">
        <v>49</v>
      </c>
      <c r="H452">
        <v>545</v>
      </c>
      <c r="I452">
        <v>50</v>
      </c>
      <c r="J452">
        <v>50</v>
      </c>
      <c r="K452" t="s">
        <v>36</v>
      </c>
      <c r="L452">
        <v>35</v>
      </c>
      <c r="M452" t="s">
        <v>21</v>
      </c>
      <c r="N452">
        <f>COUNTIF(order_data[Order_ID],order_data[[#This Row],[Order_ID]])</f>
        <v>1</v>
      </c>
      <c r="O452">
        <f>order_data[[#This Row],[Order_Value]]-order_data[[#This Row],[Discount]]</f>
        <v>495</v>
      </c>
      <c r="P452">
        <f>order_data[[#This Row],[Order_Value]]+order_data[[#This Row],[Delivery_Fee]]-order_data[[#This Row],[Discount]]</f>
        <v>545</v>
      </c>
      <c r="Q452" t="str">
        <f>TEXT(order_data[[#This Row],[Order_Date]],"mmm")</f>
        <v>Mar</v>
      </c>
      <c r="R452">
        <f>MONTH(order_data[[#This Row],[Order_Date]])</f>
        <v>3</v>
      </c>
    </row>
    <row r="453" spans="1:18" x14ac:dyDescent="0.35">
      <c r="A453" t="s">
        <v>927</v>
      </c>
      <c r="B453" t="s">
        <v>393</v>
      </c>
      <c r="C453" t="s">
        <v>928</v>
      </c>
      <c r="D453" t="s">
        <v>25</v>
      </c>
      <c r="E453" t="s">
        <v>26</v>
      </c>
      <c r="F453" t="s">
        <v>27</v>
      </c>
      <c r="G453" t="s">
        <v>107</v>
      </c>
      <c r="H453">
        <v>709</v>
      </c>
      <c r="I453">
        <v>20</v>
      </c>
      <c r="J453">
        <v>100</v>
      </c>
      <c r="K453" t="s">
        <v>29</v>
      </c>
      <c r="L453">
        <v>39</v>
      </c>
      <c r="M453" t="s">
        <v>21</v>
      </c>
      <c r="N453">
        <f>COUNTIF(order_data[Order_ID],order_data[[#This Row],[Order_ID]])</f>
        <v>1</v>
      </c>
      <c r="O453">
        <f>order_data[[#This Row],[Order_Value]]-order_data[[#This Row],[Discount]]</f>
        <v>609</v>
      </c>
      <c r="P453">
        <f>order_data[[#This Row],[Order_Value]]+order_data[[#This Row],[Delivery_Fee]]-order_data[[#This Row],[Discount]]</f>
        <v>629</v>
      </c>
      <c r="Q453" t="str">
        <f>TEXT(order_data[[#This Row],[Order_Date]],"mmm")</f>
        <v>Feb</v>
      </c>
      <c r="R453">
        <f>MONTH(order_data[[#This Row],[Order_Date]])</f>
        <v>2</v>
      </c>
    </row>
    <row r="454" spans="1:18" x14ac:dyDescent="0.35">
      <c r="A454" t="s">
        <v>929</v>
      </c>
      <c r="B454" t="s">
        <v>99</v>
      </c>
      <c r="C454" t="s">
        <v>930</v>
      </c>
      <c r="D454" t="s">
        <v>40</v>
      </c>
      <c r="E454" t="s">
        <v>41</v>
      </c>
      <c r="F454" t="s">
        <v>27</v>
      </c>
      <c r="G454" t="s">
        <v>19</v>
      </c>
      <c r="H454">
        <v>558</v>
      </c>
      <c r="I454">
        <v>20</v>
      </c>
      <c r="J454">
        <v>20</v>
      </c>
      <c r="K454" t="s">
        <v>36</v>
      </c>
      <c r="L454">
        <v>43</v>
      </c>
      <c r="M454" t="s">
        <v>21</v>
      </c>
      <c r="N454">
        <f>COUNTIF(order_data[Order_ID],order_data[[#This Row],[Order_ID]])</f>
        <v>1</v>
      </c>
      <c r="O454">
        <f>order_data[[#This Row],[Order_Value]]-order_data[[#This Row],[Discount]]</f>
        <v>538</v>
      </c>
      <c r="P454">
        <f>order_data[[#This Row],[Order_Value]]+order_data[[#This Row],[Delivery_Fee]]-order_data[[#This Row],[Discount]]</f>
        <v>558</v>
      </c>
      <c r="Q454" t="str">
        <f>TEXT(order_data[[#This Row],[Order_Date]],"mmm")</f>
        <v>Mar</v>
      </c>
      <c r="R454">
        <f>MONTH(order_data[[#This Row],[Order_Date]])</f>
        <v>3</v>
      </c>
    </row>
    <row r="455" spans="1:18" x14ac:dyDescent="0.35">
      <c r="A455" t="s">
        <v>931</v>
      </c>
      <c r="B455" t="s">
        <v>23</v>
      </c>
      <c r="C455" t="s">
        <v>363</v>
      </c>
      <c r="D455" t="s">
        <v>40</v>
      </c>
      <c r="E455" t="s">
        <v>111</v>
      </c>
      <c r="F455" t="s">
        <v>18</v>
      </c>
      <c r="G455" t="s">
        <v>74</v>
      </c>
      <c r="H455">
        <v>312</v>
      </c>
      <c r="I455">
        <v>20</v>
      </c>
      <c r="J455">
        <v>20</v>
      </c>
      <c r="K455" t="s">
        <v>36</v>
      </c>
      <c r="L455">
        <v>34</v>
      </c>
      <c r="M455" t="s">
        <v>21</v>
      </c>
      <c r="N455">
        <f>COUNTIF(order_data[Order_ID],order_data[[#This Row],[Order_ID]])</f>
        <v>1</v>
      </c>
      <c r="O455">
        <f>order_data[[#This Row],[Order_Value]]-order_data[[#This Row],[Discount]]</f>
        <v>292</v>
      </c>
      <c r="P455">
        <f>order_data[[#This Row],[Order_Value]]+order_data[[#This Row],[Delivery_Fee]]-order_data[[#This Row],[Discount]]</f>
        <v>312</v>
      </c>
      <c r="Q455" t="str">
        <f>TEXT(order_data[[#This Row],[Order_Date]],"mmm")</f>
        <v>Mar</v>
      </c>
      <c r="R455">
        <f>MONTH(order_data[[#This Row],[Order_Date]])</f>
        <v>3</v>
      </c>
    </row>
    <row r="456" spans="1:18" x14ac:dyDescent="0.35">
      <c r="A456" t="s">
        <v>932</v>
      </c>
      <c r="B456" t="s">
        <v>541</v>
      </c>
      <c r="C456" t="s">
        <v>926</v>
      </c>
      <c r="D456" t="s">
        <v>53</v>
      </c>
      <c r="E456" t="s">
        <v>54</v>
      </c>
      <c r="F456" t="s">
        <v>55</v>
      </c>
      <c r="G456" t="s">
        <v>176</v>
      </c>
      <c r="H456">
        <v>336</v>
      </c>
      <c r="I456">
        <v>20</v>
      </c>
      <c r="J456">
        <v>50</v>
      </c>
      <c r="K456" t="s">
        <v>36</v>
      </c>
      <c r="L456">
        <v>31</v>
      </c>
      <c r="M456" t="s">
        <v>21</v>
      </c>
      <c r="N456">
        <f>COUNTIF(order_data[Order_ID],order_data[[#This Row],[Order_ID]])</f>
        <v>1</v>
      </c>
      <c r="O456">
        <f>order_data[[#This Row],[Order_Value]]-order_data[[#This Row],[Discount]]</f>
        <v>286</v>
      </c>
      <c r="P456">
        <f>order_data[[#This Row],[Order_Value]]+order_data[[#This Row],[Delivery_Fee]]-order_data[[#This Row],[Discount]]</f>
        <v>306</v>
      </c>
      <c r="Q456" t="str">
        <f>TEXT(order_data[[#This Row],[Order_Date]],"mmm")</f>
        <v>Jan</v>
      </c>
      <c r="R456">
        <f>MONTH(order_data[[#This Row],[Order_Date]])</f>
        <v>1</v>
      </c>
    </row>
    <row r="457" spans="1:18" x14ac:dyDescent="0.35">
      <c r="A457" t="s">
        <v>933</v>
      </c>
      <c r="B457" t="s">
        <v>379</v>
      </c>
      <c r="C457" t="s">
        <v>934</v>
      </c>
      <c r="D457" t="s">
        <v>16</v>
      </c>
      <c r="E457" t="s">
        <v>131</v>
      </c>
      <c r="F457" t="s">
        <v>55</v>
      </c>
      <c r="G457" t="s">
        <v>35</v>
      </c>
      <c r="H457">
        <v>353</v>
      </c>
      <c r="I457">
        <v>50</v>
      </c>
      <c r="J457">
        <v>50</v>
      </c>
      <c r="K457" t="s">
        <v>20</v>
      </c>
      <c r="L457">
        <v>42</v>
      </c>
      <c r="M457" t="s">
        <v>21</v>
      </c>
      <c r="N457">
        <f>COUNTIF(order_data[Order_ID],order_data[[#This Row],[Order_ID]])</f>
        <v>1</v>
      </c>
      <c r="O457">
        <f>order_data[[#This Row],[Order_Value]]-order_data[[#This Row],[Discount]]</f>
        <v>303</v>
      </c>
      <c r="P457">
        <f>order_data[[#This Row],[Order_Value]]+order_data[[#This Row],[Delivery_Fee]]-order_data[[#This Row],[Discount]]</f>
        <v>353</v>
      </c>
      <c r="Q457" t="str">
        <f>TEXT(order_data[[#This Row],[Order_Date]],"mmm")</f>
        <v>Mar</v>
      </c>
      <c r="R457">
        <f>MONTH(order_data[[#This Row],[Order_Date]])</f>
        <v>3</v>
      </c>
    </row>
    <row r="458" spans="1:18" x14ac:dyDescent="0.35">
      <c r="A458" t="s">
        <v>935</v>
      </c>
      <c r="B458" t="s">
        <v>568</v>
      </c>
      <c r="C458" t="s">
        <v>860</v>
      </c>
      <c r="D458" t="s">
        <v>25</v>
      </c>
      <c r="E458" t="s">
        <v>26</v>
      </c>
      <c r="F458" t="s">
        <v>27</v>
      </c>
      <c r="G458" t="s">
        <v>28</v>
      </c>
      <c r="H458">
        <v>392</v>
      </c>
      <c r="I458">
        <v>40</v>
      </c>
      <c r="J458">
        <v>100</v>
      </c>
      <c r="K458" t="s">
        <v>36</v>
      </c>
      <c r="L458">
        <v>32</v>
      </c>
      <c r="M458" t="s">
        <v>21</v>
      </c>
      <c r="N458">
        <f>COUNTIF(order_data[Order_ID],order_data[[#This Row],[Order_ID]])</f>
        <v>1</v>
      </c>
      <c r="O458">
        <f>order_data[[#This Row],[Order_Value]]-order_data[[#This Row],[Discount]]</f>
        <v>292</v>
      </c>
      <c r="P458">
        <f>order_data[[#This Row],[Order_Value]]+order_data[[#This Row],[Delivery_Fee]]-order_data[[#This Row],[Discount]]</f>
        <v>332</v>
      </c>
      <c r="Q458" t="str">
        <f>TEXT(order_data[[#This Row],[Order_Date]],"mmm")</f>
        <v>Mar</v>
      </c>
      <c r="R458">
        <f>MONTH(order_data[[#This Row],[Order_Date]])</f>
        <v>3</v>
      </c>
    </row>
    <row r="459" spans="1:18" x14ac:dyDescent="0.35">
      <c r="A459" t="s">
        <v>936</v>
      </c>
      <c r="B459" t="s">
        <v>87</v>
      </c>
      <c r="C459" t="s">
        <v>937</v>
      </c>
      <c r="D459" t="s">
        <v>40</v>
      </c>
      <c r="E459" t="s">
        <v>41</v>
      </c>
      <c r="F459" t="s">
        <v>27</v>
      </c>
      <c r="G459" t="s">
        <v>59</v>
      </c>
      <c r="H459">
        <v>416</v>
      </c>
      <c r="I459">
        <v>30</v>
      </c>
      <c r="J459">
        <v>100</v>
      </c>
      <c r="K459" t="s">
        <v>20</v>
      </c>
      <c r="L459">
        <v>42</v>
      </c>
      <c r="M459" t="s">
        <v>21</v>
      </c>
      <c r="N459">
        <f>COUNTIF(order_data[Order_ID],order_data[[#This Row],[Order_ID]])</f>
        <v>1</v>
      </c>
      <c r="O459">
        <f>order_data[[#This Row],[Order_Value]]-order_data[[#This Row],[Discount]]</f>
        <v>316</v>
      </c>
      <c r="P459">
        <f>order_data[[#This Row],[Order_Value]]+order_data[[#This Row],[Delivery_Fee]]-order_data[[#This Row],[Discount]]</f>
        <v>346</v>
      </c>
      <c r="Q459" t="str">
        <f>TEXT(order_data[[#This Row],[Order_Date]],"mmm")</f>
        <v>Jan</v>
      </c>
      <c r="R459">
        <f>MONTH(order_data[[#This Row],[Order_Date]])</f>
        <v>1</v>
      </c>
    </row>
    <row r="460" spans="1:18" x14ac:dyDescent="0.35">
      <c r="A460" t="s">
        <v>938</v>
      </c>
      <c r="B460" t="s">
        <v>241</v>
      </c>
      <c r="C460" t="s">
        <v>471</v>
      </c>
      <c r="D460" t="s">
        <v>46</v>
      </c>
      <c r="E460" t="s">
        <v>70</v>
      </c>
      <c r="F460" t="s">
        <v>18</v>
      </c>
      <c r="G460" t="s">
        <v>49</v>
      </c>
      <c r="H460">
        <v>293</v>
      </c>
      <c r="I460">
        <v>50</v>
      </c>
      <c r="J460">
        <v>50</v>
      </c>
      <c r="K460" t="s">
        <v>20</v>
      </c>
      <c r="L460">
        <v>59</v>
      </c>
      <c r="M460" t="s">
        <v>21</v>
      </c>
      <c r="N460">
        <f>COUNTIF(order_data[Order_ID],order_data[[#This Row],[Order_ID]])</f>
        <v>1</v>
      </c>
      <c r="O460">
        <f>order_data[[#This Row],[Order_Value]]-order_data[[#This Row],[Discount]]</f>
        <v>243</v>
      </c>
      <c r="P460">
        <f>order_data[[#This Row],[Order_Value]]+order_data[[#This Row],[Delivery_Fee]]-order_data[[#This Row],[Discount]]</f>
        <v>293</v>
      </c>
      <c r="Q460" t="str">
        <f>TEXT(order_data[[#This Row],[Order_Date]],"mmm")</f>
        <v>Mar</v>
      </c>
      <c r="R460">
        <f>MONTH(order_data[[#This Row],[Order_Date]])</f>
        <v>3</v>
      </c>
    </row>
    <row r="461" spans="1:18" x14ac:dyDescent="0.35">
      <c r="A461" t="s">
        <v>939</v>
      </c>
      <c r="B461" t="s">
        <v>192</v>
      </c>
      <c r="C461" t="s">
        <v>940</v>
      </c>
      <c r="D461" t="s">
        <v>53</v>
      </c>
      <c r="E461" t="s">
        <v>84</v>
      </c>
      <c r="F461" t="s">
        <v>85</v>
      </c>
      <c r="G461" t="s">
        <v>63</v>
      </c>
      <c r="H461">
        <v>306</v>
      </c>
      <c r="I461">
        <v>20</v>
      </c>
      <c r="J461">
        <v>50</v>
      </c>
      <c r="K461" t="s">
        <v>20</v>
      </c>
      <c r="L461">
        <v>51</v>
      </c>
      <c r="M461" t="s">
        <v>21</v>
      </c>
      <c r="N461">
        <f>COUNTIF(order_data[Order_ID],order_data[[#This Row],[Order_ID]])</f>
        <v>1</v>
      </c>
      <c r="O461">
        <f>order_data[[#This Row],[Order_Value]]-order_data[[#This Row],[Discount]]</f>
        <v>256</v>
      </c>
      <c r="P461">
        <f>order_data[[#This Row],[Order_Value]]+order_data[[#This Row],[Delivery_Fee]]-order_data[[#This Row],[Discount]]</f>
        <v>276</v>
      </c>
      <c r="Q461" t="str">
        <f>TEXT(order_data[[#This Row],[Order_Date]],"mmm")</f>
        <v>Mar</v>
      </c>
      <c r="R461">
        <f>MONTH(order_data[[#This Row],[Order_Date]])</f>
        <v>3</v>
      </c>
    </row>
    <row r="462" spans="1:18" x14ac:dyDescent="0.35">
      <c r="A462" t="s">
        <v>941</v>
      </c>
      <c r="B462" t="s">
        <v>136</v>
      </c>
      <c r="C462" t="s">
        <v>942</v>
      </c>
      <c r="D462" t="s">
        <v>53</v>
      </c>
      <c r="E462" t="s">
        <v>84</v>
      </c>
      <c r="F462" t="s">
        <v>85</v>
      </c>
      <c r="G462" t="s">
        <v>28</v>
      </c>
      <c r="H462">
        <v>195</v>
      </c>
      <c r="I462">
        <v>30</v>
      </c>
      <c r="J462">
        <v>30</v>
      </c>
      <c r="K462" t="s">
        <v>29</v>
      </c>
      <c r="L462">
        <v>52</v>
      </c>
      <c r="M462" t="s">
        <v>21</v>
      </c>
      <c r="N462">
        <f>COUNTIF(order_data[Order_ID],order_data[[#This Row],[Order_ID]])</f>
        <v>1</v>
      </c>
      <c r="O462">
        <f>order_data[[#This Row],[Order_Value]]-order_data[[#This Row],[Discount]]</f>
        <v>165</v>
      </c>
      <c r="P462">
        <f>order_data[[#This Row],[Order_Value]]+order_data[[#This Row],[Delivery_Fee]]-order_data[[#This Row],[Discount]]</f>
        <v>195</v>
      </c>
      <c r="Q462" t="str">
        <f>TEXT(order_data[[#This Row],[Order_Date]],"mmm")</f>
        <v>Feb</v>
      </c>
      <c r="R462">
        <f>MONTH(order_data[[#This Row],[Order_Date]])</f>
        <v>2</v>
      </c>
    </row>
    <row r="463" spans="1:18" x14ac:dyDescent="0.35">
      <c r="A463" t="s">
        <v>943</v>
      </c>
      <c r="B463" t="s">
        <v>57</v>
      </c>
      <c r="C463" t="s">
        <v>944</v>
      </c>
      <c r="D463" t="s">
        <v>53</v>
      </c>
      <c r="E463" t="s">
        <v>84</v>
      </c>
      <c r="F463" t="s">
        <v>85</v>
      </c>
      <c r="G463" t="s">
        <v>63</v>
      </c>
      <c r="H463">
        <v>286</v>
      </c>
      <c r="I463">
        <v>50</v>
      </c>
      <c r="J463">
        <v>0</v>
      </c>
      <c r="K463" t="s">
        <v>29</v>
      </c>
      <c r="L463">
        <v>29</v>
      </c>
      <c r="M463" t="s">
        <v>30</v>
      </c>
      <c r="N463">
        <f>COUNTIF(order_data[Order_ID],order_data[[#This Row],[Order_ID]])</f>
        <v>1</v>
      </c>
      <c r="O463">
        <f>order_data[[#This Row],[Order_Value]]-order_data[[#This Row],[Discount]]</f>
        <v>286</v>
      </c>
      <c r="P463">
        <f>order_data[[#This Row],[Order_Value]]+order_data[[#This Row],[Delivery_Fee]]-order_data[[#This Row],[Discount]]</f>
        <v>336</v>
      </c>
      <c r="Q463" t="str">
        <f>TEXT(order_data[[#This Row],[Order_Date]],"mmm")</f>
        <v>Jan</v>
      </c>
      <c r="R463">
        <f>MONTH(order_data[[#This Row],[Order_Date]])</f>
        <v>1</v>
      </c>
    </row>
    <row r="464" spans="1:18" x14ac:dyDescent="0.35">
      <c r="A464" t="s">
        <v>945</v>
      </c>
      <c r="B464" t="s">
        <v>244</v>
      </c>
      <c r="C464" t="s">
        <v>371</v>
      </c>
      <c r="D464" t="s">
        <v>46</v>
      </c>
      <c r="E464" t="s">
        <v>70</v>
      </c>
      <c r="F464" t="s">
        <v>18</v>
      </c>
      <c r="G464" t="s">
        <v>59</v>
      </c>
      <c r="H464">
        <v>278</v>
      </c>
      <c r="I464">
        <v>50</v>
      </c>
      <c r="J464">
        <v>50</v>
      </c>
      <c r="K464" t="s">
        <v>36</v>
      </c>
      <c r="L464">
        <v>45</v>
      </c>
      <c r="M464" t="s">
        <v>30</v>
      </c>
      <c r="N464">
        <f>COUNTIF(order_data[Order_ID],order_data[[#This Row],[Order_ID]])</f>
        <v>1</v>
      </c>
      <c r="O464">
        <f>order_data[[#This Row],[Order_Value]]-order_data[[#This Row],[Discount]]</f>
        <v>228</v>
      </c>
      <c r="P464">
        <f>order_data[[#This Row],[Order_Value]]+order_data[[#This Row],[Delivery_Fee]]-order_data[[#This Row],[Discount]]</f>
        <v>278</v>
      </c>
      <c r="Q464" t="str">
        <f>TEXT(order_data[[#This Row],[Order_Date]],"mmm")</f>
        <v>Feb</v>
      </c>
      <c r="R464">
        <f>MONTH(order_data[[#This Row],[Order_Date]])</f>
        <v>2</v>
      </c>
    </row>
    <row r="465" spans="1:18" x14ac:dyDescent="0.35">
      <c r="A465" t="s">
        <v>946</v>
      </c>
      <c r="B465" t="s">
        <v>143</v>
      </c>
      <c r="C465" t="s">
        <v>899</v>
      </c>
      <c r="D465" t="s">
        <v>46</v>
      </c>
      <c r="E465" t="s">
        <v>70</v>
      </c>
      <c r="F465" t="s">
        <v>18</v>
      </c>
      <c r="G465" t="s">
        <v>35</v>
      </c>
      <c r="H465">
        <v>521</v>
      </c>
      <c r="I465">
        <v>40</v>
      </c>
      <c r="J465">
        <v>30</v>
      </c>
      <c r="K465" t="s">
        <v>36</v>
      </c>
      <c r="L465">
        <v>31</v>
      </c>
      <c r="M465" t="s">
        <v>30</v>
      </c>
      <c r="N465">
        <f>COUNTIF(order_data[Order_ID],order_data[[#This Row],[Order_ID]])</f>
        <v>1</v>
      </c>
      <c r="O465">
        <f>order_data[[#This Row],[Order_Value]]-order_data[[#This Row],[Discount]]</f>
        <v>491</v>
      </c>
      <c r="P465">
        <f>order_data[[#This Row],[Order_Value]]+order_data[[#This Row],[Delivery_Fee]]-order_data[[#This Row],[Discount]]</f>
        <v>531</v>
      </c>
      <c r="Q465" t="str">
        <f>TEXT(order_data[[#This Row],[Order_Date]],"mmm")</f>
        <v>Feb</v>
      </c>
      <c r="R465">
        <f>MONTH(order_data[[#This Row],[Order_Date]])</f>
        <v>2</v>
      </c>
    </row>
    <row r="466" spans="1:18" x14ac:dyDescent="0.35">
      <c r="A466" t="s">
        <v>947</v>
      </c>
      <c r="B466" t="s">
        <v>297</v>
      </c>
      <c r="C466" t="s">
        <v>948</v>
      </c>
      <c r="D466" t="s">
        <v>53</v>
      </c>
      <c r="E466" t="s">
        <v>84</v>
      </c>
      <c r="F466" t="s">
        <v>85</v>
      </c>
      <c r="G466" t="s">
        <v>107</v>
      </c>
      <c r="H466">
        <v>573</v>
      </c>
      <c r="I466">
        <v>50</v>
      </c>
      <c r="J466">
        <v>30</v>
      </c>
      <c r="K466" t="s">
        <v>36</v>
      </c>
      <c r="L466">
        <v>27</v>
      </c>
      <c r="M466" t="s">
        <v>21</v>
      </c>
      <c r="N466">
        <f>COUNTIF(order_data[Order_ID],order_data[[#This Row],[Order_ID]])</f>
        <v>1</v>
      </c>
      <c r="O466">
        <f>order_data[[#This Row],[Order_Value]]-order_data[[#This Row],[Discount]]</f>
        <v>543</v>
      </c>
      <c r="P466">
        <f>order_data[[#This Row],[Order_Value]]+order_data[[#This Row],[Delivery_Fee]]-order_data[[#This Row],[Discount]]</f>
        <v>593</v>
      </c>
      <c r="Q466" t="str">
        <f>TEXT(order_data[[#This Row],[Order_Date]],"mmm")</f>
        <v>Feb</v>
      </c>
      <c r="R466">
        <f>MONTH(order_data[[#This Row],[Order_Date]])</f>
        <v>2</v>
      </c>
    </row>
    <row r="467" spans="1:18" x14ac:dyDescent="0.35">
      <c r="A467" t="s">
        <v>949</v>
      </c>
      <c r="B467" t="s">
        <v>379</v>
      </c>
      <c r="C467" t="s">
        <v>706</v>
      </c>
      <c r="D467" t="s">
        <v>53</v>
      </c>
      <c r="E467" t="s">
        <v>54</v>
      </c>
      <c r="F467" t="s">
        <v>55</v>
      </c>
      <c r="G467" t="s">
        <v>28</v>
      </c>
      <c r="H467">
        <v>731</v>
      </c>
      <c r="I467">
        <v>40</v>
      </c>
      <c r="J467">
        <v>100</v>
      </c>
      <c r="K467" t="s">
        <v>29</v>
      </c>
      <c r="L467">
        <v>21</v>
      </c>
      <c r="M467" t="s">
        <v>30</v>
      </c>
      <c r="N467">
        <f>COUNTIF(order_data[Order_ID],order_data[[#This Row],[Order_ID]])</f>
        <v>1</v>
      </c>
      <c r="O467">
        <f>order_data[[#This Row],[Order_Value]]-order_data[[#This Row],[Discount]]</f>
        <v>631</v>
      </c>
      <c r="P467">
        <f>order_data[[#This Row],[Order_Value]]+order_data[[#This Row],[Delivery_Fee]]-order_data[[#This Row],[Discount]]</f>
        <v>671</v>
      </c>
      <c r="Q467" t="str">
        <f>TEXT(order_data[[#This Row],[Order_Date]],"mmm")</f>
        <v>Mar</v>
      </c>
      <c r="R467">
        <f>MONTH(order_data[[#This Row],[Order_Date]])</f>
        <v>3</v>
      </c>
    </row>
    <row r="468" spans="1:18" x14ac:dyDescent="0.35">
      <c r="A468" t="s">
        <v>950</v>
      </c>
      <c r="B468" t="s">
        <v>87</v>
      </c>
      <c r="C468" t="s">
        <v>100</v>
      </c>
      <c r="D468" t="s">
        <v>53</v>
      </c>
      <c r="E468" t="s">
        <v>84</v>
      </c>
      <c r="F468" t="s">
        <v>85</v>
      </c>
      <c r="G468" t="s">
        <v>19</v>
      </c>
      <c r="H468">
        <v>491</v>
      </c>
      <c r="I468">
        <v>20</v>
      </c>
      <c r="J468">
        <v>50</v>
      </c>
      <c r="K468" t="s">
        <v>36</v>
      </c>
      <c r="L468">
        <v>48</v>
      </c>
      <c r="M468" t="s">
        <v>21</v>
      </c>
      <c r="N468">
        <f>COUNTIF(order_data[Order_ID],order_data[[#This Row],[Order_ID]])</f>
        <v>1</v>
      </c>
      <c r="O468">
        <f>order_data[[#This Row],[Order_Value]]-order_data[[#This Row],[Discount]]</f>
        <v>441</v>
      </c>
      <c r="P468">
        <f>order_data[[#This Row],[Order_Value]]+order_data[[#This Row],[Delivery_Fee]]-order_data[[#This Row],[Discount]]</f>
        <v>461</v>
      </c>
      <c r="Q468" t="str">
        <f>TEXT(order_data[[#This Row],[Order_Date]],"mmm")</f>
        <v>Jan</v>
      </c>
      <c r="R468">
        <f>MONTH(order_data[[#This Row],[Order_Date]])</f>
        <v>1</v>
      </c>
    </row>
    <row r="469" spans="1:18" x14ac:dyDescent="0.35">
      <c r="A469" t="s">
        <v>951</v>
      </c>
      <c r="B469" t="s">
        <v>105</v>
      </c>
      <c r="C469" t="s">
        <v>952</v>
      </c>
      <c r="D469" t="s">
        <v>40</v>
      </c>
      <c r="E469" t="s">
        <v>67</v>
      </c>
      <c r="F469" t="s">
        <v>48</v>
      </c>
      <c r="G469" t="s">
        <v>19</v>
      </c>
      <c r="H469">
        <v>755</v>
      </c>
      <c r="I469">
        <v>30</v>
      </c>
      <c r="J469">
        <v>0</v>
      </c>
      <c r="K469" t="s">
        <v>29</v>
      </c>
      <c r="L469">
        <v>40</v>
      </c>
      <c r="M469" t="s">
        <v>21</v>
      </c>
      <c r="N469">
        <f>COUNTIF(order_data[Order_ID],order_data[[#This Row],[Order_ID]])</f>
        <v>1</v>
      </c>
      <c r="O469">
        <f>order_data[[#This Row],[Order_Value]]-order_data[[#This Row],[Discount]]</f>
        <v>755</v>
      </c>
      <c r="P469">
        <f>order_data[[#This Row],[Order_Value]]+order_data[[#This Row],[Delivery_Fee]]-order_data[[#This Row],[Discount]]</f>
        <v>785</v>
      </c>
      <c r="Q469" t="str">
        <f>TEXT(order_data[[#This Row],[Order_Date]],"mmm")</f>
        <v>Mar</v>
      </c>
      <c r="R469">
        <f>MONTH(order_data[[#This Row],[Order_Date]])</f>
        <v>3</v>
      </c>
    </row>
    <row r="470" spans="1:18" x14ac:dyDescent="0.35">
      <c r="A470" t="s">
        <v>953</v>
      </c>
      <c r="B470" t="s">
        <v>218</v>
      </c>
      <c r="C470" t="s">
        <v>954</v>
      </c>
      <c r="D470" t="s">
        <v>46</v>
      </c>
      <c r="E470" t="s">
        <v>47</v>
      </c>
      <c r="F470" t="s">
        <v>48</v>
      </c>
      <c r="G470" t="s">
        <v>49</v>
      </c>
      <c r="H470">
        <v>481</v>
      </c>
      <c r="I470">
        <v>30</v>
      </c>
      <c r="J470">
        <v>50</v>
      </c>
      <c r="K470" t="s">
        <v>29</v>
      </c>
      <c r="L470">
        <v>27</v>
      </c>
      <c r="M470" t="s">
        <v>21</v>
      </c>
      <c r="N470">
        <f>COUNTIF(order_data[Order_ID],order_data[[#This Row],[Order_ID]])</f>
        <v>1</v>
      </c>
      <c r="O470">
        <f>order_data[[#This Row],[Order_Value]]-order_data[[#This Row],[Discount]]</f>
        <v>431</v>
      </c>
      <c r="P470">
        <f>order_data[[#This Row],[Order_Value]]+order_data[[#This Row],[Delivery_Fee]]-order_data[[#This Row],[Discount]]</f>
        <v>461</v>
      </c>
      <c r="Q470" t="str">
        <f>TEXT(order_data[[#This Row],[Order_Date]],"mmm")</f>
        <v>Feb</v>
      </c>
      <c r="R470">
        <f>MONTH(order_data[[#This Row],[Order_Date]])</f>
        <v>2</v>
      </c>
    </row>
    <row r="471" spans="1:18" x14ac:dyDescent="0.35">
      <c r="A471" t="s">
        <v>955</v>
      </c>
      <c r="B471" t="s">
        <v>322</v>
      </c>
      <c r="C471" t="s">
        <v>956</v>
      </c>
      <c r="D471" t="s">
        <v>40</v>
      </c>
      <c r="E471" t="s">
        <v>111</v>
      </c>
      <c r="F471" t="s">
        <v>18</v>
      </c>
      <c r="G471" t="s">
        <v>35</v>
      </c>
      <c r="H471">
        <v>743</v>
      </c>
      <c r="I471">
        <v>30</v>
      </c>
      <c r="J471">
        <v>30</v>
      </c>
      <c r="K471" t="s">
        <v>36</v>
      </c>
      <c r="L471">
        <v>25</v>
      </c>
      <c r="M471" t="s">
        <v>30</v>
      </c>
      <c r="N471">
        <f>COUNTIF(order_data[Order_ID],order_data[[#This Row],[Order_ID]])</f>
        <v>1</v>
      </c>
      <c r="O471">
        <f>order_data[[#This Row],[Order_Value]]-order_data[[#This Row],[Discount]]</f>
        <v>713</v>
      </c>
      <c r="P471">
        <f>order_data[[#This Row],[Order_Value]]+order_data[[#This Row],[Delivery_Fee]]-order_data[[#This Row],[Discount]]</f>
        <v>743</v>
      </c>
      <c r="Q471" t="str">
        <f>TEXT(order_data[[#This Row],[Order_Date]],"mmm")</f>
        <v>Jan</v>
      </c>
      <c r="R471">
        <f>MONTH(order_data[[#This Row],[Order_Date]])</f>
        <v>1</v>
      </c>
    </row>
    <row r="472" spans="1:18" x14ac:dyDescent="0.35">
      <c r="A472" t="s">
        <v>957</v>
      </c>
      <c r="B472" t="s">
        <v>51</v>
      </c>
      <c r="C472" t="s">
        <v>455</v>
      </c>
      <c r="D472" t="s">
        <v>16</v>
      </c>
      <c r="E472" t="s">
        <v>89</v>
      </c>
      <c r="F472" t="s">
        <v>18</v>
      </c>
      <c r="G472" t="s">
        <v>28</v>
      </c>
      <c r="H472">
        <v>264</v>
      </c>
      <c r="I472">
        <v>20</v>
      </c>
      <c r="J472">
        <v>30</v>
      </c>
      <c r="K472" t="s">
        <v>29</v>
      </c>
      <c r="L472">
        <v>49</v>
      </c>
      <c r="M472" t="s">
        <v>21</v>
      </c>
      <c r="N472">
        <f>COUNTIF(order_data[Order_ID],order_data[[#This Row],[Order_ID]])</f>
        <v>1</v>
      </c>
      <c r="O472">
        <f>order_data[[#This Row],[Order_Value]]-order_data[[#This Row],[Discount]]</f>
        <v>234</v>
      </c>
      <c r="P472">
        <f>order_data[[#This Row],[Order_Value]]+order_data[[#This Row],[Delivery_Fee]]-order_data[[#This Row],[Discount]]</f>
        <v>254</v>
      </c>
      <c r="Q472" t="str">
        <f>TEXT(order_data[[#This Row],[Order_Date]],"mmm")</f>
        <v>Feb</v>
      </c>
      <c r="R472">
        <f>MONTH(order_data[[#This Row],[Order_Date]])</f>
        <v>2</v>
      </c>
    </row>
    <row r="473" spans="1:18" x14ac:dyDescent="0.35">
      <c r="A473" t="s">
        <v>958</v>
      </c>
      <c r="B473" t="s">
        <v>368</v>
      </c>
      <c r="C473" t="s">
        <v>531</v>
      </c>
      <c r="D473" t="s">
        <v>53</v>
      </c>
      <c r="E473" t="s">
        <v>84</v>
      </c>
      <c r="F473" t="s">
        <v>85</v>
      </c>
      <c r="G473" t="s">
        <v>63</v>
      </c>
      <c r="H473">
        <v>467</v>
      </c>
      <c r="I473">
        <v>50</v>
      </c>
      <c r="J473">
        <v>30</v>
      </c>
      <c r="K473" t="s">
        <v>20</v>
      </c>
      <c r="L473">
        <v>31</v>
      </c>
      <c r="M473" t="s">
        <v>21</v>
      </c>
      <c r="N473">
        <f>COUNTIF(order_data[Order_ID],order_data[[#This Row],[Order_ID]])</f>
        <v>1</v>
      </c>
      <c r="O473">
        <f>order_data[[#This Row],[Order_Value]]-order_data[[#This Row],[Discount]]</f>
        <v>437</v>
      </c>
      <c r="P473">
        <f>order_data[[#This Row],[Order_Value]]+order_data[[#This Row],[Delivery_Fee]]-order_data[[#This Row],[Discount]]</f>
        <v>487</v>
      </c>
      <c r="Q473" t="str">
        <f>TEXT(order_data[[#This Row],[Order_Date]],"mmm")</f>
        <v>Feb</v>
      </c>
      <c r="R473">
        <f>MONTH(order_data[[#This Row],[Order_Date]])</f>
        <v>2</v>
      </c>
    </row>
    <row r="474" spans="1:18" x14ac:dyDescent="0.35">
      <c r="A474" t="s">
        <v>959</v>
      </c>
      <c r="B474" t="s">
        <v>416</v>
      </c>
      <c r="C474" t="s">
        <v>960</v>
      </c>
      <c r="D474" t="s">
        <v>53</v>
      </c>
      <c r="E474" t="s">
        <v>54</v>
      </c>
      <c r="F474" t="s">
        <v>55</v>
      </c>
      <c r="G474" t="s">
        <v>42</v>
      </c>
      <c r="H474">
        <v>796</v>
      </c>
      <c r="I474">
        <v>20</v>
      </c>
      <c r="J474">
        <v>100</v>
      </c>
      <c r="K474" t="s">
        <v>36</v>
      </c>
      <c r="L474">
        <v>32</v>
      </c>
      <c r="M474" t="s">
        <v>21</v>
      </c>
      <c r="N474">
        <f>COUNTIF(order_data[Order_ID],order_data[[#This Row],[Order_ID]])</f>
        <v>1</v>
      </c>
      <c r="O474">
        <f>order_data[[#This Row],[Order_Value]]-order_data[[#This Row],[Discount]]</f>
        <v>696</v>
      </c>
      <c r="P474">
        <f>order_data[[#This Row],[Order_Value]]+order_data[[#This Row],[Delivery_Fee]]-order_data[[#This Row],[Discount]]</f>
        <v>716</v>
      </c>
      <c r="Q474" t="str">
        <f>TEXT(order_data[[#This Row],[Order_Date]],"mmm")</f>
        <v>Mar</v>
      </c>
      <c r="R474">
        <f>MONTH(order_data[[#This Row],[Order_Date]])</f>
        <v>3</v>
      </c>
    </row>
    <row r="475" spans="1:18" x14ac:dyDescent="0.35">
      <c r="A475" t="s">
        <v>961</v>
      </c>
      <c r="B475" t="s">
        <v>271</v>
      </c>
      <c r="C475" t="s">
        <v>962</v>
      </c>
      <c r="D475" t="s">
        <v>16</v>
      </c>
      <c r="E475" t="s">
        <v>17</v>
      </c>
      <c r="F475" t="s">
        <v>18</v>
      </c>
      <c r="G475" t="s">
        <v>59</v>
      </c>
      <c r="H475">
        <v>406</v>
      </c>
      <c r="I475">
        <v>20</v>
      </c>
      <c r="J475">
        <v>50</v>
      </c>
      <c r="K475" t="s">
        <v>20</v>
      </c>
      <c r="L475">
        <v>31</v>
      </c>
      <c r="M475" t="s">
        <v>21</v>
      </c>
      <c r="N475">
        <f>COUNTIF(order_data[Order_ID],order_data[[#This Row],[Order_ID]])</f>
        <v>1</v>
      </c>
      <c r="O475">
        <f>order_data[[#This Row],[Order_Value]]-order_data[[#This Row],[Discount]]</f>
        <v>356</v>
      </c>
      <c r="P475">
        <f>order_data[[#This Row],[Order_Value]]+order_data[[#This Row],[Delivery_Fee]]-order_data[[#This Row],[Discount]]</f>
        <v>376</v>
      </c>
      <c r="Q475" t="str">
        <f>TEXT(order_data[[#This Row],[Order_Date]],"mmm")</f>
        <v>Jan</v>
      </c>
      <c r="R475">
        <f>MONTH(order_data[[#This Row],[Order_Date]])</f>
        <v>1</v>
      </c>
    </row>
    <row r="476" spans="1:18" x14ac:dyDescent="0.35">
      <c r="A476" t="s">
        <v>963</v>
      </c>
      <c r="B476" t="s">
        <v>416</v>
      </c>
      <c r="C476" t="s">
        <v>964</v>
      </c>
      <c r="D476" t="s">
        <v>46</v>
      </c>
      <c r="E476" t="s">
        <v>148</v>
      </c>
      <c r="F476" t="s">
        <v>27</v>
      </c>
      <c r="G476" t="s">
        <v>74</v>
      </c>
      <c r="H476">
        <v>385</v>
      </c>
      <c r="I476">
        <v>30</v>
      </c>
      <c r="J476">
        <v>20</v>
      </c>
      <c r="K476" t="s">
        <v>29</v>
      </c>
      <c r="L476">
        <v>33</v>
      </c>
      <c r="M476" t="s">
        <v>21</v>
      </c>
      <c r="N476">
        <f>COUNTIF(order_data[Order_ID],order_data[[#This Row],[Order_ID]])</f>
        <v>1</v>
      </c>
      <c r="O476">
        <f>order_data[[#This Row],[Order_Value]]-order_data[[#This Row],[Discount]]</f>
        <v>365</v>
      </c>
      <c r="P476">
        <f>order_data[[#This Row],[Order_Value]]+order_data[[#This Row],[Delivery_Fee]]-order_data[[#This Row],[Discount]]</f>
        <v>395</v>
      </c>
      <c r="Q476" t="str">
        <f>TEXT(order_data[[#This Row],[Order_Date]],"mmm")</f>
        <v>Mar</v>
      </c>
      <c r="R476">
        <f>MONTH(order_data[[#This Row],[Order_Date]])</f>
        <v>3</v>
      </c>
    </row>
    <row r="477" spans="1:18" x14ac:dyDescent="0.35">
      <c r="A477" t="s">
        <v>965</v>
      </c>
      <c r="B477" t="s">
        <v>69</v>
      </c>
      <c r="C477" t="s">
        <v>292</v>
      </c>
      <c r="D477" t="s">
        <v>25</v>
      </c>
      <c r="E477" t="s">
        <v>26</v>
      </c>
      <c r="F477" t="s">
        <v>27</v>
      </c>
      <c r="G477" t="s">
        <v>107</v>
      </c>
      <c r="H477">
        <v>291</v>
      </c>
      <c r="I477">
        <v>50</v>
      </c>
      <c r="J477">
        <v>100</v>
      </c>
      <c r="K477" t="s">
        <v>36</v>
      </c>
      <c r="L477">
        <v>54</v>
      </c>
      <c r="M477" t="s">
        <v>21</v>
      </c>
      <c r="N477">
        <f>COUNTIF(order_data[Order_ID],order_data[[#This Row],[Order_ID]])</f>
        <v>1</v>
      </c>
      <c r="O477">
        <f>order_data[[#This Row],[Order_Value]]-order_data[[#This Row],[Discount]]</f>
        <v>191</v>
      </c>
      <c r="P477">
        <f>order_data[[#This Row],[Order_Value]]+order_data[[#This Row],[Delivery_Fee]]-order_data[[#This Row],[Discount]]</f>
        <v>241</v>
      </c>
      <c r="Q477" t="str">
        <f>TEXT(order_data[[#This Row],[Order_Date]],"mmm")</f>
        <v>Feb</v>
      </c>
      <c r="R477">
        <f>MONTH(order_data[[#This Row],[Order_Date]])</f>
        <v>2</v>
      </c>
    </row>
    <row r="478" spans="1:18" x14ac:dyDescent="0.35">
      <c r="A478" t="s">
        <v>966</v>
      </c>
      <c r="B478" t="s">
        <v>583</v>
      </c>
      <c r="C478" t="s">
        <v>967</v>
      </c>
      <c r="D478" t="s">
        <v>25</v>
      </c>
      <c r="E478" t="s">
        <v>26</v>
      </c>
      <c r="F478" t="s">
        <v>27</v>
      </c>
      <c r="G478" t="s">
        <v>19</v>
      </c>
      <c r="H478">
        <v>695</v>
      </c>
      <c r="I478">
        <v>30</v>
      </c>
      <c r="J478">
        <v>20</v>
      </c>
      <c r="K478" t="s">
        <v>20</v>
      </c>
      <c r="L478">
        <v>24</v>
      </c>
      <c r="M478" t="s">
        <v>21</v>
      </c>
      <c r="N478">
        <f>COUNTIF(order_data[Order_ID],order_data[[#This Row],[Order_ID]])</f>
        <v>1</v>
      </c>
      <c r="O478">
        <f>order_data[[#This Row],[Order_Value]]-order_data[[#This Row],[Discount]]</f>
        <v>675</v>
      </c>
      <c r="P478">
        <f>order_data[[#This Row],[Order_Value]]+order_data[[#This Row],[Delivery_Fee]]-order_data[[#This Row],[Discount]]</f>
        <v>705</v>
      </c>
      <c r="Q478" t="str">
        <f>TEXT(order_data[[#This Row],[Order_Date]],"mmm")</f>
        <v>Jan</v>
      </c>
      <c r="R478">
        <f>MONTH(order_data[[#This Row],[Order_Date]])</f>
        <v>1</v>
      </c>
    </row>
    <row r="479" spans="1:18" x14ac:dyDescent="0.35">
      <c r="A479" t="s">
        <v>968</v>
      </c>
      <c r="B479" t="s">
        <v>91</v>
      </c>
      <c r="C479" t="s">
        <v>545</v>
      </c>
      <c r="D479" t="s">
        <v>53</v>
      </c>
      <c r="E479" t="s">
        <v>152</v>
      </c>
      <c r="F479" t="s">
        <v>18</v>
      </c>
      <c r="G479" t="s">
        <v>59</v>
      </c>
      <c r="H479">
        <v>401</v>
      </c>
      <c r="I479">
        <v>20</v>
      </c>
      <c r="J479">
        <v>100</v>
      </c>
      <c r="K479" t="s">
        <v>29</v>
      </c>
      <c r="L479">
        <v>25</v>
      </c>
      <c r="M479" t="s">
        <v>21</v>
      </c>
      <c r="N479">
        <f>COUNTIF(order_data[Order_ID],order_data[[#This Row],[Order_ID]])</f>
        <v>1</v>
      </c>
      <c r="O479">
        <f>order_data[[#This Row],[Order_Value]]-order_data[[#This Row],[Discount]]</f>
        <v>301</v>
      </c>
      <c r="P479">
        <f>order_data[[#This Row],[Order_Value]]+order_data[[#This Row],[Delivery_Fee]]-order_data[[#This Row],[Discount]]</f>
        <v>321</v>
      </c>
      <c r="Q479" t="str">
        <f>TEXT(order_data[[#This Row],[Order_Date]],"mmm")</f>
        <v>Mar</v>
      </c>
      <c r="R479">
        <f>MONTH(order_data[[#This Row],[Order_Date]])</f>
        <v>3</v>
      </c>
    </row>
    <row r="480" spans="1:18" x14ac:dyDescent="0.35">
      <c r="A480" t="s">
        <v>969</v>
      </c>
      <c r="B480" t="s">
        <v>87</v>
      </c>
      <c r="C480" t="s">
        <v>496</v>
      </c>
      <c r="D480" t="s">
        <v>16</v>
      </c>
      <c r="E480" t="s">
        <v>89</v>
      </c>
      <c r="F480" t="s">
        <v>18</v>
      </c>
      <c r="G480" t="s">
        <v>176</v>
      </c>
      <c r="H480">
        <v>192</v>
      </c>
      <c r="I480">
        <v>50</v>
      </c>
      <c r="J480">
        <v>50</v>
      </c>
      <c r="K480" t="s">
        <v>29</v>
      </c>
      <c r="L480">
        <v>42</v>
      </c>
      <c r="M480" t="s">
        <v>21</v>
      </c>
      <c r="N480">
        <f>COUNTIF(order_data[Order_ID],order_data[[#This Row],[Order_ID]])</f>
        <v>1</v>
      </c>
      <c r="O480">
        <f>order_data[[#This Row],[Order_Value]]-order_data[[#This Row],[Discount]]</f>
        <v>142</v>
      </c>
      <c r="P480">
        <f>order_data[[#This Row],[Order_Value]]+order_data[[#This Row],[Delivery_Fee]]-order_data[[#This Row],[Discount]]</f>
        <v>192</v>
      </c>
      <c r="Q480" t="str">
        <f>TEXT(order_data[[#This Row],[Order_Date]],"mmm")</f>
        <v>Jan</v>
      </c>
      <c r="R480">
        <f>MONTH(order_data[[#This Row],[Order_Date]])</f>
        <v>1</v>
      </c>
    </row>
    <row r="481" spans="1:18" x14ac:dyDescent="0.35">
      <c r="A481" t="s">
        <v>970</v>
      </c>
      <c r="B481" t="s">
        <v>476</v>
      </c>
      <c r="C481" t="s">
        <v>734</v>
      </c>
      <c r="D481" t="s">
        <v>16</v>
      </c>
      <c r="E481" t="s">
        <v>17</v>
      </c>
      <c r="F481" t="s">
        <v>18</v>
      </c>
      <c r="G481" t="s">
        <v>63</v>
      </c>
      <c r="H481">
        <v>610</v>
      </c>
      <c r="I481">
        <v>30</v>
      </c>
      <c r="J481">
        <v>50</v>
      </c>
      <c r="K481" t="s">
        <v>29</v>
      </c>
      <c r="L481">
        <v>34</v>
      </c>
      <c r="M481" t="s">
        <v>30</v>
      </c>
      <c r="N481">
        <f>COUNTIF(order_data[Order_ID],order_data[[#This Row],[Order_ID]])</f>
        <v>1</v>
      </c>
      <c r="O481">
        <f>order_data[[#This Row],[Order_Value]]-order_data[[#This Row],[Discount]]</f>
        <v>560</v>
      </c>
      <c r="P481">
        <f>order_data[[#This Row],[Order_Value]]+order_data[[#This Row],[Delivery_Fee]]-order_data[[#This Row],[Discount]]</f>
        <v>590</v>
      </c>
      <c r="Q481" t="str">
        <f>TEXT(order_data[[#This Row],[Order_Date]],"mmm")</f>
        <v>Jan</v>
      </c>
      <c r="R481">
        <f>MONTH(order_data[[#This Row],[Order_Date]])</f>
        <v>1</v>
      </c>
    </row>
    <row r="482" spans="1:18" x14ac:dyDescent="0.35">
      <c r="A482" t="s">
        <v>971</v>
      </c>
      <c r="B482" t="s">
        <v>199</v>
      </c>
      <c r="C482" t="s">
        <v>924</v>
      </c>
      <c r="D482" t="s">
        <v>40</v>
      </c>
      <c r="E482" t="s">
        <v>41</v>
      </c>
      <c r="F482" t="s">
        <v>27</v>
      </c>
      <c r="G482" t="s">
        <v>176</v>
      </c>
      <c r="H482">
        <v>549</v>
      </c>
      <c r="I482">
        <v>30</v>
      </c>
      <c r="J482">
        <v>0</v>
      </c>
      <c r="K482" t="s">
        <v>29</v>
      </c>
      <c r="L482">
        <v>46</v>
      </c>
      <c r="M482" t="s">
        <v>21</v>
      </c>
      <c r="N482">
        <f>COUNTIF(order_data[Order_ID],order_data[[#This Row],[Order_ID]])</f>
        <v>1</v>
      </c>
      <c r="O482">
        <f>order_data[[#This Row],[Order_Value]]-order_data[[#This Row],[Discount]]</f>
        <v>549</v>
      </c>
      <c r="P482">
        <f>order_data[[#This Row],[Order_Value]]+order_data[[#This Row],[Delivery_Fee]]-order_data[[#This Row],[Discount]]</f>
        <v>579</v>
      </c>
      <c r="Q482" t="str">
        <f>TEXT(order_data[[#This Row],[Order_Date]],"mmm")</f>
        <v>Jan</v>
      </c>
      <c r="R482">
        <f>MONTH(order_data[[#This Row],[Order_Date]])</f>
        <v>1</v>
      </c>
    </row>
    <row r="483" spans="1:18" x14ac:dyDescent="0.35">
      <c r="A483" t="s">
        <v>972</v>
      </c>
      <c r="B483" t="s">
        <v>186</v>
      </c>
      <c r="C483" t="s">
        <v>134</v>
      </c>
      <c r="D483" t="s">
        <v>16</v>
      </c>
      <c r="E483" t="s">
        <v>89</v>
      </c>
      <c r="F483" t="s">
        <v>18</v>
      </c>
      <c r="G483" t="s">
        <v>35</v>
      </c>
      <c r="H483">
        <v>536</v>
      </c>
      <c r="I483">
        <v>30</v>
      </c>
      <c r="J483">
        <v>20</v>
      </c>
      <c r="K483" t="s">
        <v>20</v>
      </c>
      <c r="L483">
        <v>51</v>
      </c>
      <c r="M483" t="s">
        <v>21</v>
      </c>
      <c r="N483">
        <f>COUNTIF(order_data[Order_ID],order_data[[#This Row],[Order_ID]])</f>
        <v>1</v>
      </c>
      <c r="O483">
        <f>order_data[[#This Row],[Order_Value]]-order_data[[#This Row],[Discount]]</f>
        <v>516</v>
      </c>
      <c r="P483">
        <f>order_data[[#This Row],[Order_Value]]+order_data[[#This Row],[Delivery_Fee]]-order_data[[#This Row],[Discount]]</f>
        <v>546</v>
      </c>
      <c r="Q483" t="str">
        <f>TEXT(order_data[[#This Row],[Order_Date]],"mmm")</f>
        <v>Mar</v>
      </c>
      <c r="R483">
        <f>MONTH(order_data[[#This Row],[Order_Date]])</f>
        <v>3</v>
      </c>
    </row>
    <row r="484" spans="1:18" x14ac:dyDescent="0.35">
      <c r="A484" t="s">
        <v>973</v>
      </c>
      <c r="B484" t="s">
        <v>186</v>
      </c>
      <c r="C484" t="s">
        <v>799</v>
      </c>
      <c r="D484" t="s">
        <v>53</v>
      </c>
      <c r="E484" t="s">
        <v>84</v>
      </c>
      <c r="F484" t="s">
        <v>85</v>
      </c>
      <c r="G484" t="s">
        <v>63</v>
      </c>
      <c r="H484">
        <v>649</v>
      </c>
      <c r="I484">
        <v>30</v>
      </c>
      <c r="J484">
        <v>20</v>
      </c>
      <c r="K484" t="s">
        <v>20</v>
      </c>
      <c r="L484">
        <v>34</v>
      </c>
      <c r="M484" t="s">
        <v>21</v>
      </c>
      <c r="N484">
        <f>COUNTIF(order_data[Order_ID],order_data[[#This Row],[Order_ID]])</f>
        <v>1</v>
      </c>
      <c r="O484">
        <f>order_data[[#This Row],[Order_Value]]-order_data[[#This Row],[Discount]]</f>
        <v>629</v>
      </c>
      <c r="P484">
        <f>order_data[[#This Row],[Order_Value]]+order_data[[#This Row],[Delivery_Fee]]-order_data[[#This Row],[Discount]]</f>
        <v>659</v>
      </c>
      <c r="Q484" t="str">
        <f>TEXT(order_data[[#This Row],[Order_Date]],"mmm")</f>
        <v>Mar</v>
      </c>
      <c r="R484">
        <f>MONTH(order_data[[#This Row],[Order_Date]])</f>
        <v>3</v>
      </c>
    </row>
    <row r="485" spans="1:18" x14ac:dyDescent="0.35">
      <c r="A485" t="s">
        <v>974</v>
      </c>
      <c r="B485" t="s">
        <v>69</v>
      </c>
      <c r="C485" t="s">
        <v>547</v>
      </c>
      <c r="D485" t="s">
        <v>25</v>
      </c>
      <c r="E485" t="s">
        <v>34</v>
      </c>
      <c r="F485" t="s">
        <v>27</v>
      </c>
      <c r="G485" t="s">
        <v>42</v>
      </c>
      <c r="H485">
        <v>657</v>
      </c>
      <c r="I485">
        <v>20</v>
      </c>
      <c r="J485">
        <v>30</v>
      </c>
      <c r="K485" t="s">
        <v>29</v>
      </c>
      <c r="L485">
        <v>41</v>
      </c>
      <c r="M485" t="s">
        <v>21</v>
      </c>
      <c r="N485">
        <f>COUNTIF(order_data[Order_ID],order_data[[#This Row],[Order_ID]])</f>
        <v>1</v>
      </c>
      <c r="O485">
        <f>order_data[[#This Row],[Order_Value]]-order_data[[#This Row],[Discount]]</f>
        <v>627</v>
      </c>
      <c r="P485">
        <f>order_data[[#This Row],[Order_Value]]+order_data[[#This Row],[Delivery_Fee]]-order_data[[#This Row],[Discount]]</f>
        <v>647</v>
      </c>
      <c r="Q485" t="str">
        <f>TEXT(order_data[[#This Row],[Order_Date]],"mmm")</f>
        <v>Feb</v>
      </c>
      <c r="R485">
        <f>MONTH(order_data[[#This Row],[Order_Date]])</f>
        <v>2</v>
      </c>
    </row>
    <row r="486" spans="1:18" x14ac:dyDescent="0.35">
      <c r="A486" t="s">
        <v>975</v>
      </c>
      <c r="B486" t="s">
        <v>199</v>
      </c>
      <c r="C486" t="s">
        <v>976</v>
      </c>
      <c r="D486" t="s">
        <v>46</v>
      </c>
      <c r="E486" t="s">
        <v>47</v>
      </c>
      <c r="F486" t="s">
        <v>48</v>
      </c>
      <c r="G486" t="s">
        <v>19</v>
      </c>
      <c r="H486">
        <v>677</v>
      </c>
      <c r="I486">
        <v>30</v>
      </c>
      <c r="J486">
        <v>0</v>
      </c>
      <c r="K486" t="s">
        <v>29</v>
      </c>
      <c r="L486">
        <v>31</v>
      </c>
      <c r="M486" t="s">
        <v>30</v>
      </c>
      <c r="N486">
        <f>COUNTIF(order_data[Order_ID],order_data[[#This Row],[Order_ID]])</f>
        <v>1</v>
      </c>
      <c r="O486">
        <f>order_data[[#This Row],[Order_Value]]-order_data[[#This Row],[Discount]]</f>
        <v>677</v>
      </c>
      <c r="P486">
        <f>order_data[[#This Row],[Order_Value]]+order_data[[#This Row],[Delivery_Fee]]-order_data[[#This Row],[Discount]]</f>
        <v>707</v>
      </c>
      <c r="Q486" t="str">
        <f>TEXT(order_data[[#This Row],[Order_Date]],"mmm")</f>
        <v>Jan</v>
      </c>
      <c r="R486">
        <f>MONTH(order_data[[#This Row],[Order_Date]])</f>
        <v>1</v>
      </c>
    </row>
    <row r="487" spans="1:18" x14ac:dyDescent="0.35">
      <c r="A487" t="s">
        <v>977</v>
      </c>
      <c r="B487" t="s">
        <v>38</v>
      </c>
      <c r="C487" t="s">
        <v>952</v>
      </c>
      <c r="D487" t="s">
        <v>40</v>
      </c>
      <c r="E487" t="s">
        <v>41</v>
      </c>
      <c r="F487" t="s">
        <v>27</v>
      </c>
      <c r="G487" t="s">
        <v>35</v>
      </c>
      <c r="H487">
        <v>372</v>
      </c>
      <c r="I487">
        <v>50</v>
      </c>
      <c r="J487">
        <v>0</v>
      </c>
      <c r="K487" t="s">
        <v>20</v>
      </c>
      <c r="L487">
        <v>55</v>
      </c>
      <c r="M487" t="s">
        <v>21</v>
      </c>
      <c r="N487">
        <f>COUNTIF(order_data[Order_ID],order_data[[#This Row],[Order_ID]])</f>
        <v>1</v>
      </c>
      <c r="O487">
        <f>order_data[[#This Row],[Order_Value]]-order_data[[#This Row],[Discount]]</f>
        <v>372</v>
      </c>
      <c r="P487">
        <f>order_data[[#This Row],[Order_Value]]+order_data[[#This Row],[Delivery_Fee]]-order_data[[#This Row],[Discount]]</f>
        <v>422</v>
      </c>
      <c r="Q487" t="str">
        <f>TEXT(order_data[[#This Row],[Order_Date]],"mmm")</f>
        <v>Jan</v>
      </c>
      <c r="R487">
        <f>MONTH(order_data[[#This Row],[Order_Date]])</f>
        <v>1</v>
      </c>
    </row>
    <row r="488" spans="1:18" x14ac:dyDescent="0.35">
      <c r="A488" t="s">
        <v>978</v>
      </c>
      <c r="B488" t="s">
        <v>247</v>
      </c>
      <c r="C488" t="s">
        <v>979</v>
      </c>
      <c r="D488" t="s">
        <v>40</v>
      </c>
      <c r="E488" t="s">
        <v>41</v>
      </c>
      <c r="F488" t="s">
        <v>27</v>
      </c>
      <c r="G488" t="s">
        <v>35</v>
      </c>
      <c r="H488">
        <v>575</v>
      </c>
      <c r="I488">
        <v>40</v>
      </c>
      <c r="J488">
        <v>50</v>
      </c>
      <c r="K488" t="s">
        <v>29</v>
      </c>
      <c r="L488">
        <v>22</v>
      </c>
      <c r="M488" t="s">
        <v>21</v>
      </c>
      <c r="N488">
        <f>COUNTIF(order_data[Order_ID],order_data[[#This Row],[Order_ID]])</f>
        <v>1</v>
      </c>
      <c r="O488">
        <f>order_data[[#This Row],[Order_Value]]-order_data[[#This Row],[Discount]]</f>
        <v>525</v>
      </c>
      <c r="P488">
        <f>order_data[[#This Row],[Order_Value]]+order_data[[#This Row],[Delivery_Fee]]-order_data[[#This Row],[Discount]]</f>
        <v>565</v>
      </c>
      <c r="Q488" t="str">
        <f>TEXT(order_data[[#This Row],[Order_Date]],"mmm")</f>
        <v>Mar</v>
      </c>
      <c r="R488">
        <f>MONTH(order_data[[#This Row],[Order_Date]])</f>
        <v>3</v>
      </c>
    </row>
    <row r="489" spans="1:18" x14ac:dyDescent="0.35">
      <c r="A489" t="s">
        <v>980</v>
      </c>
      <c r="B489" t="s">
        <v>388</v>
      </c>
      <c r="C489" t="s">
        <v>417</v>
      </c>
      <c r="D489" t="s">
        <v>46</v>
      </c>
      <c r="E489" t="s">
        <v>148</v>
      </c>
      <c r="F489" t="s">
        <v>27</v>
      </c>
      <c r="G489" t="s">
        <v>74</v>
      </c>
      <c r="H489">
        <v>194</v>
      </c>
      <c r="I489">
        <v>40</v>
      </c>
      <c r="J489">
        <v>100</v>
      </c>
      <c r="K489" t="s">
        <v>36</v>
      </c>
      <c r="L489">
        <v>45</v>
      </c>
      <c r="M489" t="s">
        <v>21</v>
      </c>
      <c r="N489">
        <f>COUNTIF(order_data[Order_ID],order_data[[#This Row],[Order_ID]])</f>
        <v>1</v>
      </c>
      <c r="O489">
        <f>order_data[[#This Row],[Order_Value]]-order_data[[#This Row],[Discount]]</f>
        <v>94</v>
      </c>
      <c r="P489">
        <f>order_data[[#This Row],[Order_Value]]+order_data[[#This Row],[Delivery_Fee]]-order_data[[#This Row],[Discount]]</f>
        <v>134</v>
      </c>
      <c r="Q489" t="str">
        <f>TEXT(order_data[[#This Row],[Order_Date]],"mmm")</f>
        <v>Mar</v>
      </c>
      <c r="R489">
        <f>MONTH(order_data[[#This Row],[Order_Date]])</f>
        <v>3</v>
      </c>
    </row>
    <row r="490" spans="1:18" x14ac:dyDescent="0.35">
      <c r="A490" t="s">
        <v>981</v>
      </c>
      <c r="B490" t="s">
        <v>657</v>
      </c>
      <c r="C490" t="s">
        <v>982</v>
      </c>
      <c r="D490" t="s">
        <v>40</v>
      </c>
      <c r="E490" t="s">
        <v>41</v>
      </c>
      <c r="F490" t="s">
        <v>27</v>
      </c>
      <c r="G490" t="s">
        <v>63</v>
      </c>
      <c r="H490">
        <v>676</v>
      </c>
      <c r="I490">
        <v>50</v>
      </c>
      <c r="J490">
        <v>100</v>
      </c>
      <c r="K490" t="s">
        <v>20</v>
      </c>
      <c r="L490">
        <v>31</v>
      </c>
      <c r="M490" t="s">
        <v>21</v>
      </c>
      <c r="N490">
        <f>COUNTIF(order_data[Order_ID],order_data[[#This Row],[Order_ID]])</f>
        <v>1</v>
      </c>
      <c r="O490">
        <f>order_data[[#This Row],[Order_Value]]-order_data[[#This Row],[Discount]]</f>
        <v>576</v>
      </c>
      <c r="P490">
        <f>order_data[[#This Row],[Order_Value]]+order_data[[#This Row],[Delivery_Fee]]-order_data[[#This Row],[Discount]]</f>
        <v>626</v>
      </c>
      <c r="Q490" t="str">
        <f>TEXT(order_data[[#This Row],[Order_Date]],"mmm")</f>
        <v>Jan</v>
      </c>
      <c r="R490">
        <f>MONTH(order_data[[#This Row],[Order_Date]])</f>
        <v>1</v>
      </c>
    </row>
    <row r="491" spans="1:18" x14ac:dyDescent="0.35">
      <c r="A491" t="s">
        <v>983</v>
      </c>
      <c r="B491" t="s">
        <v>32</v>
      </c>
      <c r="C491" t="s">
        <v>984</v>
      </c>
      <c r="D491" t="s">
        <v>40</v>
      </c>
      <c r="E491" t="s">
        <v>111</v>
      </c>
      <c r="F491" t="s">
        <v>18</v>
      </c>
      <c r="G491" t="s">
        <v>42</v>
      </c>
      <c r="H491">
        <v>373</v>
      </c>
      <c r="I491">
        <v>50</v>
      </c>
      <c r="J491">
        <v>30</v>
      </c>
      <c r="K491" t="s">
        <v>36</v>
      </c>
      <c r="L491">
        <v>36</v>
      </c>
      <c r="M491" t="s">
        <v>30</v>
      </c>
      <c r="N491">
        <f>COUNTIF(order_data[Order_ID],order_data[[#This Row],[Order_ID]])</f>
        <v>1</v>
      </c>
      <c r="O491">
        <f>order_data[[#This Row],[Order_Value]]-order_data[[#This Row],[Discount]]</f>
        <v>343</v>
      </c>
      <c r="P491">
        <f>order_data[[#This Row],[Order_Value]]+order_data[[#This Row],[Delivery_Fee]]-order_data[[#This Row],[Discount]]</f>
        <v>393</v>
      </c>
      <c r="Q491" t="str">
        <f>TEXT(order_data[[#This Row],[Order_Date]],"mmm")</f>
        <v>Jan</v>
      </c>
      <c r="R491">
        <f>MONTH(order_data[[#This Row],[Order_Date]])</f>
        <v>1</v>
      </c>
    </row>
    <row r="492" spans="1:18" x14ac:dyDescent="0.35">
      <c r="A492" t="s">
        <v>985</v>
      </c>
      <c r="B492" t="s">
        <v>393</v>
      </c>
      <c r="C492" t="s">
        <v>219</v>
      </c>
      <c r="D492" t="s">
        <v>16</v>
      </c>
      <c r="E492" t="s">
        <v>89</v>
      </c>
      <c r="F492" t="s">
        <v>18</v>
      </c>
      <c r="G492" t="s">
        <v>63</v>
      </c>
      <c r="H492">
        <v>164</v>
      </c>
      <c r="I492">
        <v>20</v>
      </c>
      <c r="J492">
        <v>0</v>
      </c>
      <c r="K492" t="s">
        <v>29</v>
      </c>
      <c r="L492">
        <v>47</v>
      </c>
      <c r="M492" t="s">
        <v>21</v>
      </c>
      <c r="N492">
        <f>COUNTIF(order_data[Order_ID],order_data[[#This Row],[Order_ID]])</f>
        <v>1</v>
      </c>
      <c r="O492">
        <f>order_data[[#This Row],[Order_Value]]-order_data[[#This Row],[Discount]]</f>
        <v>164</v>
      </c>
      <c r="P492">
        <f>order_data[[#This Row],[Order_Value]]+order_data[[#This Row],[Delivery_Fee]]-order_data[[#This Row],[Discount]]</f>
        <v>184</v>
      </c>
      <c r="Q492" t="str">
        <f>TEXT(order_data[[#This Row],[Order_Date]],"mmm")</f>
        <v>Feb</v>
      </c>
      <c r="R492">
        <f>MONTH(order_data[[#This Row],[Order_Date]])</f>
        <v>2</v>
      </c>
    </row>
    <row r="493" spans="1:18" x14ac:dyDescent="0.35">
      <c r="A493" t="s">
        <v>986</v>
      </c>
      <c r="B493" t="s">
        <v>57</v>
      </c>
      <c r="C493" t="s">
        <v>650</v>
      </c>
      <c r="D493" t="s">
        <v>25</v>
      </c>
      <c r="E493" t="s">
        <v>78</v>
      </c>
      <c r="F493" t="s">
        <v>48</v>
      </c>
      <c r="G493" t="s">
        <v>176</v>
      </c>
      <c r="H493">
        <v>489</v>
      </c>
      <c r="I493">
        <v>30</v>
      </c>
      <c r="J493">
        <v>100</v>
      </c>
      <c r="K493" t="s">
        <v>36</v>
      </c>
      <c r="L493">
        <v>43</v>
      </c>
      <c r="M493" t="s">
        <v>21</v>
      </c>
      <c r="N493">
        <f>COUNTIF(order_data[Order_ID],order_data[[#This Row],[Order_ID]])</f>
        <v>1</v>
      </c>
      <c r="O493">
        <f>order_data[[#This Row],[Order_Value]]-order_data[[#This Row],[Discount]]</f>
        <v>389</v>
      </c>
      <c r="P493">
        <f>order_data[[#This Row],[Order_Value]]+order_data[[#This Row],[Delivery_Fee]]-order_data[[#This Row],[Discount]]</f>
        <v>419</v>
      </c>
      <c r="Q493" t="str">
        <f>TEXT(order_data[[#This Row],[Order_Date]],"mmm")</f>
        <v>Jan</v>
      </c>
      <c r="R493">
        <f>MONTH(order_data[[#This Row],[Order_Date]])</f>
        <v>1</v>
      </c>
    </row>
    <row r="494" spans="1:18" x14ac:dyDescent="0.35">
      <c r="A494" t="s">
        <v>987</v>
      </c>
      <c r="B494" t="s">
        <v>44</v>
      </c>
      <c r="C494" t="s">
        <v>988</v>
      </c>
      <c r="D494" t="s">
        <v>25</v>
      </c>
      <c r="E494" t="s">
        <v>26</v>
      </c>
      <c r="F494" t="s">
        <v>27</v>
      </c>
      <c r="G494" t="s">
        <v>63</v>
      </c>
      <c r="H494">
        <v>295</v>
      </c>
      <c r="I494">
        <v>50</v>
      </c>
      <c r="J494">
        <v>100</v>
      </c>
      <c r="K494" t="s">
        <v>20</v>
      </c>
      <c r="L494">
        <v>26</v>
      </c>
      <c r="M494" t="s">
        <v>21</v>
      </c>
      <c r="N494">
        <f>COUNTIF(order_data[Order_ID],order_data[[#This Row],[Order_ID]])</f>
        <v>1</v>
      </c>
      <c r="O494">
        <f>order_data[[#This Row],[Order_Value]]-order_data[[#This Row],[Discount]]</f>
        <v>195</v>
      </c>
      <c r="P494">
        <f>order_data[[#This Row],[Order_Value]]+order_data[[#This Row],[Delivery_Fee]]-order_data[[#This Row],[Discount]]</f>
        <v>245</v>
      </c>
      <c r="Q494" t="str">
        <f>TEXT(order_data[[#This Row],[Order_Date]],"mmm")</f>
        <v>Jan</v>
      </c>
      <c r="R494">
        <f>MONTH(order_data[[#This Row],[Order_Date]])</f>
        <v>1</v>
      </c>
    </row>
    <row r="495" spans="1:18" x14ac:dyDescent="0.35">
      <c r="A495" t="s">
        <v>989</v>
      </c>
      <c r="B495" t="s">
        <v>379</v>
      </c>
      <c r="C495" t="s">
        <v>765</v>
      </c>
      <c r="D495" t="s">
        <v>53</v>
      </c>
      <c r="E495" t="s">
        <v>84</v>
      </c>
      <c r="F495" t="s">
        <v>85</v>
      </c>
      <c r="G495" t="s">
        <v>35</v>
      </c>
      <c r="H495">
        <v>298</v>
      </c>
      <c r="I495">
        <v>40</v>
      </c>
      <c r="J495">
        <v>0</v>
      </c>
      <c r="K495" t="s">
        <v>36</v>
      </c>
      <c r="L495">
        <v>31</v>
      </c>
      <c r="M495" t="s">
        <v>21</v>
      </c>
      <c r="N495">
        <f>COUNTIF(order_data[Order_ID],order_data[[#This Row],[Order_ID]])</f>
        <v>1</v>
      </c>
      <c r="O495">
        <f>order_data[[#This Row],[Order_Value]]-order_data[[#This Row],[Discount]]</f>
        <v>298</v>
      </c>
      <c r="P495">
        <f>order_data[[#This Row],[Order_Value]]+order_data[[#This Row],[Delivery_Fee]]-order_data[[#This Row],[Discount]]</f>
        <v>338</v>
      </c>
      <c r="Q495" t="str">
        <f>TEXT(order_data[[#This Row],[Order_Date]],"mmm")</f>
        <v>Mar</v>
      </c>
      <c r="R495">
        <f>MONTH(order_data[[#This Row],[Order_Date]])</f>
        <v>3</v>
      </c>
    </row>
    <row r="496" spans="1:18" x14ac:dyDescent="0.35">
      <c r="A496" t="s">
        <v>990</v>
      </c>
      <c r="B496" t="s">
        <v>365</v>
      </c>
      <c r="C496" t="s">
        <v>991</v>
      </c>
      <c r="D496" t="s">
        <v>25</v>
      </c>
      <c r="E496" t="s">
        <v>34</v>
      </c>
      <c r="F496" t="s">
        <v>27</v>
      </c>
      <c r="G496" t="s">
        <v>42</v>
      </c>
      <c r="H496">
        <v>685</v>
      </c>
      <c r="I496">
        <v>30</v>
      </c>
      <c r="J496">
        <v>100</v>
      </c>
      <c r="K496" t="s">
        <v>20</v>
      </c>
      <c r="L496">
        <v>28</v>
      </c>
      <c r="M496" t="s">
        <v>21</v>
      </c>
      <c r="N496">
        <f>COUNTIF(order_data[Order_ID],order_data[[#This Row],[Order_ID]])</f>
        <v>1</v>
      </c>
      <c r="O496">
        <f>order_data[[#This Row],[Order_Value]]-order_data[[#This Row],[Discount]]</f>
        <v>585</v>
      </c>
      <c r="P496">
        <f>order_data[[#This Row],[Order_Value]]+order_data[[#This Row],[Delivery_Fee]]-order_data[[#This Row],[Discount]]</f>
        <v>615</v>
      </c>
      <c r="Q496" t="str">
        <f>TEXT(order_data[[#This Row],[Order_Date]],"mmm")</f>
        <v>Jan</v>
      </c>
      <c r="R496">
        <f>MONTH(order_data[[#This Row],[Order_Date]])</f>
        <v>1</v>
      </c>
    </row>
    <row r="497" spans="1:18" x14ac:dyDescent="0.35">
      <c r="A497" t="s">
        <v>992</v>
      </c>
      <c r="B497" t="s">
        <v>329</v>
      </c>
      <c r="C497" t="s">
        <v>993</v>
      </c>
      <c r="D497" t="s">
        <v>25</v>
      </c>
      <c r="E497" t="s">
        <v>78</v>
      </c>
      <c r="F497" t="s">
        <v>48</v>
      </c>
      <c r="G497" t="s">
        <v>107</v>
      </c>
      <c r="H497">
        <v>533</v>
      </c>
      <c r="I497">
        <v>20</v>
      </c>
      <c r="J497">
        <v>20</v>
      </c>
      <c r="K497" t="s">
        <v>36</v>
      </c>
      <c r="L497">
        <v>36</v>
      </c>
      <c r="M497" t="s">
        <v>21</v>
      </c>
      <c r="N497">
        <f>COUNTIF(order_data[Order_ID],order_data[[#This Row],[Order_ID]])</f>
        <v>1</v>
      </c>
      <c r="O497">
        <f>order_data[[#This Row],[Order_Value]]-order_data[[#This Row],[Discount]]</f>
        <v>513</v>
      </c>
      <c r="P497">
        <f>order_data[[#This Row],[Order_Value]]+order_data[[#This Row],[Delivery_Fee]]-order_data[[#This Row],[Discount]]</f>
        <v>533</v>
      </c>
      <c r="Q497" t="str">
        <f>TEXT(order_data[[#This Row],[Order_Date]],"mmm")</f>
        <v>Mar</v>
      </c>
      <c r="R497">
        <f>MONTH(order_data[[#This Row],[Order_Date]])</f>
        <v>3</v>
      </c>
    </row>
    <row r="498" spans="1:18" x14ac:dyDescent="0.35">
      <c r="A498" t="s">
        <v>994</v>
      </c>
      <c r="B498" t="s">
        <v>657</v>
      </c>
      <c r="C498" t="s">
        <v>686</v>
      </c>
      <c r="D498" t="s">
        <v>25</v>
      </c>
      <c r="E498" t="s">
        <v>34</v>
      </c>
      <c r="F498" t="s">
        <v>27</v>
      </c>
      <c r="G498" t="s">
        <v>49</v>
      </c>
      <c r="H498">
        <v>217</v>
      </c>
      <c r="I498">
        <v>20</v>
      </c>
      <c r="J498">
        <v>50</v>
      </c>
      <c r="K498" t="s">
        <v>36</v>
      </c>
      <c r="L498">
        <v>55</v>
      </c>
      <c r="M498" t="s">
        <v>21</v>
      </c>
      <c r="N498">
        <f>COUNTIF(order_data[Order_ID],order_data[[#This Row],[Order_ID]])</f>
        <v>1</v>
      </c>
      <c r="O498">
        <f>order_data[[#This Row],[Order_Value]]-order_data[[#This Row],[Discount]]</f>
        <v>167</v>
      </c>
      <c r="P498">
        <f>order_data[[#This Row],[Order_Value]]+order_data[[#This Row],[Delivery_Fee]]-order_data[[#This Row],[Discount]]</f>
        <v>187</v>
      </c>
      <c r="Q498" t="str">
        <f>TEXT(order_data[[#This Row],[Order_Date]],"mmm")</f>
        <v>Jan</v>
      </c>
      <c r="R498">
        <f>MONTH(order_data[[#This Row],[Order_Date]])</f>
        <v>1</v>
      </c>
    </row>
    <row r="499" spans="1:18" x14ac:dyDescent="0.35">
      <c r="A499" t="s">
        <v>995</v>
      </c>
      <c r="B499" t="s">
        <v>435</v>
      </c>
      <c r="C499" t="s">
        <v>996</v>
      </c>
      <c r="D499" t="s">
        <v>46</v>
      </c>
      <c r="E499" t="s">
        <v>70</v>
      </c>
      <c r="F499" t="s">
        <v>18</v>
      </c>
      <c r="G499" t="s">
        <v>107</v>
      </c>
      <c r="H499">
        <v>254</v>
      </c>
      <c r="I499">
        <v>50</v>
      </c>
      <c r="J499">
        <v>30</v>
      </c>
      <c r="K499" t="s">
        <v>36</v>
      </c>
      <c r="L499">
        <v>45</v>
      </c>
      <c r="M499" t="s">
        <v>21</v>
      </c>
      <c r="N499">
        <f>COUNTIF(order_data[Order_ID],order_data[[#This Row],[Order_ID]])</f>
        <v>1</v>
      </c>
      <c r="O499">
        <f>order_data[[#This Row],[Order_Value]]-order_data[[#This Row],[Discount]]</f>
        <v>224</v>
      </c>
      <c r="P499">
        <f>order_data[[#This Row],[Order_Value]]+order_data[[#This Row],[Delivery_Fee]]-order_data[[#This Row],[Discount]]</f>
        <v>274</v>
      </c>
      <c r="Q499" t="str">
        <f>TEXT(order_data[[#This Row],[Order_Date]],"mmm")</f>
        <v>Feb</v>
      </c>
      <c r="R499">
        <f>MONTH(order_data[[#This Row],[Order_Date]])</f>
        <v>2</v>
      </c>
    </row>
    <row r="500" spans="1:18" x14ac:dyDescent="0.35">
      <c r="A500" t="s">
        <v>997</v>
      </c>
      <c r="B500" t="s">
        <v>44</v>
      </c>
      <c r="C500" t="s">
        <v>781</v>
      </c>
      <c r="D500" t="s">
        <v>46</v>
      </c>
      <c r="E500" t="s">
        <v>47</v>
      </c>
      <c r="F500" t="s">
        <v>48</v>
      </c>
      <c r="G500" t="s">
        <v>42</v>
      </c>
      <c r="H500">
        <v>744</v>
      </c>
      <c r="I500">
        <v>50</v>
      </c>
      <c r="J500">
        <v>100</v>
      </c>
      <c r="K500" t="s">
        <v>20</v>
      </c>
      <c r="L500">
        <v>56</v>
      </c>
      <c r="M500" t="s">
        <v>21</v>
      </c>
      <c r="N500">
        <f>COUNTIF(order_data[Order_ID],order_data[[#This Row],[Order_ID]])</f>
        <v>1</v>
      </c>
      <c r="O500">
        <f>order_data[[#This Row],[Order_Value]]-order_data[[#This Row],[Discount]]</f>
        <v>644</v>
      </c>
      <c r="P500">
        <f>order_data[[#This Row],[Order_Value]]+order_data[[#This Row],[Delivery_Fee]]-order_data[[#This Row],[Discount]]</f>
        <v>694</v>
      </c>
      <c r="Q500" t="str">
        <f>TEXT(order_data[[#This Row],[Order_Date]],"mmm")</f>
        <v>Jan</v>
      </c>
      <c r="R500">
        <f>MONTH(order_data[[#This Row],[Order_Date]])</f>
        <v>1</v>
      </c>
    </row>
    <row r="501" spans="1:18" x14ac:dyDescent="0.35">
      <c r="A501" t="s">
        <v>998</v>
      </c>
      <c r="B501" t="s">
        <v>65</v>
      </c>
      <c r="C501" t="s">
        <v>967</v>
      </c>
      <c r="D501" t="s">
        <v>53</v>
      </c>
      <c r="E501" t="s">
        <v>152</v>
      </c>
      <c r="F501" t="s">
        <v>18</v>
      </c>
      <c r="G501" t="s">
        <v>176</v>
      </c>
      <c r="H501">
        <v>329</v>
      </c>
      <c r="I501">
        <v>50</v>
      </c>
      <c r="J501">
        <v>50</v>
      </c>
      <c r="K501" t="s">
        <v>29</v>
      </c>
      <c r="L501">
        <v>57</v>
      </c>
      <c r="M501" t="s">
        <v>21</v>
      </c>
      <c r="N501">
        <f>COUNTIF(order_data[Order_ID],order_data[[#This Row],[Order_ID]])</f>
        <v>1</v>
      </c>
      <c r="O501">
        <f>order_data[[#This Row],[Order_Value]]-order_data[[#This Row],[Discount]]</f>
        <v>279</v>
      </c>
      <c r="P501">
        <f>order_data[[#This Row],[Order_Value]]+order_data[[#This Row],[Delivery_Fee]]-order_data[[#This Row],[Discount]]</f>
        <v>329</v>
      </c>
      <c r="Q501" t="str">
        <f>TEXT(order_data[[#This Row],[Order_Date]],"mmm")</f>
        <v>Mar</v>
      </c>
      <c r="R501">
        <f>MONTH(order_data[[#This Row],[Order_Date]])</f>
        <v>3</v>
      </c>
    </row>
    <row r="502" spans="1:18" x14ac:dyDescent="0.35">
      <c r="A502" t="s">
        <v>999</v>
      </c>
      <c r="B502" t="s">
        <v>252</v>
      </c>
      <c r="C502" t="s">
        <v>1000</v>
      </c>
      <c r="D502" t="s">
        <v>25</v>
      </c>
      <c r="E502" t="s">
        <v>78</v>
      </c>
      <c r="F502" t="s">
        <v>48</v>
      </c>
      <c r="G502" t="s">
        <v>35</v>
      </c>
      <c r="H502">
        <v>666</v>
      </c>
      <c r="I502">
        <v>30</v>
      </c>
      <c r="J502">
        <v>20</v>
      </c>
      <c r="K502" t="s">
        <v>20</v>
      </c>
      <c r="L502">
        <v>42</v>
      </c>
      <c r="M502" t="s">
        <v>21</v>
      </c>
      <c r="N502">
        <f>COUNTIF(order_data[Order_ID],order_data[[#This Row],[Order_ID]])</f>
        <v>1</v>
      </c>
      <c r="O502">
        <f>order_data[[#This Row],[Order_Value]]-order_data[[#This Row],[Discount]]</f>
        <v>646</v>
      </c>
      <c r="P502">
        <f>order_data[[#This Row],[Order_Value]]+order_data[[#This Row],[Delivery_Fee]]-order_data[[#This Row],[Discount]]</f>
        <v>676</v>
      </c>
      <c r="Q502" t="str">
        <f>TEXT(order_data[[#This Row],[Order_Date]],"mmm")</f>
        <v>Jan</v>
      </c>
      <c r="R502">
        <f>MONTH(order_data[[#This Row],[Order_Date]])</f>
        <v>1</v>
      </c>
    </row>
    <row r="503" spans="1:18" x14ac:dyDescent="0.35">
      <c r="A503" t="s">
        <v>1001</v>
      </c>
      <c r="B503" t="s">
        <v>76</v>
      </c>
      <c r="C503" t="s">
        <v>879</v>
      </c>
      <c r="D503" t="s">
        <v>16</v>
      </c>
      <c r="E503" t="s">
        <v>17</v>
      </c>
      <c r="F503" t="s">
        <v>18</v>
      </c>
      <c r="G503" t="s">
        <v>74</v>
      </c>
      <c r="H503">
        <v>646</v>
      </c>
      <c r="I503">
        <v>30</v>
      </c>
      <c r="J503">
        <v>20</v>
      </c>
      <c r="K503" t="s">
        <v>20</v>
      </c>
      <c r="L503">
        <v>29</v>
      </c>
      <c r="M503" t="s">
        <v>21</v>
      </c>
      <c r="N503">
        <f>COUNTIF(order_data[Order_ID],order_data[[#This Row],[Order_ID]])</f>
        <v>1</v>
      </c>
      <c r="O503">
        <f>order_data[[#This Row],[Order_Value]]-order_data[[#This Row],[Discount]]</f>
        <v>626</v>
      </c>
      <c r="P503">
        <f>order_data[[#This Row],[Order_Value]]+order_data[[#This Row],[Delivery_Fee]]-order_data[[#This Row],[Discount]]</f>
        <v>656</v>
      </c>
      <c r="Q503" t="str">
        <f>TEXT(order_data[[#This Row],[Order_Date]],"mmm")</f>
        <v>Feb</v>
      </c>
      <c r="R503">
        <f>MONTH(order_data[[#This Row],[Order_Date]])</f>
        <v>2</v>
      </c>
    </row>
    <row r="504" spans="1:18" x14ac:dyDescent="0.35">
      <c r="A504" t="s">
        <v>1002</v>
      </c>
      <c r="B504" t="s">
        <v>305</v>
      </c>
      <c r="C504" t="s">
        <v>307</v>
      </c>
      <c r="D504" t="s">
        <v>16</v>
      </c>
      <c r="E504" t="s">
        <v>89</v>
      </c>
      <c r="F504" t="s">
        <v>18</v>
      </c>
      <c r="G504" t="s">
        <v>19</v>
      </c>
      <c r="H504">
        <v>595</v>
      </c>
      <c r="I504">
        <v>30</v>
      </c>
      <c r="J504">
        <v>50</v>
      </c>
      <c r="K504" t="s">
        <v>29</v>
      </c>
      <c r="L504">
        <v>22</v>
      </c>
      <c r="M504" t="s">
        <v>21</v>
      </c>
      <c r="N504">
        <f>COUNTIF(order_data[Order_ID],order_data[[#This Row],[Order_ID]])</f>
        <v>1</v>
      </c>
      <c r="O504">
        <f>order_data[[#This Row],[Order_Value]]-order_data[[#This Row],[Discount]]</f>
        <v>545</v>
      </c>
      <c r="P504">
        <f>order_data[[#This Row],[Order_Value]]+order_data[[#This Row],[Delivery_Fee]]-order_data[[#This Row],[Discount]]</f>
        <v>575</v>
      </c>
      <c r="Q504" t="str">
        <f>TEXT(order_data[[#This Row],[Order_Date]],"mmm")</f>
        <v>Jan</v>
      </c>
      <c r="R504">
        <f>MONTH(order_data[[#This Row],[Order_Date]])</f>
        <v>1</v>
      </c>
    </row>
    <row r="505" spans="1:18" x14ac:dyDescent="0.35">
      <c r="A505" t="s">
        <v>1003</v>
      </c>
      <c r="B505" t="s">
        <v>368</v>
      </c>
      <c r="C505" t="s">
        <v>259</v>
      </c>
      <c r="D505" t="s">
        <v>40</v>
      </c>
      <c r="E505" t="s">
        <v>41</v>
      </c>
      <c r="F505" t="s">
        <v>27</v>
      </c>
      <c r="G505" t="s">
        <v>42</v>
      </c>
      <c r="H505">
        <v>258</v>
      </c>
      <c r="I505">
        <v>50</v>
      </c>
      <c r="J505">
        <v>20</v>
      </c>
      <c r="K505" t="s">
        <v>29</v>
      </c>
      <c r="L505">
        <v>31</v>
      </c>
      <c r="M505" t="s">
        <v>21</v>
      </c>
      <c r="N505">
        <f>COUNTIF(order_data[Order_ID],order_data[[#This Row],[Order_ID]])</f>
        <v>1</v>
      </c>
      <c r="O505">
        <f>order_data[[#This Row],[Order_Value]]-order_data[[#This Row],[Discount]]</f>
        <v>238</v>
      </c>
      <c r="P505">
        <f>order_data[[#This Row],[Order_Value]]+order_data[[#This Row],[Delivery_Fee]]-order_data[[#This Row],[Discount]]</f>
        <v>288</v>
      </c>
      <c r="Q505" t="str">
        <f>TEXT(order_data[[#This Row],[Order_Date]],"mmm")</f>
        <v>Feb</v>
      </c>
      <c r="R505">
        <f>MONTH(order_data[[#This Row],[Order_Date]])</f>
        <v>2</v>
      </c>
    </row>
    <row r="506" spans="1:18" x14ac:dyDescent="0.35">
      <c r="A506" t="s">
        <v>1004</v>
      </c>
      <c r="B506" t="s">
        <v>192</v>
      </c>
      <c r="C506" t="s">
        <v>529</v>
      </c>
      <c r="D506" t="s">
        <v>16</v>
      </c>
      <c r="E506" t="s">
        <v>89</v>
      </c>
      <c r="F506" t="s">
        <v>18</v>
      </c>
      <c r="G506" t="s">
        <v>107</v>
      </c>
      <c r="H506">
        <v>669</v>
      </c>
      <c r="I506">
        <v>30</v>
      </c>
      <c r="J506">
        <v>30</v>
      </c>
      <c r="K506" t="s">
        <v>20</v>
      </c>
      <c r="L506">
        <v>41</v>
      </c>
      <c r="M506" t="s">
        <v>21</v>
      </c>
      <c r="N506">
        <f>COUNTIF(order_data[Order_ID],order_data[[#This Row],[Order_ID]])</f>
        <v>1</v>
      </c>
      <c r="O506">
        <f>order_data[[#This Row],[Order_Value]]-order_data[[#This Row],[Discount]]</f>
        <v>639</v>
      </c>
      <c r="P506">
        <f>order_data[[#This Row],[Order_Value]]+order_data[[#This Row],[Delivery_Fee]]-order_data[[#This Row],[Discount]]</f>
        <v>669</v>
      </c>
      <c r="Q506" t="str">
        <f>TEXT(order_data[[#This Row],[Order_Date]],"mmm")</f>
        <v>Mar</v>
      </c>
      <c r="R506">
        <f>MONTH(order_data[[#This Row],[Order_Date]])</f>
        <v>3</v>
      </c>
    </row>
    <row r="507" spans="1:18" x14ac:dyDescent="0.35">
      <c r="A507" t="s">
        <v>1005</v>
      </c>
      <c r="B507" t="s">
        <v>449</v>
      </c>
      <c r="C507" t="s">
        <v>1006</v>
      </c>
      <c r="D507" t="s">
        <v>16</v>
      </c>
      <c r="E507" t="s">
        <v>131</v>
      </c>
      <c r="F507" t="s">
        <v>55</v>
      </c>
      <c r="G507" t="s">
        <v>42</v>
      </c>
      <c r="H507">
        <v>308</v>
      </c>
      <c r="I507">
        <v>20</v>
      </c>
      <c r="J507">
        <v>30</v>
      </c>
      <c r="K507" t="s">
        <v>29</v>
      </c>
      <c r="L507">
        <v>50</v>
      </c>
      <c r="M507" t="s">
        <v>21</v>
      </c>
      <c r="N507">
        <f>COUNTIF(order_data[Order_ID],order_data[[#This Row],[Order_ID]])</f>
        <v>1</v>
      </c>
      <c r="O507">
        <f>order_data[[#This Row],[Order_Value]]-order_data[[#This Row],[Discount]]</f>
        <v>278</v>
      </c>
      <c r="P507">
        <f>order_data[[#This Row],[Order_Value]]+order_data[[#This Row],[Delivery_Fee]]-order_data[[#This Row],[Discount]]</f>
        <v>298</v>
      </c>
      <c r="Q507" t="str">
        <f>TEXT(order_data[[#This Row],[Order_Date]],"mmm")</f>
        <v>Mar</v>
      </c>
      <c r="R507">
        <f>MONTH(order_data[[#This Row],[Order_Date]])</f>
        <v>3</v>
      </c>
    </row>
    <row r="508" spans="1:18" x14ac:dyDescent="0.35">
      <c r="A508" t="s">
        <v>1007</v>
      </c>
      <c r="B508" t="s">
        <v>65</v>
      </c>
      <c r="C508" t="s">
        <v>478</v>
      </c>
      <c r="D508" t="s">
        <v>40</v>
      </c>
      <c r="E508" t="s">
        <v>67</v>
      </c>
      <c r="F508" t="s">
        <v>48</v>
      </c>
      <c r="G508" t="s">
        <v>59</v>
      </c>
      <c r="H508">
        <v>745</v>
      </c>
      <c r="I508">
        <v>30</v>
      </c>
      <c r="J508">
        <v>50</v>
      </c>
      <c r="K508" t="s">
        <v>36</v>
      </c>
      <c r="L508">
        <v>57</v>
      </c>
      <c r="M508" t="s">
        <v>21</v>
      </c>
      <c r="N508">
        <f>COUNTIF(order_data[Order_ID],order_data[[#This Row],[Order_ID]])</f>
        <v>1</v>
      </c>
      <c r="O508">
        <f>order_data[[#This Row],[Order_Value]]-order_data[[#This Row],[Discount]]</f>
        <v>695</v>
      </c>
      <c r="P508">
        <f>order_data[[#This Row],[Order_Value]]+order_data[[#This Row],[Delivery_Fee]]-order_data[[#This Row],[Discount]]</f>
        <v>725</v>
      </c>
      <c r="Q508" t="str">
        <f>TEXT(order_data[[#This Row],[Order_Date]],"mmm")</f>
        <v>Mar</v>
      </c>
      <c r="R508">
        <f>MONTH(order_data[[#This Row],[Order_Date]])</f>
        <v>3</v>
      </c>
    </row>
    <row r="509" spans="1:18" x14ac:dyDescent="0.35">
      <c r="A509" t="s">
        <v>1008</v>
      </c>
      <c r="B509" t="s">
        <v>133</v>
      </c>
      <c r="C509" t="s">
        <v>409</v>
      </c>
      <c r="D509" t="s">
        <v>40</v>
      </c>
      <c r="E509" t="s">
        <v>67</v>
      </c>
      <c r="F509" t="s">
        <v>48</v>
      </c>
      <c r="G509" t="s">
        <v>107</v>
      </c>
      <c r="H509">
        <v>262</v>
      </c>
      <c r="I509">
        <v>40</v>
      </c>
      <c r="J509">
        <v>30</v>
      </c>
      <c r="K509" t="s">
        <v>29</v>
      </c>
      <c r="L509">
        <v>26</v>
      </c>
      <c r="M509" t="s">
        <v>21</v>
      </c>
      <c r="N509">
        <f>COUNTIF(order_data[Order_ID],order_data[[#This Row],[Order_ID]])</f>
        <v>1</v>
      </c>
      <c r="O509">
        <f>order_data[[#This Row],[Order_Value]]-order_data[[#This Row],[Discount]]</f>
        <v>232</v>
      </c>
      <c r="P509">
        <f>order_data[[#This Row],[Order_Value]]+order_data[[#This Row],[Delivery_Fee]]-order_data[[#This Row],[Discount]]</f>
        <v>272</v>
      </c>
      <c r="Q509" t="str">
        <f>TEXT(order_data[[#This Row],[Order_Date]],"mmm")</f>
        <v>Mar</v>
      </c>
      <c r="R509">
        <f>MONTH(order_data[[#This Row],[Order_Date]])</f>
        <v>3</v>
      </c>
    </row>
    <row r="510" spans="1:18" x14ac:dyDescent="0.35">
      <c r="A510" t="s">
        <v>1009</v>
      </c>
      <c r="B510" t="s">
        <v>218</v>
      </c>
      <c r="C510" t="s">
        <v>640</v>
      </c>
      <c r="D510" t="s">
        <v>53</v>
      </c>
      <c r="E510" t="s">
        <v>84</v>
      </c>
      <c r="F510" t="s">
        <v>85</v>
      </c>
      <c r="G510" t="s">
        <v>49</v>
      </c>
      <c r="H510">
        <v>346</v>
      </c>
      <c r="I510">
        <v>20</v>
      </c>
      <c r="J510">
        <v>50</v>
      </c>
      <c r="K510" t="s">
        <v>36</v>
      </c>
      <c r="L510">
        <v>50</v>
      </c>
      <c r="M510" t="s">
        <v>21</v>
      </c>
      <c r="N510">
        <f>COUNTIF(order_data[Order_ID],order_data[[#This Row],[Order_ID]])</f>
        <v>1</v>
      </c>
      <c r="O510">
        <f>order_data[[#This Row],[Order_Value]]-order_data[[#This Row],[Discount]]</f>
        <v>296</v>
      </c>
      <c r="P510">
        <f>order_data[[#This Row],[Order_Value]]+order_data[[#This Row],[Delivery_Fee]]-order_data[[#This Row],[Discount]]</f>
        <v>316</v>
      </c>
      <c r="Q510" t="str">
        <f>TEXT(order_data[[#This Row],[Order_Date]],"mmm")</f>
        <v>Feb</v>
      </c>
      <c r="R510">
        <f>MONTH(order_data[[#This Row],[Order_Date]])</f>
        <v>2</v>
      </c>
    </row>
    <row r="511" spans="1:18" x14ac:dyDescent="0.35">
      <c r="A511" t="s">
        <v>1010</v>
      </c>
      <c r="B511" t="s">
        <v>310</v>
      </c>
      <c r="C511" t="s">
        <v>187</v>
      </c>
      <c r="D511" t="s">
        <v>25</v>
      </c>
      <c r="E511" t="s">
        <v>26</v>
      </c>
      <c r="F511" t="s">
        <v>27</v>
      </c>
      <c r="G511" t="s">
        <v>42</v>
      </c>
      <c r="H511">
        <v>465</v>
      </c>
      <c r="I511">
        <v>50</v>
      </c>
      <c r="J511">
        <v>0</v>
      </c>
      <c r="K511" t="s">
        <v>20</v>
      </c>
      <c r="L511">
        <v>44</v>
      </c>
      <c r="M511" t="s">
        <v>21</v>
      </c>
      <c r="N511">
        <f>COUNTIF(order_data[Order_ID],order_data[[#This Row],[Order_ID]])</f>
        <v>1</v>
      </c>
      <c r="O511">
        <f>order_data[[#This Row],[Order_Value]]-order_data[[#This Row],[Discount]]</f>
        <v>465</v>
      </c>
      <c r="P511">
        <f>order_data[[#This Row],[Order_Value]]+order_data[[#This Row],[Delivery_Fee]]-order_data[[#This Row],[Discount]]</f>
        <v>515</v>
      </c>
      <c r="Q511" t="str">
        <f>TEXT(order_data[[#This Row],[Order_Date]],"mmm")</f>
        <v>Feb</v>
      </c>
      <c r="R511">
        <f>MONTH(order_data[[#This Row],[Order_Date]])</f>
        <v>2</v>
      </c>
    </row>
    <row r="512" spans="1:18" x14ac:dyDescent="0.35">
      <c r="A512" t="s">
        <v>1011</v>
      </c>
      <c r="B512" t="s">
        <v>473</v>
      </c>
      <c r="C512" t="s">
        <v>1012</v>
      </c>
      <c r="D512" t="s">
        <v>46</v>
      </c>
      <c r="E512" t="s">
        <v>47</v>
      </c>
      <c r="F512" t="s">
        <v>48</v>
      </c>
      <c r="G512" t="s">
        <v>59</v>
      </c>
      <c r="H512">
        <v>634</v>
      </c>
      <c r="I512">
        <v>20</v>
      </c>
      <c r="J512">
        <v>20</v>
      </c>
      <c r="K512" t="s">
        <v>36</v>
      </c>
      <c r="L512">
        <v>49</v>
      </c>
      <c r="M512" t="s">
        <v>21</v>
      </c>
      <c r="N512">
        <f>COUNTIF(order_data[Order_ID],order_data[[#This Row],[Order_ID]])</f>
        <v>1</v>
      </c>
      <c r="O512">
        <f>order_data[[#This Row],[Order_Value]]-order_data[[#This Row],[Discount]]</f>
        <v>614</v>
      </c>
      <c r="P512">
        <f>order_data[[#This Row],[Order_Value]]+order_data[[#This Row],[Delivery_Fee]]-order_data[[#This Row],[Discount]]</f>
        <v>634</v>
      </c>
      <c r="Q512" t="str">
        <f>TEXT(order_data[[#This Row],[Order_Date]],"mmm")</f>
        <v>Mar</v>
      </c>
      <c r="R512">
        <f>MONTH(order_data[[#This Row],[Order_Date]])</f>
        <v>3</v>
      </c>
    </row>
    <row r="513" spans="1:18" x14ac:dyDescent="0.35">
      <c r="A513" t="s">
        <v>1013</v>
      </c>
      <c r="B513" t="s">
        <v>126</v>
      </c>
      <c r="C513" t="s">
        <v>1014</v>
      </c>
      <c r="D513" t="s">
        <v>46</v>
      </c>
      <c r="E513" t="s">
        <v>47</v>
      </c>
      <c r="F513" t="s">
        <v>48</v>
      </c>
      <c r="G513" t="s">
        <v>63</v>
      </c>
      <c r="H513">
        <v>625</v>
      </c>
      <c r="I513">
        <v>30</v>
      </c>
      <c r="J513">
        <v>50</v>
      </c>
      <c r="K513" t="s">
        <v>20</v>
      </c>
      <c r="L513">
        <v>24</v>
      </c>
      <c r="M513" t="s">
        <v>21</v>
      </c>
      <c r="N513">
        <f>COUNTIF(order_data[Order_ID],order_data[[#This Row],[Order_ID]])</f>
        <v>1</v>
      </c>
      <c r="O513">
        <f>order_data[[#This Row],[Order_Value]]-order_data[[#This Row],[Discount]]</f>
        <v>575</v>
      </c>
      <c r="P513">
        <f>order_data[[#This Row],[Order_Value]]+order_data[[#This Row],[Delivery_Fee]]-order_data[[#This Row],[Discount]]</f>
        <v>605</v>
      </c>
      <c r="Q513" t="str">
        <f>TEXT(order_data[[#This Row],[Order_Date]],"mmm")</f>
        <v>Mar</v>
      </c>
      <c r="R513">
        <f>MONTH(order_data[[#This Row],[Order_Date]])</f>
        <v>3</v>
      </c>
    </row>
    <row r="514" spans="1:18" x14ac:dyDescent="0.35">
      <c r="A514" t="s">
        <v>1015</v>
      </c>
      <c r="B514" t="s">
        <v>61</v>
      </c>
      <c r="C514" t="s">
        <v>1016</v>
      </c>
      <c r="D514" t="s">
        <v>40</v>
      </c>
      <c r="E514" t="s">
        <v>111</v>
      </c>
      <c r="F514" t="s">
        <v>18</v>
      </c>
      <c r="G514" t="s">
        <v>59</v>
      </c>
      <c r="H514">
        <v>768</v>
      </c>
      <c r="I514">
        <v>40</v>
      </c>
      <c r="J514">
        <v>20</v>
      </c>
      <c r="K514" t="s">
        <v>20</v>
      </c>
      <c r="L514">
        <v>40</v>
      </c>
      <c r="M514" t="s">
        <v>21</v>
      </c>
      <c r="N514">
        <f>COUNTIF(order_data[Order_ID],order_data[[#This Row],[Order_ID]])</f>
        <v>1</v>
      </c>
      <c r="O514">
        <f>order_data[[#This Row],[Order_Value]]-order_data[[#This Row],[Discount]]</f>
        <v>748</v>
      </c>
      <c r="P514">
        <f>order_data[[#This Row],[Order_Value]]+order_data[[#This Row],[Delivery_Fee]]-order_data[[#This Row],[Discount]]</f>
        <v>788</v>
      </c>
      <c r="Q514" t="str">
        <f>TEXT(order_data[[#This Row],[Order_Date]],"mmm")</f>
        <v>Jan</v>
      </c>
      <c r="R514">
        <f>MONTH(order_data[[#This Row],[Order_Date]])</f>
        <v>1</v>
      </c>
    </row>
    <row r="515" spans="1:18" x14ac:dyDescent="0.35">
      <c r="A515" t="s">
        <v>1017</v>
      </c>
      <c r="B515" t="s">
        <v>368</v>
      </c>
      <c r="C515" t="s">
        <v>407</v>
      </c>
      <c r="D515" t="s">
        <v>40</v>
      </c>
      <c r="E515" t="s">
        <v>67</v>
      </c>
      <c r="F515" t="s">
        <v>48</v>
      </c>
      <c r="G515" t="s">
        <v>49</v>
      </c>
      <c r="H515">
        <v>339</v>
      </c>
      <c r="I515">
        <v>40</v>
      </c>
      <c r="J515">
        <v>50</v>
      </c>
      <c r="K515" t="s">
        <v>36</v>
      </c>
      <c r="L515">
        <v>34</v>
      </c>
      <c r="M515" t="s">
        <v>21</v>
      </c>
      <c r="N515">
        <f>COUNTIF(order_data[Order_ID],order_data[[#This Row],[Order_ID]])</f>
        <v>1</v>
      </c>
      <c r="O515">
        <f>order_data[[#This Row],[Order_Value]]-order_data[[#This Row],[Discount]]</f>
        <v>289</v>
      </c>
      <c r="P515">
        <f>order_data[[#This Row],[Order_Value]]+order_data[[#This Row],[Delivery_Fee]]-order_data[[#This Row],[Discount]]</f>
        <v>329</v>
      </c>
      <c r="Q515" t="str">
        <f>TEXT(order_data[[#This Row],[Order_Date]],"mmm")</f>
        <v>Feb</v>
      </c>
      <c r="R515">
        <f>MONTH(order_data[[#This Row],[Order_Date]])</f>
        <v>2</v>
      </c>
    </row>
    <row r="516" spans="1:18" x14ac:dyDescent="0.35">
      <c r="A516" t="s">
        <v>1018</v>
      </c>
      <c r="B516" t="s">
        <v>223</v>
      </c>
      <c r="C516" t="s">
        <v>58</v>
      </c>
      <c r="D516" t="s">
        <v>40</v>
      </c>
      <c r="E516" t="s">
        <v>67</v>
      </c>
      <c r="F516" t="s">
        <v>48</v>
      </c>
      <c r="G516" t="s">
        <v>74</v>
      </c>
      <c r="H516">
        <v>154</v>
      </c>
      <c r="I516">
        <v>20</v>
      </c>
      <c r="J516">
        <v>100</v>
      </c>
      <c r="K516" t="s">
        <v>36</v>
      </c>
      <c r="L516">
        <v>21</v>
      </c>
      <c r="M516" t="s">
        <v>21</v>
      </c>
      <c r="N516">
        <f>COUNTIF(order_data[Order_ID],order_data[[#This Row],[Order_ID]])</f>
        <v>1</v>
      </c>
      <c r="O516">
        <f>order_data[[#This Row],[Order_Value]]-order_data[[#This Row],[Discount]]</f>
        <v>54</v>
      </c>
      <c r="P516">
        <f>order_data[[#This Row],[Order_Value]]+order_data[[#This Row],[Delivery_Fee]]-order_data[[#This Row],[Discount]]</f>
        <v>74</v>
      </c>
      <c r="Q516" t="str">
        <f>TEXT(order_data[[#This Row],[Order_Date]],"mmm")</f>
        <v>Mar</v>
      </c>
      <c r="R516">
        <f>MONTH(order_data[[#This Row],[Order_Date]])</f>
        <v>3</v>
      </c>
    </row>
    <row r="517" spans="1:18" x14ac:dyDescent="0.35">
      <c r="A517" t="s">
        <v>1019</v>
      </c>
      <c r="B517" t="s">
        <v>218</v>
      </c>
      <c r="C517" t="s">
        <v>478</v>
      </c>
      <c r="D517" t="s">
        <v>25</v>
      </c>
      <c r="E517" t="s">
        <v>78</v>
      </c>
      <c r="F517" t="s">
        <v>48</v>
      </c>
      <c r="G517" t="s">
        <v>49</v>
      </c>
      <c r="H517">
        <v>671</v>
      </c>
      <c r="I517">
        <v>50</v>
      </c>
      <c r="J517">
        <v>0</v>
      </c>
      <c r="K517" t="s">
        <v>36</v>
      </c>
      <c r="L517">
        <v>44</v>
      </c>
      <c r="M517" t="s">
        <v>21</v>
      </c>
      <c r="N517">
        <f>COUNTIF(order_data[Order_ID],order_data[[#This Row],[Order_ID]])</f>
        <v>1</v>
      </c>
      <c r="O517">
        <f>order_data[[#This Row],[Order_Value]]-order_data[[#This Row],[Discount]]</f>
        <v>671</v>
      </c>
      <c r="P517">
        <f>order_data[[#This Row],[Order_Value]]+order_data[[#This Row],[Delivery_Fee]]-order_data[[#This Row],[Discount]]</f>
        <v>721</v>
      </c>
      <c r="Q517" t="str">
        <f>TEXT(order_data[[#This Row],[Order_Date]],"mmm")</f>
        <v>Feb</v>
      </c>
      <c r="R517">
        <f>MONTH(order_data[[#This Row],[Order_Date]])</f>
        <v>2</v>
      </c>
    </row>
    <row r="518" spans="1:18" x14ac:dyDescent="0.35">
      <c r="A518" t="s">
        <v>1020</v>
      </c>
      <c r="B518" t="s">
        <v>297</v>
      </c>
      <c r="C518" t="s">
        <v>979</v>
      </c>
      <c r="D518" t="s">
        <v>40</v>
      </c>
      <c r="E518" t="s">
        <v>111</v>
      </c>
      <c r="F518" t="s">
        <v>18</v>
      </c>
      <c r="G518" t="s">
        <v>19</v>
      </c>
      <c r="H518">
        <v>752</v>
      </c>
      <c r="I518">
        <v>30</v>
      </c>
      <c r="J518">
        <v>30</v>
      </c>
      <c r="K518" t="s">
        <v>20</v>
      </c>
      <c r="L518">
        <v>58</v>
      </c>
      <c r="M518" t="s">
        <v>21</v>
      </c>
      <c r="N518">
        <f>COUNTIF(order_data[Order_ID],order_data[[#This Row],[Order_ID]])</f>
        <v>1</v>
      </c>
      <c r="O518">
        <f>order_data[[#This Row],[Order_Value]]-order_data[[#This Row],[Discount]]</f>
        <v>722</v>
      </c>
      <c r="P518">
        <f>order_data[[#This Row],[Order_Value]]+order_data[[#This Row],[Delivery_Fee]]-order_data[[#This Row],[Discount]]</f>
        <v>752</v>
      </c>
      <c r="Q518" t="str">
        <f>TEXT(order_data[[#This Row],[Order_Date]],"mmm")</f>
        <v>Feb</v>
      </c>
      <c r="R518">
        <f>MONTH(order_data[[#This Row],[Order_Date]])</f>
        <v>2</v>
      </c>
    </row>
    <row r="519" spans="1:18" x14ac:dyDescent="0.35">
      <c r="A519" t="s">
        <v>1021</v>
      </c>
      <c r="B519" t="s">
        <v>76</v>
      </c>
      <c r="C519" t="s">
        <v>1022</v>
      </c>
      <c r="D519" t="s">
        <v>46</v>
      </c>
      <c r="E519" t="s">
        <v>70</v>
      </c>
      <c r="F519" t="s">
        <v>18</v>
      </c>
      <c r="G519" t="s">
        <v>63</v>
      </c>
      <c r="H519">
        <v>531</v>
      </c>
      <c r="I519">
        <v>40</v>
      </c>
      <c r="J519">
        <v>20</v>
      </c>
      <c r="K519" t="s">
        <v>20</v>
      </c>
      <c r="L519">
        <v>45</v>
      </c>
      <c r="M519" t="s">
        <v>21</v>
      </c>
      <c r="N519">
        <f>COUNTIF(order_data[Order_ID],order_data[[#This Row],[Order_ID]])</f>
        <v>1</v>
      </c>
      <c r="O519">
        <f>order_data[[#This Row],[Order_Value]]-order_data[[#This Row],[Discount]]</f>
        <v>511</v>
      </c>
      <c r="P519">
        <f>order_data[[#This Row],[Order_Value]]+order_data[[#This Row],[Delivery_Fee]]-order_data[[#This Row],[Discount]]</f>
        <v>551</v>
      </c>
      <c r="Q519" t="str">
        <f>TEXT(order_data[[#This Row],[Order_Date]],"mmm")</f>
        <v>Feb</v>
      </c>
      <c r="R519">
        <f>MONTH(order_data[[#This Row],[Order_Date]])</f>
        <v>2</v>
      </c>
    </row>
    <row r="520" spans="1:18" x14ac:dyDescent="0.35">
      <c r="A520" t="s">
        <v>1023</v>
      </c>
      <c r="B520" t="s">
        <v>105</v>
      </c>
      <c r="C520" t="s">
        <v>1024</v>
      </c>
      <c r="D520" t="s">
        <v>46</v>
      </c>
      <c r="E520" t="s">
        <v>148</v>
      </c>
      <c r="F520" t="s">
        <v>27</v>
      </c>
      <c r="G520" t="s">
        <v>49</v>
      </c>
      <c r="H520">
        <v>419</v>
      </c>
      <c r="I520">
        <v>50</v>
      </c>
      <c r="J520">
        <v>50</v>
      </c>
      <c r="K520" t="s">
        <v>36</v>
      </c>
      <c r="L520">
        <v>20</v>
      </c>
      <c r="M520" t="s">
        <v>21</v>
      </c>
      <c r="N520">
        <f>COUNTIF(order_data[Order_ID],order_data[[#This Row],[Order_ID]])</f>
        <v>1</v>
      </c>
      <c r="O520">
        <f>order_data[[#This Row],[Order_Value]]-order_data[[#This Row],[Discount]]</f>
        <v>369</v>
      </c>
      <c r="P520">
        <f>order_data[[#This Row],[Order_Value]]+order_data[[#This Row],[Delivery_Fee]]-order_data[[#This Row],[Discount]]</f>
        <v>419</v>
      </c>
      <c r="Q520" t="str">
        <f>TEXT(order_data[[#This Row],[Order_Date]],"mmm")</f>
        <v>Mar</v>
      </c>
      <c r="R520">
        <f>MONTH(order_data[[#This Row],[Order_Date]])</f>
        <v>3</v>
      </c>
    </row>
    <row r="521" spans="1:18" x14ac:dyDescent="0.35">
      <c r="A521" t="s">
        <v>1025</v>
      </c>
      <c r="B521" t="s">
        <v>118</v>
      </c>
      <c r="C521" t="s">
        <v>1026</v>
      </c>
      <c r="D521" t="s">
        <v>25</v>
      </c>
      <c r="E521" t="s">
        <v>78</v>
      </c>
      <c r="F521" t="s">
        <v>48</v>
      </c>
      <c r="G521" t="s">
        <v>42</v>
      </c>
      <c r="H521">
        <v>697</v>
      </c>
      <c r="I521">
        <v>30</v>
      </c>
      <c r="J521">
        <v>0</v>
      </c>
      <c r="K521" t="s">
        <v>36</v>
      </c>
      <c r="L521">
        <v>34</v>
      </c>
      <c r="M521" t="s">
        <v>21</v>
      </c>
      <c r="N521">
        <f>COUNTIF(order_data[Order_ID],order_data[[#This Row],[Order_ID]])</f>
        <v>1</v>
      </c>
      <c r="O521">
        <f>order_data[[#This Row],[Order_Value]]-order_data[[#This Row],[Discount]]</f>
        <v>697</v>
      </c>
      <c r="P521">
        <f>order_data[[#This Row],[Order_Value]]+order_data[[#This Row],[Delivery_Fee]]-order_data[[#This Row],[Discount]]</f>
        <v>727</v>
      </c>
      <c r="Q521" t="str">
        <f>TEXT(order_data[[#This Row],[Order_Date]],"mmm")</f>
        <v>Mar</v>
      </c>
      <c r="R521">
        <f>MONTH(order_data[[#This Row],[Order_Date]])</f>
        <v>3</v>
      </c>
    </row>
    <row r="522" spans="1:18" x14ac:dyDescent="0.35">
      <c r="A522" t="s">
        <v>1027</v>
      </c>
      <c r="B522" t="s">
        <v>218</v>
      </c>
      <c r="C522" t="s">
        <v>487</v>
      </c>
      <c r="D522" t="s">
        <v>25</v>
      </c>
      <c r="E522" t="s">
        <v>26</v>
      </c>
      <c r="F522" t="s">
        <v>27</v>
      </c>
      <c r="G522" t="s">
        <v>42</v>
      </c>
      <c r="H522">
        <v>443</v>
      </c>
      <c r="I522">
        <v>50</v>
      </c>
      <c r="J522">
        <v>30</v>
      </c>
      <c r="K522" t="s">
        <v>29</v>
      </c>
      <c r="L522">
        <v>24</v>
      </c>
      <c r="M522" t="s">
        <v>21</v>
      </c>
      <c r="N522">
        <f>COUNTIF(order_data[Order_ID],order_data[[#This Row],[Order_ID]])</f>
        <v>1</v>
      </c>
      <c r="O522">
        <f>order_data[[#This Row],[Order_Value]]-order_data[[#This Row],[Discount]]</f>
        <v>413</v>
      </c>
      <c r="P522">
        <f>order_data[[#This Row],[Order_Value]]+order_data[[#This Row],[Delivery_Fee]]-order_data[[#This Row],[Discount]]</f>
        <v>463</v>
      </c>
      <c r="Q522" t="str">
        <f>TEXT(order_data[[#This Row],[Order_Date]],"mmm")</f>
        <v>Feb</v>
      </c>
      <c r="R522">
        <f>MONTH(order_data[[#This Row],[Order_Date]])</f>
        <v>2</v>
      </c>
    </row>
    <row r="523" spans="1:18" x14ac:dyDescent="0.35">
      <c r="A523" t="s">
        <v>1028</v>
      </c>
      <c r="B523" t="s">
        <v>121</v>
      </c>
      <c r="C523" t="s">
        <v>361</v>
      </c>
      <c r="D523" t="s">
        <v>16</v>
      </c>
      <c r="E523" t="s">
        <v>17</v>
      </c>
      <c r="F523" t="s">
        <v>18</v>
      </c>
      <c r="G523" t="s">
        <v>28</v>
      </c>
      <c r="H523">
        <v>581</v>
      </c>
      <c r="I523">
        <v>40</v>
      </c>
      <c r="J523">
        <v>100</v>
      </c>
      <c r="K523" t="s">
        <v>36</v>
      </c>
      <c r="L523">
        <v>32</v>
      </c>
      <c r="M523" t="s">
        <v>21</v>
      </c>
      <c r="N523">
        <f>COUNTIF(order_data[Order_ID],order_data[[#This Row],[Order_ID]])</f>
        <v>1</v>
      </c>
      <c r="O523">
        <f>order_data[[#This Row],[Order_Value]]-order_data[[#This Row],[Discount]]</f>
        <v>481</v>
      </c>
      <c r="P523">
        <f>order_data[[#This Row],[Order_Value]]+order_data[[#This Row],[Delivery_Fee]]-order_data[[#This Row],[Discount]]</f>
        <v>521</v>
      </c>
      <c r="Q523" t="str">
        <f>TEXT(order_data[[#This Row],[Order_Date]],"mmm")</f>
        <v>Feb</v>
      </c>
      <c r="R523">
        <f>MONTH(order_data[[#This Row],[Order_Date]])</f>
        <v>2</v>
      </c>
    </row>
    <row r="524" spans="1:18" x14ac:dyDescent="0.35">
      <c r="A524" t="s">
        <v>1029</v>
      </c>
      <c r="B524" t="s">
        <v>136</v>
      </c>
      <c r="C524" t="s">
        <v>668</v>
      </c>
      <c r="D524" t="s">
        <v>46</v>
      </c>
      <c r="E524" t="s">
        <v>70</v>
      </c>
      <c r="F524" t="s">
        <v>18</v>
      </c>
      <c r="G524" t="s">
        <v>35</v>
      </c>
      <c r="H524">
        <v>538</v>
      </c>
      <c r="I524">
        <v>40</v>
      </c>
      <c r="J524">
        <v>50</v>
      </c>
      <c r="K524" t="s">
        <v>29</v>
      </c>
      <c r="L524">
        <v>40</v>
      </c>
      <c r="M524" t="s">
        <v>21</v>
      </c>
      <c r="N524">
        <f>COUNTIF(order_data[Order_ID],order_data[[#This Row],[Order_ID]])</f>
        <v>1</v>
      </c>
      <c r="O524">
        <f>order_data[[#This Row],[Order_Value]]-order_data[[#This Row],[Discount]]</f>
        <v>488</v>
      </c>
      <c r="P524">
        <f>order_data[[#This Row],[Order_Value]]+order_data[[#This Row],[Delivery_Fee]]-order_data[[#This Row],[Discount]]</f>
        <v>528</v>
      </c>
      <c r="Q524" t="str">
        <f>TEXT(order_data[[#This Row],[Order_Date]],"mmm")</f>
        <v>Feb</v>
      </c>
      <c r="R524">
        <f>MONTH(order_data[[#This Row],[Order_Date]])</f>
        <v>2</v>
      </c>
    </row>
    <row r="525" spans="1:18" x14ac:dyDescent="0.35">
      <c r="A525" t="s">
        <v>1030</v>
      </c>
      <c r="B525" t="s">
        <v>72</v>
      </c>
      <c r="C525" t="s">
        <v>1031</v>
      </c>
      <c r="D525" t="s">
        <v>46</v>
      </c>
      <c r="E525" t="s">
        <v>47</v>
      </c>
      <c r="F525" t="s">
        <v>48</v>
      </c>
      <c r="G525" t="s">
        <v>49</v>
      </c>
      <c r="H525">
        <v>156</v>
      </c>
      <c r="I525">
        <v>40</v>
      </c>
      <c r="J525">
        <v>20</v>
      </c>
      <c r="K525" t="s">
        <v>20</v>
      </c>
      <c r="L525">
        <v>25</v>
      </c>
      <c r="M525" t="s">
        <v>21</v>
      </c>
      <c r="N525">
        <f>COUNTIF(order_data[Order_ID],order_data[[#This Row],[Order_ID]])</f>
        <v>1</v>
      </c>
      <c r="O525">
        <f>order_data[[#This Row],[Order_Value]]-order_data[[#This Row],[Discount]]</f>
        <v>136</v>
      </c>
      <c r="P525">
        <f>order_data[[#This Row],[Order_Value]]+order_data[[#This Row],[Delivery_Fee]]-order_data[[#This Row],[Discount]]</f>
        <v>176</v>
      </c>
      <c r="Q525" t="str">
        <f>TEXT(order_data[[#This Row],[Order_Date]],"mmm")</f>
        <v>Jan</v>
      </c>
      <c r="R525">
        <f>MONTH(order_data[[#This Row],[Order_Date]])</f>
        <v>1</v>
      </c>
    </row>
    <row r="526" spans="1:18" x14ac:dyDescent="0.35">
      <c r="A526" t="s">
        <v>1032</v>
      </c>
      <c r="B526" t="s">
        <v>271</v>
      </c>
      <c r="C526" t="s">
        <v>487</v>
      </c>
      <c r="D526" t="s">
        <v>25</v>
      </c>
      <c r="E526" t="s">
        <v>26</v>
      </c>
      <c r="F526" t="s">
        <v>27</v>
      </c>
      <c r="G526" t="s">
        <v>63</v>
      </c>
      <c r="H526">
        <v>670</v>
      </c>
      <c r="I526">
        <v>40</v>
      </c>
      <c r="J526">
        <v>30</v>
      </c>
      <c r="K526" t="s">
        <v>36</v>
      </c>
      <c r="L526">
        <v>58</v>
      </c>
      <c r="M526" t="s">
        <v>21</v>
      </c>
      <c r="N526">
        <f>COUNTIF(order_data[Order_ID],order_data[[#This Row],[Order_ID]])</f>
        <v>1</v>
      </c>
      <c r="O526">
        <f>order_data[[#This Row],[Order_Value]]-order_data[[#This Row],[Discount]]</f>
        <v>640</v>
      </c>
      <c r="P526">
        <f>order_data[[#This Row],[Order_Value]]+order_data[[#This Row],[Delivery_Fee]]-order_data[[#This Row],[Discount]]</f>
        <v>680</v>
      </c>
      <c r="Q526" t="str">
        <f>TEXT(order_data[[#This Row],[Order_Date]],"mmm")</f>
        <v>Jan</v>
      </c>
      <c r="R526">
        <f>MONTH(order_data[[#This Row],[Order_Date]])</f>
        <v>1</v>
      </c>
    </row>
    <row r="527" spans="1:18" x14ac:dyDescent="0.35">
      <c r="A527" t="s">
        <v>1033</v>
      </c>
      <c r="B527" t="s">
        <v>223</v>
      </c>
      <c r="C527" t="s">
        <v>1034</v>
      </c>
      <c r="D527" t="s">
        <v>53</v>
      </c>
      <c r="E527" t="s">
        <v>54</v>
      </c>
      <c r="F527" t="s">
        <v>55</v>
      </c>
      <c r="G527" t="s">
        <v>42</v>
      </c>
      <c r="H527">
        <v>402</v>
      </c>
      <c r="I527">
        <v>40</v>
      </c>
      <c r="J527">
        <v>30</v>
      </c>
      <c r="K527" t="s">
        <v>20</v>
      </c>
      <c r="L527">
        <v>60</v>
      </c>
      <c r="M527" t="s">
        <v>21</v>
      </c>
      <c r="N527">
        <f>COUNTIF(order_data[Order_ID],order_data[[#This Row],[Order_ID]])</f>
        <v>1</v>
      </c>
      <c r="O527">
        <f>order_data[[#This Row],[Order_Value]]-order_data[[#This Row],[Discount]]</f>
        <v>372</v>
      </c>
      <c r="P527">
        <f>order_data[[#This Row],[Order_Value]]+order_data[[#This Row],[Delivery_Fee]]-order_data[[#This Row],[Discount]]</f>
        <v>412</v>
      </c>
      <c r="Q527" t="str">
        <f>TEXT(order_data[[#This Row],[Order_Date]],"mmm")</f>
        <v>Mar</v>
      </c>
      <c r="R527">
        <f>MONTH(order_data[[#This Row],[Order_Date]])</f>
        <v>3</v>
      </c>
    </row>
    <row r="528" spans="1:18" x14ac:dyDescent="0.35">
      <c r="A528" t="s">
        <v>1035</v>
      </c>
      <c r="B528" t="s">
        <v>435</v>
      </c>
      <c r="C528" t="s">
        <v>208</v>
      </c>
      <c r="D528" t="s">
        <v>46</v>
      </c>
      <c r="E528" t="s">
        <v>47</v>
      </c>
      <c r="F528" t="s">
        <v>48</v>
      </c>
      <c r="G528" t="s">
        <v>63</v>
      </c>
      <c r="H528">
        <v>310</v>
      </c>
      <c r="I528">
        <v>30</v>
      </c>
      <c r="J528">
        <v>20</v>
      </c>
      <c r="K528" t="s">
        <v>20</v>
      </c>
      <c r="L528">
        <v>23</v>
      </c>
      <c r="M528" t="s">
        <v>21</v>
      </c>
      <c r="N528">
        <f>COUNTIF(order_data[Order_ID],order_data[[#This Row],[Order_ID]])</f>
        <v>1</v>
      </c>
      <c r="O528">
        <f>order_data[[#This Row],[Order_Value]]-order_data[[#This Row],[Discount]]</f>
        <v>290</v>
      </c>
      <c r="P528">
        <f>order_data[[#This Row],[Order_Value]]+order_data[[#This Row],[Delivery_Fee]]-order_data[[#This Row],[Discount]]</f>
        <v>320</v>
      </c>
      <c r="Q528" t="str">
        <f>TEXT(order_data[[#This Row],[Order_Date]],"mmm")</f>
        <v>Feb</v>
      </c>
      <c r="R528">
        <f>MONTH(order_data[[#This Row],[Order_Date]])</f>
        <v>2</v>
      </c>
    </row>
    <row r="529" spans="1:18" x14ac:dyDescent="0.35">
      <c r="A529" t="s">
        <v>1036</v>
      </c>
      <c r="B529" t="s">
        <v>379</v>
      </c>
      <c r="C529" t="s">
        <v>1037</v>
      </c>
      <c r="D529" t="s">
        <v>53</v>
      </c>
      <c r="E529" t="s">
        <v>84</v>
      </c>
      <c r="F529" t="s">
        <v>85</v>
      </c>
      <c r="G529" t="s">
        <v>35</v>
      </c>
      <c r="H529">
        <v>190</v>
      </c>
      <c r="I529">
        <v>50</v>
      </c>
      <c r="J529">
        <v>0</v>
      </c>
      <c r="K529" t="s">
        <v>36</v>
      </c>
      <c r="L529">
        <v>29</v>
      </c>
      <c r="M529" t="s">
        <v>21</v>
      </c>
      <c r="N529">
        <f>COUNTIF(order_data[Order_ID],order_data[[#This Row],[Order_ID]])</f>
        <v>1</v>
      </c>
      <c r="O529">
        <f>order_data[[#This Row],[Order_Value]]-order_data[[#This Row],[Discount]]</f>
        <v>190</v>
      </c>
      <c r="P529">
        <f>order_data[[#This Row],[Order_Value]]+order_data[[#This Row],[Delivery_Fee]]-order_data[[#This Row],[Discount]]</f>
        <v>240</v>
      </c>
      <c r="Q529" t="str">
        <f>TEXT(order_data[[#This Row],[Order_Date]],"mmm")</f>
        <v>Mar</v>
      </c>
      <c r="R529">
        <f>MONTH(order_data[[#This Row],[Order_Date]])</f>
        <v>3</v>
      </c>
    </row>
    <row r="530" spans="1:18" x14ac:dyDescent="0.35">
      <c r="A530" t="s">
        <v>1038</v>
      </c>
      <c r="B530" t="s">
        <v>192</v>
      </c>
      <c r="C530" t="s">
        <v>557</v>
      </c>
      <c r="D530" t="s">
        <v>25</v>
      </c>
      <c r="E530" t="s">
        <v>26</v>
      </c>
      <c r="F530" t="s">
        <v>27</v>
      </c>
      <c r="G530" t="s">
        <v>176</v>
      </c>
      <c r="H530">
        <v>750</v>
      </c>
      <c r="I530">
        <v>20</v>
      </c>
      <c r="J530">
        <v>50</v>
      </c>
      <c r="K530" t="s">
        <v>20</v>
      </c>
      <c r="L530">
        <v>22</v>
      </c>
      <c r="M530" t="s">
        <v>21</v>
      </c>
      <c r="N530">
        <f>COUNTIF(order_data[Order_ID],order_data[[#This Row],[Order_ID]])</f>
        <v>1</v>
      </c>
      <c r="O530">
        <f>order_data[[#This Row],[Order_Value]]-order_data[[#This Row],[Discount]]</f>
        <v>700</v>
      </c>
      <c r="P530">
        <f>order_data[[#This Row],[Order_Value]]+order_data[[#This Row],[Delivery_Fee]]-order_data[[#This Row],[Discount]]</f>
        <v>720</v>
      </c>
      <c r="Q530" t="str">
        <f>TEXT(order_data[[#This Row],[Order_Date]],"mmm")</f>
        <v>Mar</v>
      </c>
      <c r="R530">
        <f>MONTH(order_data[[#This Row],[Order_Date]])</f>
        <v>3</v>
      </c>
    </row>
    <row r="531" spans="1:18" x14ac:dyDescent="0.35">
      <c r="A531" t="s">
        <v>1039</v>
      </c>
      <c r="B531" t="s">
        <v>178</v>
      </c>
      <c r="C531" t="s">
        <v>902</v>
      </c>
      <c r="D531" t="s">
        <v>46</v>
      </c>
      <c r="E531" t="s">
        <v>47</v>
      </c>
      <c r="F531" t="s">
        <v>48</v>
      </c>
      <c r="G531" t="s">
        <v>35</v>
      </c>
      <c r="H531">
        <v>649</v>
      </c>
      <c r="I531">
        <v>40</v>
      </c>
      <c r="J531">
        <v>20</v>
      </c>
      <c r="K531" t="s">
        <v>29</v>
      </c>
      <c r="L531">
        <v>30</v>
      </c>
      <c r="M531" t="s">
        <v>21</v>
      </c>
      <c r="N531">
        <f>COUNTIF(order_data[Order_ID],order_data[[#This Row],[Order_ID]])</f>
        <v>1</v>
      </c>
      <c r="O531">
        <f>order_data[[#This Row],[Order_Value]]-order_data[[#This Row],[Discount]]</f>
        <v>629</v>
      </c>
      <c r="P531">
        <f>order_data[[#This Row],[Order_Value]]+order_data[[#This Row],[Delivery_Fee]]-order_data[[#This Row],[Discount]]</f>
        <v>669</v>
      </c>
      <c r="Q531" t="str">
        <f>TEXT(order_data[[#This Row],[Order_Date]],"mmm")</f>
        <v>Feb</v>
      </c>
      <c r="R531">
        <f>MONTH(order_data[[#This Row],[Order_Date]])</f>
        <v>2</v>
      </c>
    </row>
    <row r="532" spans="1:18" x14ac:dyDescent="0.35">
      <c r="A532" t="s">
        <v>1040</v>
      </c>
      <c r="B532" t="s">
        <v>189</v>
      </c>
      <c r="C532" t="s">
        <v>849</v>
      </c>
      <c r="D532" t="s">
        <v>25</v>
      </c>
      <c r="E532" t="s">
        <v>26</v>
      </c>
      <c r="F532" t="s">
        <v>27</v>
      </c>
      <c r="G532" t="s">
        <v>28</v>
      </c>
      <c r="H532">
        <v>752</v>
      </c>
      <c r="I532">
        <v>40</v>
      </c>
      <c r="J532">
        <v>50</v>
      </c>
      <c r="K532" t="s">
        <v>20</v>
      </c>
      <c r="L532">
        <v>33</v>
      </c>
      <c r="M532" t="s">
        <v>21</v>
      </c>
      <c r="N532">
        <f>COUNTIF(order_data[Order_ID],order_data[[#This Row],[Order_ID]])</f>
        <v>1</v>
      </c>
      <c r="O532">
        <f>order_data[[#This Row],[Order_Value]]-order_data[[#This Row],[Discount]]</f>
        <v>702</v>
      </c>
      <c r="P532">
        <f>order_data[[#This Row],[Order_Value]]+order_data[[#This Row],[Delivery_Fee]]-order_data[[#This Row],[Discount]]</f>
        <v>742</v>
      </c>
      <c r="Q532" t="str">
        <f>TEXT(order_data[[#This Row],[Order_Date]],"mmm")</f>
        <v>Feb</v>
      </c>
      <c r="R532">
        <f>MONTH(order_data[[#This Row],[Order_Date]])</f>
        <v>2</v>
      </c>
    </row>
    <row r="533" spans="1:18" x14ac:dyDescent="0.35">
      <c r="A533" t="s">
        <v>1041</v>
      </c>
      <c r="B533" t="s">
        <v>44</v>
      </c>
      <c r="C533" t="s">
        <v>842</v>
      </c>
      <c r="D533" t="s">
        <v>16</v>
      </c>
      <c r="E533" t="s">
        <v>131</v>
      </c>
      <c r="F533" t="s">
        <v>55</v>
      </c>
      <c r="G533" t="s">
        <v>59</v>
      </c>
      <c r="H533">
        <v>700</v>
      </c>
      <c r="I533">
        <v>50</v>
      </c>
      <c r="J533">
        <v>30</v>
      </c>
      <c r="K533" t="s">
        <v>29</v>
      </c>
      <c r="L533">
        <v>54</v>
      </c>
      <c r="M533" t="s">
        <v>21</v>
      </c>
      <c r="N533">
        <f>COUNTIF(order_data[Order_ID],order_data[[#This Row],[Order_ID]])</f>
        <v>1</v>
      </c>
      <c r="O533">
        <f>order_data[[#This Row],[Order_Value]]-order_data[[#This Row],[Discount]]</f>
        <v>670</v>
      </c>
      <c r="P533">
        <f>order_data[[#This Row],[Order_Value]]+order_data[[#This Row],[Delivery_Fee]]-order_data[[#This Row],[Discount]]</f>
        <v>720</v>
      </c>
      <c r="Q533" t="str">
        <f>TEXT(order_data[[#This Row],[Order_Date]],"mmm")</f>
        <v>Jan</v>
      </c>
      <c r="R533">
        <f>MONTH(order_data[[#This Row],[Order_Date]])</f>
        <v>1</v>
      </c>
    </row>
    <row r="534" spans="1:18" x14ac:dyDescent="0.35">
      <c r="A534" t="s">
        <v>1042</v>
      </c>
      <c r="B534" t="s">
        <v>61</v>
      </c>
      <c r="C534" t="s">
        <v>1043</v>
      </c>
      <c r="D534" t="s">
        <v>40</v>
      </c>
      <c r="E534" t="s">
        <v>41</v>
      </c>
      <c r="F534" t="s">
        <v>27</v>
      </c>
      <c r="G534" t="s">
        <v>59</v>
      </c>
      <c r="H534">
        <v>792</v>
      </c>
      <c r="I534">
        <v>50</v>
      </c>
      <c r="J534">
        <v>20</v>
      </c>
      <c r="K534" t="s">
        <v>29</v>
      </c>
      <c r="L534">
        <v>39</v>
      </c>
      <c r="M534" t="s">
        <v>21</v>
      </c>
      <c r="N534">
        <f>COUNTIF(order_data[Order_ID],order_data[[#This Row],[Order_ID]])</f>
        <v>1</v>
      </c>
      <c r="O534">
        <f>order_data[[#This Row],[Order_Value]]-order_data[[#This Row],[Discount]]</f>
        <v>772</v>
      </c>
      <c r="P534">
        <f>order_data[[#This Row],[Order_Value]]+order_data[[#This Row],[Delivery_Fee]]-order_data[[#This Row],[Discount]]</f>
        <v>822</v>
      </c>
      <c r="Q534" t="str">
        <f>TEXT(order_data[[#This Row],[Order_Date]],"mmm")</f>
        <v>Jan</v>
      </c>
      <c r="R534">
        <f>MONTH(order_data[[#This Row],[Order_Date]])</f>
        <v>1</v>
      </c>
    </row>
    <row r="535" spans="1:18" x14ac:dyDescent="0.35">
      <c r="A535" t="s">
        <v>1044</v>
      </c>
      <c r="B535" t="s">
        <v>57</v>
      </c>
      <c r="C535" t="s">
        <v>1045</v>
      </c>
      <c r="D535" t="s">
        <v>40</v>
      </c>
      <c r="E535" t="s">
        <v>41</v>
      </c>
      <c r="F535" t="s">
        <v>27</v>
      </c>
      <c r="G535" t="s">
        <v>42</v>
      </c>
      <c r="H535">
        <v>279</v>
      </c>
      <c r="I535">
        <v>30</v>
      </c>
      <c r="J535">
        <v>0</v>
      </c>
      <c r="K535" t="s">
        <v>29</v>
      </c>
      <c r="L535">
        <v>48</v>
      </c>
      <c r="M535" t="s">
        <v>21</v>
      </c>
      <c r="N535">
        <f>COUNTIF(order_data[Order_ID],order_data[[#This Row],[Order_ID]])</f>
        <v>1</v>
      </c>
      <c r="O535">
        <f>order_data[[#This Row],[Order_Value]]-order_data[[#This Row],[Discount]]</f>
        <v>279</v>
      </c>
      <c r="P535">
        <f>order_data[[#This Row],[Order_Value]]+order_data[[#This Row],[Delivery_Fee]]-order_data[[#This Row],[Discount]]</f>
        <v>309</v>
      </c>
      <c r="Q535" t="str">
        <f>TEXT(order_data[[#This Row],[Order_Date]],"mmm")</f>
        <v>Jan</v>
      </c>
      <c r="R535">
        <f>MONTH(order_data[[#This Row],[Order_Date]])</f>
        <v>1</v>
      </c>
    </row>
    <row r="536" spans="1:18" x14ac:dyDescent="0.35">
      <c r="A536" t="s">
        <v>1046</v>
      </c>
      <c r="B536" t="s">
        <v>273</v>
      </c>
      <c r="C536" t="s">
        <v>967</v>
      </c>
      <c r="D536" t="s">
        <v>16</v>
      </c>
      <c r="E536" t="s">
        <v>131</v>
      </c>
      <c r="F536" t="s">
        <v>55</v>
      </c>
      <c r="G536" t="s">
        <v>59</v>
      </c>
      <c r="H536">
        <v>404</v>
      </c>
      <c r="I536">
        <v>20</v>
      </c>
      <c r="J536">
        <v>50</v>
      </c>
      <c r="K536" t="s">
        <v>36</v>
      </c>
      <c r="L536">
        <v>59</v>
      </c>
      <c r="M536" t="s">
        <v>21</v>
      </c>
      <c r="N536">
        <f>COUNTIF(order_data[Order_ID],order_data[[#This Row],[Order_ID]])</f>
        <v>1</v>
      </c>
      <c r="O536">
        <f>order_data[[#This Row],[Order_Value]]-order_data[[#This Row],[Discount]]</f>
        <v>354</v>
      </c>
      <c r="P536">
        <f>order_data[[#This Row],[Order_Value]]+order_data[[#This Row],[Delivery_Fee]]-order_data[[#This Row],[Discount]]</f>
        <v>374</v>
      </c>
      <c r="Q536" t="str">
        <f>TEXT(order_data[[#This Row],[Order_Date]],"mmm")</f>
        <v>Mar</v>
      </c>
      <c r="R536">
        <f>MONTH(order_data[[#This Row],[Order_Date]])</f>
        <v>3</v>
      </c>
    </row>
    <row r="537" spans="1:18" x14ac:dyDescent="0.35">
      <c r="A537" t="s">
        <v>1047</v>
      </c>
      <c r="B537" t="s">
        <v>365</v>
      </c>
      <c r="C537" t="s">
        <v>916</v>
      </c>
      <c r="D537" t="s">
        <v>25</v>
      </c>
      <c r="E537" t="s">
        <v>26</v>
      </c>
      <c r="F537" t="s">
        <v>27</v>
      </c>
      <c r="G537" t="s">
        <v>19</v>
      </c>
      <c r="H537">
        <v>323</v>
      </c>
      <c r="I537">
        <v>20</v>
      </c>
      <c r="J537">
        <v>100</v>
      </c>
      <c r="K537" t="s">
        <v>20</v>
      </c>
      <c r="L537">
        <v>53</v>
      </c>
      <c r="M537" t="s">
        <v>21</v>
      </c>
      <c r="N537">
        <f>COUNTIF(order_data[Order_ID],order_data[[#This Row],[Order_ID]])</f>
        <v>1</v>
      </c>
      <c r="O537">
        <f>order_data[[#This Row],[Order_Value]]-order_data[[#This Row],[Discount]]</f>
        <v>223</v>
      </c>
      <c r="P537">
        <f>order_data[[#This Row],[Order_Value]]+order_data[[#This Row],[Delivery_Fee]]-order_data[[#This Row],[Discount]]</f>
        <v>243</v>
      </c>
      <c r="Q537" t="str">
        <f>TEXT(order_data[[#This Row],[Order_Date]],"mmm")</f>
        <v>Jan</v>
      </c>
      <c r="R537">
        <f>MONTH(order_data[[#This Row],[Order_Date]])</f>
        <v>1</v>
      </c>
    </row>
    <row r="538" spans="1:18" x14ac:dyDescent="0.35">
      <c r="A538" t="s">
        <v>1048</v>
      </c>
      <c r="B538" t="s">
        <v>342</v>
      </c>
      <c r="C538" t="s">
        <v>719</v>
      </c>
      <c r="D538" t="s">
        <v>46</v>
      </c>
      <c r="E538" t="s">
        <v>47</v>
      </c>
      <c r="F538" t="s">
        <v>48</v>
      </c>
      <c r="G538" t="s">
        <v>19</v>
      </c>
      <c r="H538">
        <v>675</v>
      </c>
      <c r="I538">
        <v>40</v>
      </c>
      <c r="J538">
        <v>30</v>
      </c>
      <c r="K538" t="s">
        <v>20</v>
      </c>
      <c r="L538">
        <v>52</v>
      </c>
      <c r="M538" t="s">
        <v>21</v>
      </c>
      <c r="N538">
        <f>COUNTIF(order_data[Order_ID],order_data[[#This Row],[Order_ID]])</f>
        <v>1</v>
      </c>
      <c r="O538">
        <f>order_data[[#This Row],[Order_Value]]-order_data[[#This Row],[Discount]]</f>
        <v>645</v>
      </c>
      <c r="P538">
        <f>order_data[[#This Row],[Order_Value]]+order_data[[#This Row],[Delivery_Fee]]-order_data[[#This Row],[Discount]]</f>
        <v>685</v>
      </c>
      <c r="Q538" t="str">
        <f>TEXT(order_data[[#This Row],[Order_Date]],"mmm")</f>
        <v>Jan</v>
      </c>
      <c r="R538">
        <f>MONTH(order_data[[#This Row],[Order_Date]])</f>
        <v>1</v>
      </c>
    </row>
    <row r="539" spans="1:18" x14ac:dyDescent="0.35">
      <c r="A539" t="s">
        <v>1049</v>
      </c>
      <c r="B539" t="s">
        <v>51</v>
      </c>
      <c r="C539" t="s">
        <v>648</v>
      </c>
      <c r="D539" t="s">
        <v>25</v>
      </c>
      <c r="E539" t="s">
        <v>78</v>
      </c>
      <c r="F539" t="s">
        <v>48</v>
      </c>
      <c r="G539" t="s">
        <v>74</v>
      </c>
      <c r="H539">
        <v>515</v>
      </c>
      <c r="I539">
        <v>40</v>
      </c>
      <c r="J539">
        <v>20</v>
      </c>
      <c r="K539" t="s">
        <v>36</v>
      </c>
      <c r="L539">
        <v>28</v>
      </c>
      <c r="M539" t="s">
        <v>30</v>
      </c>
      <c r="N539">
        <f>COUNTIF(order_data[Order_ID],order_data[[#This Row],[Order_ID]])</f>
        <v>1</v>
      </c>
      <c r="O539">
        <f>order_data[[#This Row],[Order_Value]]-order_data[[#This Row],[Discount]]</f>
        <v>495</v>
      </c>
      <c r="P539">
        <f>order_data[[#This Row],[Order_Value]]+order_data[[#This Row],[Delivery_Fee]]-order_data[[#This Row],[Discount]]</f>
        <v>535</v>
      </c>
      <c r="Q539" t="str">
        <f>TEXT(order_data[[#This Row],[Order_Date]],"mmm")</f>
        <v>Feb</v>
      </c>
      <c r="R539">
        <f>MONTH(order_data[[#This Row],[Order_Date]])</f>
        <v>2</v>
      </c>
    </row>
    <row r="540" spans="1:18" x14ac:dyDescent="0.35">
      <c r="A540" t="s">
        <v>1050</v>
      </c>
      <c r="B540" t="s">
        <v>199</v>
      </c>
      <c r="C540" t="s">
        <v>1051</v>
      </c>
      <c r="D540" t="s">
        <v>53</v>
      </c>
      <c r="E540" t="s">
        <v>84</v>
      </c>
      <c r="F540" t="s">
        <v>85</v>
      </c>
      <c r="G540" t="s">
        <v>49</v>
      </c>
      <c r="H540">
        <v>603</v>
      </c>
      <c r="I540">
        <v>20</v>
      </c>
      <c r="J540">
        <v>20</v>
      </c>
      <c r="K540" t="s">
        <v>36</v>
      </c>
      <c r="L540">
        <v>59</v>
      </c>
      <c r="M540" t="s">
        <v>21</v>
      </c>
      <c r="N540">
        <f>COUNTIF(order_data[Order_ID],order_data[[#This Row],[Order_ID]])</f>
        <v>1</v>
      </c>
      <c r="O540">
        <f>order_data[[#This Row],[Order_Value]]-order_data[[#This Row],[Discount]]</f>
        <v>583</v>
      </c>
      <c r="P540">
        <f>order_data[[#This Row],[Order_Value]]+order_data[[#This Row],[Delivery_Fee]]-order_data[[#This Row],[Discount]]</f>
        <v>603</v>
      </c>
      <c r="Q540" t="str">
        <f>TEXT(order_data[[#This Row],[Order_Date]],"mmm")</f>
        <v>Jan</v>
      </c>
      <c r="R540">
        <f>MONTH(order_data[[#This Row],[Order_Date]])</f>
        <v>1</v>
      </c>
    </row>
    <row r="541" spans="1:18" x14ac:dyDescent="0.35">
      <c r="A541" t="s">
        <v>1052</v>
      </c>
      <c r="B541" t="s">
        <v>526</v>
      </c>
      <c r="C541" t="s">
        <v>168</v>
      </c>
      <c r="D541" t="s">
        <v>25</v>
      </c>
      <c r="E541" t="s">
        <v>34</v>
      </c>
      <c r="F541" t="s">
        <v>27</v>
      </c>
      <c r="G541" t="s">
        <v>28</v>
      </c>
      <c r="H541">
        <v>522</v>
      </c>
      <c r="I541">
        <v>20</v>
      </c>
      <c r="J541">
        <v>30</v>
      </c>
      <c r="K541" t="s">
        <v>20</v>
      </c>
      <c r="L541">
        <v>25</v>
      </c>
      <c r="M541" t="s">
        <v>21</v>
      </c>
      <c r="N541">
        <f>COUNTIF(order_data[Order_ID],order_data[[#This Row],[Order_ID]])</f>
        <v>1</v>
      </c>
      <c r="O541">
        <f>order_data[[#This Row],[Order_Value]]-order_data[[#This Row],[Discount]]</f>
        <v>492</v>
      </c>
      <c r="P541">
        <f>order_data[[#This Row],[Order_Value]]+order_data[[#This Row],[Delivery_Fee]]-order_data[[#This Row],[Discount]]</f>
        <v>512</v>
      </c>
      <c r="Q541" t="str">
        <f>TEXT(order_data[[#This Row],[Order_Date]],"mmm")</f>
        <v>Jan</v>
      </c>
      <c r="R541">
        <f>MONTH(order_data[[#This Row],[Order_Date]])</f>
        <v>1</v>
      </c>
    </row>
    <row r="542" spans="1:18" x14ac:dyDescent="0.35">
      <c r="A542" t="s">
        <v>1053</v>
      </c>
      <c r="B542" t="s">
        <v>51</v>
      </c>
      <c r="C542" t="s">
        <v>763</v>
      </c>
      <c r="D542" t="s">
        <v>46</v>
      </c>
      <c r="E542" t="s">
        <v>70</v>
      </c>
      <c r="F542" t="s">
        <v>18</v>
      </c>
      <c r="G542" t="s">
        <v>42</v>
      </c>
      <c r="H542">
        <v>690</v>
      </c>
      <c r="I542">
        <v>40</v>
      </c>
      <c r="J542">
        <v>20</v>
      </c>
      <c r="K542" t="s">
        <v>29</v>
      </c>
      <c r="L542">
        <v>31</v>
      </c>
      <c r="M542" t="s">
        <v>21</v>
      </c>
      <c r="N542">
        <f>COUNTIF(order_data[Order_ID],order_data[[#This Row],[Order_ID]])</f>
        <v>1</v>
      </c>
      <c r="O542">
        <f>order_data[[#This Row],[Order_Value]]-order_data[[#This Row],[Discount]]</f>
        <v>670</v>
      </c>
      <c r="P542">
        <f>order_data[[#This Row],[Order_Value]]+order_data[[#This Row],[Delivery_Fee]]-order_data[[#This Row],[Discount]]</f>
        <v>710</v>
      </c>
      <c r="Q542" t="str">
        <f>TEXT(order_data[[#This Row],[Order_Date]],"mmm")</f>
        <v>Feb</v>
      </c>
      <c r="R542">
        <f>MONTH(order_data[[#This Row],[Order_Date]])</f>
        <v>2</v>
      </c>
    </row>
    <row r="543" spans="1:18" x14ac:dyDescent="0.35">
      <c r="A543" t="s">
        <v>1054</v>
      </c>
      <c r="B543" t="s">
        <v>51</v>
      </c>
      <c r="C543" t="s">
        <v>527</v>
      </c>
      <c r="D543" t="s">
        <v>40</v>
      </c>
      <c r="E543" t="s">
        <v>41</v>
      </c>
      <c r="F543" t="s">
        <v>27</v>
      </c>
      <c r="G543" t="s">
        <v>28</v>
      </c>
      <c r="H543">
        <v>695</v>
      </c>
      <c r="I543">
        <v>30</v>
      </c>
      <c r="J543">
        <v>30</v>
      </c>
      <c r="K543" t="s">
        <v>36</v>
      </c>
      <c r="L543">
        <v>43</v>
      </c>
      <c r="M543" t="s">
        <v>21</v>
      </c>
      <c r="N543">
        <f>COUNTIF(order_data[Order_ID],order_data[[#This Row],[Order_ID]])</f>
        <v>1</v>
      </c>
      <c r="O543">
        <f>order_data[[#This Row],[Order_Value]]-order_data[[#This Row],[Discount]]</f>
        <v>665</v>
      </c>
      <c r="P543">
        <f>order_data[[#This Row],[Order_Value]]+order_data[[#This Row],[Delivery_Fee]]-order_data[[#This Row],[Discount]]</f>
        <v>695</v>
      </c>
      <c r="Q543" t="str">
        <f>TEXT(order_data[[#This Row],[Order_Date]],"mmm")</f>
        <v>Feb</v>
      </c>
      <c r="R543">
        <f>MONTH(order_data[[#This Row],[Order_Date]])</f>
        <v>2</v>
      </c>
    </row>
    <row r="544" spans="1:18" x14ac:dyDescent="0.35">
      <c r="A544" t="s">
        <v>1055</v>
      </c>
      <c r="B544" t="s">
        <v>213</v>
      </c>
      <c r="C544" t="s">
        <v>721</v>
      </c>
      <c r="D544" t="s">
        <v>25</v>
      </c>
      <c r="E544" t="s">
        <v>34</v>
      </c>
      <c r="F544" t="s">
        <v>27</v>
      </c>
      <c r="G544" t="s">
        <v>42</v>
      </c>
      <c r="H544">
        <v>669</v>
      </c>
      <c r="I544">
        <v>50</v>
      </c>
      <c r="J544">
        <v>30</v>
      </c>
      <c r="K544" t="s">
        <v>36</v>
      </c>
      <c r="L544">
        <v>20</v>
      </c>
      <c r="M544" t="s">
        <v>21</v>
      </c>
      <c r="N544">
        <f>COUNTIF(order_data[Order_ID],order_data[[#This Row],[Order_ID]])</f>
        <v>1</v>
      </c>
      <c r="O544">
        <f>order_data[[#This Row],[Order_Value]]-order_data[[#This Row],[Discount]]</f>
        <v>639</v>
      </c>
      <c r="P544">
        <f>order_data[[#This Row],[Order_Value]]+order_data[[#This Row],[Delivery_Fee]]-order_data[[#This Row],[Discount]]</f>
        <v>689</v>
      </c>
      <c r="Q544" t="str">
        <f>TEXT(order_data[[#This Row],[Order_Date]],"mmm")</f>
        <v>Jan</v>
      </c>
      <c r="R544">
        <f>MONTH(order_data[[#This Row],[Order_Date]])</f>
        <v>1</v>
      </c>
    </row>
    <row r="545" spans="1:18" x14ac:dyDescent="0.35">
      <c r="A545" t="s">
        <v>1056</v>
      </c>
      <c r="B545" t="s">
        <v>113</v>
      </c>
      <c r="C545" t="s">
        <v>1057</v>
      </c>
      <c r="D545" t="s">
        <v>16</v>
      </c>
      <c r="E545" t="s">
        <v>131</v>
      </c>
      <c r="F545" t="s">
        <v>55</v>
      </c>
      <c r="G545" t="s">
        <v>42</v>
      </c>
      <c r="H545">
        <v>597</v>
      </c>
      <c r="I545">
        <v>40</v>
      </c>
      <c r="J545">
        <v>20</v>
      </c>
      <c r="K545" t="s">
        <v>36</v>
      </c>
      <c r="L545">
        <v>24</v>
      </c>
      <c r="M545" t="s">
        <v>21</v>
      </c>
      <c r="N545">
        <f>COUNTIF(order_data[Order_ID],order_data[[#This Row],[Order_ID]])</f>
        <v>1</v>
      </c>
      <c r="O545">
        <f>order_data[[#This Row],[Order_Value]]-order_data[[#This Row],[Discount]]</f>
        <v>577</v>
      </c>
      <c r="P545">
        <f>order_data[[#This Row],[Order_Value]]+order_data[[#This Row],[Delivery_Fee]]-order_data[[#This Row],[Discount]]</f>
        <v>617</v>
      </c>
      <c r="Q545" t="str">
        <f>TEXT(order_data[[#This Row],[Order_Date]],"mmm")</f>
        <v>Mar</v>
      </c>
      <c r="R545">
        <f>MONTH(order_data[[#This Row],[Order_Date]])</f>
        <v>3</v>
      </c>
    </row>
    <row r="546" spans="1:18" x14ac:dyDescent="0.35">
      <c r="A546" t="s">
        <v>1058</v>
      </c>
      <c r="B546" t="s">
        <v>329</v>
      </c>
      <c r="C546" t="s">
        <v>170</v>
      </c>
      <c r="D546" t="s">
        <v>16</v>
      </c>
      <c r="E546" t="s">
        <v>89</v>
      </c>
      <c r="F546" t="s">
        <v>18</v>
      </c>
      <c r="G546" t="s">
        <v>107</v>
      </c>
      <c r="H546">
        <v>796</v>
      </c>
      <c r="I546">
        <v>30</v>
      </c>
      <c r="J546">
        <v>30</v>
      </c>
      <c r="K546" t="s">
        <v>20</v>
      </c>
      <c r="L546">
        <v>45</v>
      </c>
      <c r="M546" t="s">
        <v>21</v>
      </c>
      <c r="N546">
        <f>COUNTIF(order_data[Order_ID],order_data[[#This Row],[Order_ID]])</f>
        <v>1</v>
      </c>
      <c r="O546">
        <f>order_data[[#This Row],[Order_Value]]-order_data[[#This Row],[Discount]]</f>
        <v>766</v>
      </c>
      <c r="P546">
        <f>order_data[[#This Row],[Order_Value]]+order_data[[#This Row],[Delivery_Fee]]-order_data[[#This Row],[Discount]]</f>
        <v>796</v>
      </c>
      <c r="Q546" t="str">
        <f>TEXT(order_data[[#This Row],[Order_Date]],"mmm")</f>
        <v>Mar</v>
      </c>
      <c r="R546">
        <f>MONTH(order_data[[#This Row],[Order_Date]])</f>
        <v>3</v>
      </c>
    </row>
    <row r="547" spans="1:18" x14ac:dyDescent="0.35">
      <c r="A547" t="s">
        <v>1059</v>
      </c>
      <c r="B547" t="s">
        <v>339</v>
      </c>
      <c r="C547" t="s">
        <v>594</v>
      </c>
      <c r="D547" t="s">
        <v>25</v>
      </c>
      <c r="E547" t="s">
        <v>78</v>
      </c>
      <c r="F547" t="s">
        <v>48</v>
      </c>
      <c r="G547" t="s">
        <v>74</v>
      </c>
      <c r="H547">
        <v>583</v>
      </c>
      <c r="I547">
        <v>30</v>
      </c>
      <c r="J547">
        <v>0</v>
      </c>
      <c r="K547" t="s">
        <v>29</v>
      </c>
      <c r="L547">
        <v>21</v>
      </c>
      <c r="M547" t="s">
        <v>21</v>
      </c>
      <c r="N547">
        <f>COUNTIF(order_data[Order_ID],order_data[[#This Row],[Order_ID]])</f>
        <v>1</v>
      </c>
      <c r="O547">
        <f>order_data[[#This Row],[Order_Value]]-order_data[[#This Row],[Discount]]</f>
        <v>583</v>
      </c>
      <c r="P547">
        <f>order_data[[#This Row],[Order_Value]]+order_data[[#This Row],[Delivery_Fee]]-order_data[[#This Row],[Discount]]</f>
        <v>613</v>
      </c>
      <c r="Q547" t="str">
        <f>TEXT(order_data[[#This Row],[Order_Date]],"mmm")</f>
        <v>Jan</v>
      </c>
      <c r="R547">
        <f>MONTH(order_data[[#This Row],[Order_Date]])</f>
        <v>1</v>
      </c>
    </row>
    <row r="548" spans="1:18" x14ac:dyDescent="0.35">
      <c r="A548" t="s">
        <v>1060</v>
      </c>
      <c r="B548" t="s">
        <v>454</v>
      </c>
      <c r="C548" t="s">
        <v>1061</v>
      </c>
      <c r="D548" t="s">
        <v>46</v>
      </c>
      <c r="E548" t="s">
        <v>148</v>
      </c>
      <c r="F548" t="s">
        <v>27</v>
      </c>
      <c r="G548" t="s">
        <v>35</v>
      </c>
      <c r="H548">
        <v>607</v>
      </c>
      <c r="I548">
        <v>20</v>
      </c>
      <c r="J548">
        <v>20</v>
      </c>
      <c r="K548" t="s">
        <v>36</v>
      </c>
      <c r="L548">
        <v>48</v>
      </c>
      <c r="M548" t="s">
        <v>21</v>
      </c>
      <c r="N548">
        <f>COUNTIF(order_data[Order_ID],order_data[[#This Row],[Order_ID]])</f>
        <v>1</v>
      </c>
      <c r="O548">
        <f>order_data[[#This Row],[Order_Value]]-order_data[[#This Row],[Discount]]</f>
        <v>587</v>
      </c>
      <c r="P548">
        <f>order_data[[#This Row],[Order_Value]]+order_data[[#This Row],[Delivery_Fee]]-order_data[[#This Row],[Discount]]</f>
        <v>607</v>
      </c>
      <c r="Q548" t="str">
        <f>TEXT(order_data[[#This Row],[Order_Date]],"mmm")</f>
        <v>Jan</v>
      </c>
      <c r="R548">
        <f>MONTH(order_data[[#This Row],[Order_Date]])</f>
        <v>1</v>
      </c>
    </row>
    <row r="549" spans="1:18" x14ac:dyDescent="0.35">
      <c r="A549" t="s">
        <v>1062</v>
      </c>
      <c r="B549" t="s">
        <v>388</v>
      </c>
      <c r="C549" t="s">
        <v>1063</v>
      </c>
      <c r="D549" t="s">
        <v>46</v>
      </c>
      <c r="E549" t="s">
        <v>148</v>
      </c>
      <c r="F549" t="s">
        <v>27</v>
      </c>
      <c r="G549" t="s">
        <v>176</v>
      </c>
      <c r="H549">
        <v>308</v>
      </c>
      <c r="I549">
        <v>20</v>
      </c>
      <c r="J549">
        <v>20</v>
      </c>
      <c r="K549" t="s">
        <v>36</v>
      </c>
      <c r="L549">
        <v>25</v>
      </c>
      <c r="M549" t="s">
        <v>21</v>
      </c>
      <c r="N549">
        <f>COUNTIF(order_data[Order_ID],order_data[[#This Row],[Order_ID]])</f>
        <v>1</v>
      </c>
      <c r="O549">
        <f>order_data[[#This Row],[Order_Value]]-order_data[[#This Row],[Discount]]</f>
        <v>288</v>
      </c>
      <c r="P549">
        <f>order_data[[#This Row],[Order_Value]]+order_data[[#This Row],[Delivery_Fee]]-order_data[[#This Row],[Discount]]</f>
        <v>308</v>
      </c>
      <c r="Q549" t="str">
        <f>TEXT(order_data[[#This Row],[Order_Date]],"mmm")</f>
        <v>Mar</v>
      </c>
      <c r="R549">
        <f>MONTH(order_data[[#This Row],[Order_Date]])</f>
        <v>3</v>
      </c>
    </row>
    <row r="550" spans="1:18" x14ac:dyDescent="0.35">
      <c r="A550" t="s">
        <v>1064</v>
      </c>
      <c r="B550" t="s">
        <v>38</v>
      </c>
      <c r="C550" t="s">
        <v>292</v>
      </c>
      <c r="D550" t="s">
        <v>25</v>
      </c>
      <c r="E550" t="s">
        <v>34</v>
      </c>
      <c r="F550" t="s">
        <v>27</v>
      </c>
      <c r="G550" t="s">
        <v>176</v>
      </c>
      <c r="H550">
        <v>421</v>
      </c>
      <c r="I550">
        <v>20</v>
      </c>
      <c r="J550">
        <v>30</v>
      </c>
      <c r="K550" t="s">
        <v>20</v>
      </c>
      <c r="L550">
        <v>46</v>
      </c>
      <c r="M550" t="s">
        <v>21</v>
      </c>
      <c r="N550">
        <f>COUNTIF(order_data[Order_ID],order_data[[#This Row],[Order_ID]])</f>
        <v>1</v>
      </c>
      <c r="O550">
        <f>order_data[[#This Row],[Order_Value]]-order_data[[#This Row],[Discount]]</f>
        <v>391</v>
      </c>
      <c r="P550">
        <f>order_data[[#This Row],[Order_Value]]+order_data[[#This Row],[Delivery_Fee]]-order_data[[#This Row],[Discount]]</f>
        <v>411</v>
      </c>
      <c r="Q550" t="str">
        <f>TEXT(order_data[[#This Row],[Order_Date]],"mmm")</f>
        <v>Jan</v>
      </c>
      <c r="R550">
        <f>MONTH(order_data[[#This Row],[Order_Date]])</f>
        <v>1</v>
      </c>
    </row>
    <row r="551" spans="1:18" x14ac:dyDescent="0.35">
      <c r="A551" t="s">
        <v>1065</v>
      </c>
      <c r="B551" t="s">
        <v>113</v>
      </c>
      <c r="C551" t="s">
        <v>139</v>
      </c>
      <c r="D551" t="s">
        <v>46</v>
      </c>
      <c r="E551" t="s">
        <v>47</v>
      </c>
      <c r="F551" t="s">
        <v>48</v>
      </c>
      <c r="G551" t="s">
        <v>63</v>
      </c>
      <c r="H551">
        <v>614</v>
      </c>
      <c r="I551">
        <v>30</v>
      </c>
      <c r="J551">
        <v>20</v>
      </c>
      <c r="K551" t="s">
        <v>36</v>
      </c>
      <c r="L551">
        <v>41</v>
      </c>
      <c r="M551" t="s">
        <v>21</v>
      </c>
      <c r="N551">
        <f>COUNTIF(order_data[Order_ID],order_data[[#This Row],[Order_ID]])</f>
        <v>1</v>
      </c>
      <c r="O551">
        <f>order_data[[#This Row],[Order_Value]]-order_data[[#This Row],[Discount]]</f>
        <v>594</v>
      </c>
      <c r="P551">
        <f>order_data[[#This Row],[Order_Value]]+order_data[[#This Row],[Delivery_Fee]]-order_data[[#This Row],[Discount]]</f>
        <v>624</v>
      </c>
      <c r="Q551" t="str">
        <f>TEXT(order_data[[#This Row],[Order_Date]],"mmm")</f>
        <v>Mar</v>
      </c>
      <c r="R551">
        <f>MONTH(order_data[[#This Row],[Order_Date]])</f>
        <v>3</v>
      </c>
    </row>
    <row r="552" spans="1:18" x14ac:dyDescent="0.35">
      <c r="A552" t="s">
        <v>1066</v>
      </c>
      <c r="B552" t="s">
        <v>113</v>
      </c>
      <c r="C552" t="s">
        <v>1067</v>
      </c>
      <c r="D552" t="s">
        <v>25</v>
      </c>
      <c r="E552" t="s">
        <v>78</v>
      </c>
      <c r="F552" t="s">
        <v>48</v>
      </c>
      <c r="G552" t="s">
        <v>35</v>
      </c>
      <c r="H552">
        <v>752</v>
      </c>
      <c r="I552">
        <v>50</v>
      </c>
      <c r="J552">
        <v>30</v>
      </c>
      <c r="K552" t="s">
        <v>36</v>
      </c>
      <c r="L552">
        <v>25</v>
      </c>
      <c r="M552" t="s">
        <v>21</v>
      </c>
      <c r="N552">
        <f>COUNTIF(order_data[Order_ID],order_data[[#This Row],[Order_ID]])</f>
        <v>1</v>
      </c>
      <c r="O552">
        <f>order_data[[#This Row],[Order_Value]]-order_data[[#This Row],[Discount]]</f>
        <v>722</v>
      </c>
      <c r="P552">
        <f>order_data[[#This Row],[Order_Value]]+order_data[[#This Row],[Delivery_Fee]]-order_data[[#This Row],[Discount]]</f>
        <v>772</v>
      </c>
      <c r="Q552" t="str">
        <f>TEXT(order_data[[#This Row],[Order_Date]],"mmm")</f>
        <v>Mar</v>
      </c>
      <c r="R552">
        <f>MONTH(order_data[[#This Row],[Order_Date]])</f>
        <v>3</v>
      </c>
    </row>
    <row r="553" spans="1:18" x14ac:dyDescent="0.35">
      <c r="A553" t="s">
        <v>1068</v>
      </c>
      <c r="B553" t="s">
        <v>23</v>
      </c>
      <c r="C553" t="s">
        <v>1069</v>
      </c>
      <c r="D553" t="s">
        <v>46</v>
      </c>
      <c r="E553" t="s">
        <v>70</v>
      </c>
      <c r="F553" t="s">
        <v>18</v>
      </c>
      <c r="G553" t="s">
        <v>107</v>
      </c>
      <c r="H553">
        <v>555</v>
      </c>
      <c r="I553">
        <v>40</v>
      </c>
      <c r="J553">
        <v>30</v>
      </c>
      <c r="K553" t="s">
        <v>29</v>
      </c>
      <c r="L553">
        <v>44</v>
      </c>
      <c r="M553" t="s">
        <v>21</v>
      </c>
      <c r="N553">
        <f>COUNTIF(order_data[Order_ID],order_data[[#This Row],[Order_ID]])</f>
        <v>1</v>
      </c>
      <c r="O553">
        <f>order_data[[#This Row],[Order_Value]]-order_data[[#This Row],[Discount]]</f>
        <v>525</v>
      </c>
      <c r="P553">
        <f>order_data[[#This Row],[Order_Value]]+order_data[[#This Row],[Delivery_Fee]]-order_data[[#This Row],[Discount]]</f>
        <v>565</v>
      </c>
      <c r="Q553" t="str">
        <f>TEXT(order_data[[#This Row],[Order_Date]],"mmm")</f>
        <v>Mar</v>
      </c>
      <c r="R553">
        <f>MONTH(order_data[[#This Row],[Order_Date]])</f>
        <v>3</v>
      </c>
    </row>
    <row r="554" spans="1:18" x14ac:dyDescent="0.35">
      <c r="A554" t="s">
        <v>1070</v>
      </c>
      <c r="B554" t="s">
        <v>205</v>
      </c>
      <c r="C554" t="s">
        <v>1071</v>
      </c>
      <c r="D554" t="s">
        <v>25</v>
      </c>
      <c r="E554" t="s">
        <v>34</v>
      </c>
      <c r="F554" t="s">
        <v>27</v>
      </c>
      <c r="G554" t="s">
        <v>42</v>
      </c>
      <c r="H554">
        <v>471</v>
      </c>
      <c r="I554">
        <v>50</v>
      </c>
      <c r="J554">
        <v>100</v>
      </c>
      <c r="K554" t="s">
        <v>20</v>
      </c>
      <c r="L554">
        <v>21</v>
      </c>
      <c r="M554" t="s">
        <v>21</v>
      </c>
      <c r="N554">
        <f>COUNTIF(order_data[Order_ID],order_data[[#This Row],[Order_ID]])</f>
        <v>1</v>
      </c>
      <c r="O554">
        <f>order_data[[#This Row],[Order_Value]]-order_data[[#This Row],[Discount]]</f>
        <v>371</v>
      </c>
      <c r="P554">
        <f>order_data[[#This Row],[Order_Value]]+order_data[[#This Row],[Delivery_Fee]]-order_data[[#This Row],[Discount]]</f>
        <v>421</v>
      </c>
      <c r="Q554" t="str">
        <f>TEXT(order_data[[#This Row],[Order_Date]],"mmm")</f>
        <v>Jan</v>
      </c>
      <c r="R554">
        <f>MONTH(order_data[[#This Row],[Order_Date]])</f>
        <v>1</v>
      </c>
    </row>
    <row r="555" spans="1:18" x14ac:dyDescent="0.35">
      <c r="A555" t="s">
        <v>1072</v>
      </c>
      <c r="B555" t="s">
        <v>580</v>
      </c>
      <c r="C555" t="s">
        <v>1073</v>
      </c>
      <c r="D555" t="s">
        <v>16</v>
      </c>
      <c r="E555" t="s">
        <v>17</v>
      </c>
      <c r="F555" t="s">
        <v>18</v>
      </c>
      <c r="G555" t="s">
        <v>42</v>
      </c>
      <c r="H555">
        <v>343</v>
      </c>
      <c r="I555">
        <v>20</v>
      </c>
      <c r="J555">
        <v>0</v>
      </c>
      <c r="K555" t="s">
        <v>20</v>
      </c>
      <c r="L555">
        <v>35</v>
      </c>
      <c r="M555" t="s">
        <v>21</v>
      </c>
      <c r="N555">
        <f>COUNTIF(order_data[Order_ID],order_data[[#This Row],[Order_ID]])</f>
        <v>1</v>
      </c>
      <c r="O555">
        <f>order_data[[#This Row],[Order_Value]]-order_data[[#This Row],[Discount]]</f>
        <v>343</v>
      </c>
      <c r="P555">
        <f>order_data[[#This Row],[Order_Value]]+order_data[[#This Row],[Delivery_Fee]]-order_data[[#This Row],[Discount]]</f>
        <v>363</v>
      </c>
      <c r="Q555" t="str">
        <f>TEXT(order_data[[#This Row],[Order_Date]],"mmm")</f>
        <v>Mar</v>
      </c>
      <c r="R555">
        <f>MONTH(order_data[[#This Row],[Order_Date]])</f>
        <v>3</v>
      </c>
    </row>
    <row r="556" spans="1:18" x14ac:dyDescent="0.35">
      <c r="A556" t="s">
        <v>1074</v>
      </c>
      <c r="B556" t="s">
        <v>167</v>
      </c>
      <c r="C556" t="s">
        <v>317</v>
      </c>
      <c r="D556" t="s">
        <v>46</v>
      </c>
      <c r="E556" t="s">
        <v>148</v>
      </c>
      <c r="F556" t="s">
        <v>27</v>
      </c>
      <c r="G556" t="s">
        <v>74</v>
      </c>
      <c r="H556">
        <v>640</v>
      </c>
      <c r="I556">
        <v>20</v>
      </c>
      <c r="J556">
        <v>50</v>
      </c>
      <c r="K556" t="s">
        <v>20</v>
      </c>
      <c r="L556">
        <v>38</v>
      </c>
      <c r="M556" t="s">
        <v>21</v>
      </c>
      <c r="N556">
        <f>COUNTIF(order_data[Order_ID],order_data[[#This Row],[Order_ID]])</f>
        <v>1</v>
      </c>
      <c r="O556">
        <f>order_data[[#This Row],[Order_Value]]-order_data[[#This Row],[Discount]]</f>
        <v>590</v>
      </c>
      <c r="P556">
        <f>order_data[[#This Row],[Order_Value]]+order_data[[#This Row],[Delivery_Fee]]-order_data[[#This Row],[Discount]]</f>
        <v>610</v>
      </c>
      <c r="Q556" t="str">
        <f>TEXT(order_data[[#This Row],[Order_Date]],"mmm")</f>
        <v>Feb</v>
      </c>
      <c r="R556">
        <f>MONTH(order_data[[#This Row],[Order_Date]])</f>
        <v>2</v>
      </c>
    </row>
    <row r="557" spans="1:18" x14ac:dyDescent="0.35">
      <c r="A557" t="s">
        <v>1075</v>
      </c>
      <c r="B557" t="s">
        <v>113</v>
      </c>
      <c r="C557" t="s">
        <v>97</v>
      </c>
      <c r="D557" t="s">
        <v>40</v>
      </c>
      <c r="E557" t="s">
        <v>67</v>
      </c>
      <c r="F557" t="s">
        <v>48</v>
      </c>
      <c r="G557" t="s">
        <v>49</v>
      </c>
      <c r="H557">
        <v>347</v>
      </c>
      <c r="I557">
        <v>40</v>
      </c>
      <c r="J557">
        <v>20</v>
      </c>
      <c r="K557" t="s">
        <v>20</v>
      </c>
      <c r="L557">
        <v>53</v>
      </c>
      <c r="M557" t="s">
        <v>21</v>
      </c>
      <c r="N557">
        <f>COUNTIF(order_data[Order_ID],order_data[[#This Row],[Order_ID]])</f>
        <v>1</v>
      </c>
      <c r="O557">
        <f>order_data[[#This Row],[Order_Value]]-order_data[[#This Row],[Discount]]</f>
        <v>327</v>
      </c>
      <c r="P557">
        <f>order_data[[#This Row],[Order_Value]]+order_data[[#This Row],[Delivery_Fee]]-order_data[[#This Row],[Discount]]</f>
        <v>367</v>
      </c>
      <c r="Q557" t="str">
        <f>TEXT(order_data[[#This Row],[Order_Date]],"mmm")</f>
        <v>Mar</v>
      </c>
      <c r="R557">
        <f>MONTH(order_data[[#This Row],[Order_Date]])</f>
        <v>3</v>
      </c>
    </row>
    <row r="558" spans="1:18" x14ac:dyDescent="0.35">
      <c r="A558" t="s">
        <v>1076</v>
      </c>
      <c r="B558" t="s">
        <v>247</v>
      </c>
      <c r="C558" t="s">
        <v>1077</v>
      </c>
      <c r="D558" t="s">
        <v>46</v>
      </c>
      <c r="E558" t="s">
        <v>148</v>
      </c>
      <c r="F558" t="s">
        <v>27</v>
      </c>
      <c r="G558" t="s">
        <v>35</v>
      </c>
      <c r="H558">
        <v>563</v>
      </c>
      <c r="I558">
        <v>40</v>
      </c>
      <c r="J558">
        <v>0</v>
      </c>
      <c r="K558" t="s">
        <v>29</v>
      </c>
      <c r="L558">
        <v>30</v>
      </c>
      <c r="M558" t="s">
        <v>21</v>
      </c>
      <c r="N558">
        <f>COUNTIF(order_data[Order_ID],order_data[[#This Row],[Order_ID]])</f>
        <v>1</v>
      </c>
      <c r="O558">
        <f>order_data[[#This Row],[Order_Value]]-order_data[[#This Row],[Discount]]</f>
        <v>563</v>
      </c>
      <c r="P558">
        <f>order_data[[#This Row],[Order_Value]]+order_data[[#This Row],[Delivery_Fee]]-order_data[[#This Row],[Discount]]</f>
        <v>603</v>
      </c>
      <c r="Q558" t="str">
        <f>TEXT(order_data[[#This Row],[Order_Date]],"mmm")</f>
        <v>Mar</v>
      </c>
      <c r="R558">
        <f>MONTH(order_data[[#This Row],[Order_Date]])</f>
        <v>3</v>
      </c>
    </row>
    <row r="559" spans="1:18" x14ac:dyDescent="0.35">
      <c r="A559" t="s">
        <v>1078</v>
      </c>
      <c r="B559" t="s">
        <v>174</v>
      </c>
      <c r="C559" t="s">
        <v>553</v>
      </c>
      <c r="D559" t="s">
        <v>25</v>
      </c>
      <c r="E559" t="s">
        <v>78</v>
      </c>
      <c r="F559" t="s">
        <v>48</v>
      </c>
      <c r="G559" t="s">
        <v>19</v>
      </c>
      <c r="H559">
        <v>558</v>
      </c>
      <c r="I559">
        <v>40</v>
      </c>
      <c r="J559">
        <v>50</v>
      </c>
      <c r="K559" t="s">
        <v>36</v>
      </c>
      <c r="L559">
        <v>38</v>
      </c>
      <c r="M559" t="s">
        <v>21</v>
      </c>
      <c r="N559">
        <f>COUNTIF(order_data[Order_ID],order_data[[#This Row],[Order_ID]])</f>
        <v>1</v>
      </c>
      <c r="O559">
        <f>order_data[[#This Row],[Order_Value]]-order_data[[#This Row],[Discount]]</f>
        <v>508</v>
      </c>
      <c r="P559">
        <f>order_data[[#This Row],[Order_Value]]+order_data[[#This Row],[Delivery_Fee]]-order_data[[#This Row],[Discount]]</f>
        <v>548</v>
      </c>
      <c r="Q559" t="str">
        <f>TEXT(order_data[[#This Row],[Order_Date]],"mmm")</f>
        <v>Feb</v>
      </c>
      <c r="R559">
        <f>MONTH(order_data[[#This Row],[Order_Date]])</f>
        <v>2</v>
      </c>
    </row>
    <row r="560" spans="1:18" x14ac:dyDescent="0.35">
      <c r="A560" t="s">
        <v>1079</v>
      </c>
      <c r="B560" t="s">
        <v>310</v>
      </c>
      <c r="C560" t="s">
        <v>200</v>
      </c>
      <c r="D560" t="s">
        <v>16</v>
      </c>
      <c r="E560" t="s">
        <v>89</v>
      </c>
      <c r="F560" t="s">
        <v>18</v>
      </c>
      <c r="G560" t="s">
        <v>74</v>
      </c>
      <c r="H560">
        <v>300</v>
      </c>
      <c r="I560">
        <v>30</v>
      </c>
      <c r="J560">
        <v>30</v>
      </c>
      <c r="K560" t="s">
        <v>29</v>
      </c>
      <c r="L560">
        <v>36</v>
      </c>
      <c r="M560" t="s">
        <v>21</v>
      </c>
      <c r="N560">
        <f>COUNTIF(order_data[Order_ID],order_data[[#This Row],[Order_ID]])</f>
        <v>1</v>
      </c>
      <c r="O560">
        <f>order_data[[#This Row],[Order_Value]]-order_data[[#This Row],[Discount]]</f>
        <v>270</v>
      </c>
      <c r="P560">
        <f>order_data[[#This Row],[Order_Value]]+order_data[[#This Row],[Delivery_Fee]]-order_data[[#This Row],[Discount]]</f>
        <v>300</v>
      </c>
      <c r="Q560" t="str">
        <f>TEXT(order_data[[#This Row],[Order_Date]],"mmm")</f>
        <v>Feb</v>
      </c>
      <c r="R560">
        <f>MONTH(order_data[[#This Row],[Order_Date]])</f>
        <v>2</v>
      </c>
    </row>
    <row r="561" spans="1:18" x14ac:dyDescent="0.35">
      <c r="A561" t="s">
        <v>1080</v>
      </c>
      <c r="B561" t="s">
        <v>186</v>
      </c>
      <c r="C561" t="s">
        <v>1081</v>
      </c>
      <c r="D561" t="s">
        <v>46</v>
      </c>
      <c r="E561" t="s">
        <v>148</v>
      </c>
      <c r="F561" t="s">
        <v>27</v>
      </c>
      <c r="G561" t="s">
        <v>42</v>
      </c>
      <c r="H561">
        <v>259</v>
      </c>
      <c r="I561">
        <v>20</v>
      </c>
      <c r="J561">
        <v>0</v>
      </c>
      <c r="K561" t="s">
        <v>20</v>
      </c>
      <c r="L561">
        <v>30</v>
      </c>
      <c r="M561" t="s">
        <v>21</v>
      </c>
      <c r="N561">
        <f>COUNTIF(order_data[Order_ID],order_data[[#This Row],[Order_ID]])</f>
        <v>1</v>
      </c>
      <c r="O561">
        <f>order_data[[#This Row],[Order_Value]]-order_data[[#This Row],[Discount]]</f>
        <v>259</v>
      </c>
      <c r="P561">
        <f>order_data[[#This Row],[Order_Value]]+order_data[[#This Row],[Delivery_Fee]]-order_data[[#This Row],[Discount]]</f>
        <v>279</v>
      </c>
      <c r="Q561" t="str">
        <f>TEXT(order_data[[#This Row],[Order_Date]],"mmm")</f>
        <v>Mar</v>
      </c>
      <c r="R561">
        <f>MONTH(order_data[[#This Row],[Order_Date]])</f>
        <v>3</v>
      </c>
    </row>
    <row r="562" spans="1:18" x14ac:dyDescent="0.35">
      <c r="A562" t="s">
        <v>1082</v>
      </c>
      <c r="B562" t="s">
        <v>273</v>
      </c>
      <c r="C562" t="s">
        <v>1083</v>
      </c>
      <c r="D562" t="s">
        <v>53</v>
      </c>
      <c r="E562" t="s">
        <v>152</v>
      </c>
      <c r="F562" t="s">
        <v>18</v>
      </c>
      <c r="G562" t="s">
        <v>49</v>
      </c>
      <c r="H562">
        <v>288</v>
      </c>
      <c r="I562">
        <v>30</v>
      </c>
      <c r="J562">
        <v>100</v>
      </c>
      <c r="K562" t="s">
        <v>20</v>
      </c>
      <c r="L562">
        <v>25</v>
      </c>
      <c r="M562" t="s">
        <v>21</v>
      </c>
      <c r="N562">
        <f>COUNTIF(order_data[Order_ID],order_data[[#This Row],[Order_ID]])</f>
        <v>1</v>
      </c>
      <c r="O562">
        <f>order_data[[#This Row],[Order_Value]]-order_data[[#This Row],[Discount]]</f>
        <v>188</v>
      </c>
      <c r="P562">
        <f>order_data[[#This Row],[Order_Value]]+order_data[[#This Row],[Delivery_Fee]]-order_data[[#This Row],[Discount]]</f>
        <v>218</v>
      </c>
      <c r="Q562" t="str">
        <f>TEXT(order_data[[#This Row],[Order_Date]],"mmm")</f>
        <v>Mar</v>
      </c>
      <c r="R562">
        <f>MONTH(order_data[[#This Row],[Order_Date]])</f>
        <v>3</v>
      </c>
    </row>
    <row r="563" spans="1:18" x14ac:dyDescent="0.35">
      <c r="A563" t="s">
        <v>1084</v>
      </c>
      <c r="B563" t="s">
        <v>167</v>
      </c>
      <c r="C563" t="s">
        <v>1085</v>
      </c>
      <c r="D563" t="s">
        <v>16</v>
      </c>
      <c r="E563" t="s">
        <v>17</v>
      </c>
      <c r="F563" t="s">
        <v>18</v>
      </c>
      <c r="G563" t="s">
        <v>35</v>
      </c>
      <c r="H563">
        <v>704</v>
      </c>
      <c r="I563">
        <v>40</v>
      </c>
      <c r="J563">
        <v>0</v>
      </c>
      <c r="K563" t="s">
        <v>20</v>
      </c>
      <c r="L563">
        <v>25</v>
      </c>
      <c r="M563" t="s">
        <v>21</v>
      </c>
      <c r="N563">
        <f>COUNTIF(order_data[Order_ID],order_data[[#This Row],[Order_ID]])</f>
        <v>1</v>
      </c>
      <c r="O563">
        <f>order_data[[#This Row],[Order_Value]]-order_data[[#This Row],[Discount]]</f>
        <v>704</v>
      </c>
      <c r="P563">
        <f>order_data[[#This Row],[Order_Value]]+order_data[[#This Row],[Delivery_Fee]]-order_data[[#This Row],[Discount]]</f>
        <v>744</v>
      </c>
      <c r="Q563" t="str">
        <f>TEXT(order_data[[#This Row],[Order_Date]],"mmm")</f>
        <v>Feb</v>
      </c>
      <c r="R563">
        <f>MONTH(order_data[[#This Row],[Order_Date]])</f>
        <v>2</v>
      </c>
    </row>
    <row r="564" spans="1:18" x14ac:dyDescent="0.35">
      <c r="A564" t="s">
        <v>1086</v>
      </c>
      <c r="B564" t="s">
        <v>51</v>
      </c>
      <c r="C564" t="s">
        <v>197</v>
      </c>
      <c r="D564" t="s">
        <v>40</v>
      </c>
      <c r="E564" t="s">
        <v>41</v>
      </c>
      <c r="F564" t="s">
        <v>27</v>
      </c>
      <c r="G564" t="s">
        <v>176</v>
      </c>
      <c r="H564">
        <v>193</v>
      </c>
      <c r="I564">
        <v>50</v>
      </c>
      <c r="J564">
        <v>100</v>
      </c>
      <c r="K564" t="s">
        <v>36</v>
      </c>
      <c r="L564">
        <v>45</v>
      </c>
      <c r="M564" t="s">
        <v>21</v>
      </c>
      <c r="N564">
        <f>COUNTIF(order_data[Order_ID],order_data[[#This Row],[Order_ID]])</f>
        <v>1</v>
      </c>
      <c r="O564">
        <f>order_data[[#This Row],[Order_Value]]-order_data[[#This Row],[Discount]]</f>
        <v>93</v>
      </c>
      <c r="P564">
        <f>order_data[[#This Row],[Order_Value]]+order_data[[#This Row],[Delivery_Fee]]-order_data[[#This Row],[Discount]]</f>
        <v>143</v>
      </c>
      <c r="Q564" t="str">
        <f>TEXT(order_data[[#This Row],[Order_Date]],"mmm")</f>
        <v>Feb</v>
      </c>
      <c r="R564">
        <f>MONTH(order_data[[#This Row],[Order_Date]])</f>
        <v>2</v>
      </c>
    </row>
    <row r="565" spans="1:18" x14ac:dyDescent="0.35">
      <c r="A565" t="s">
        <v>1087</v>
      </c>
      <c r="B565" t="s">
        <v>329</v>
      </c>
      <c r="C565" t="s">
        <v>1088</v>
      </c>
      <c r="D565" t="s">
        <v>46</v>
      </c>
      <c r="E565" t="s">
        <v>70</v>
      </c>
      <c r="F565" t="s">
        <v>18</v>
      </c>
      <c r="G565" t="s">
        <v>28</v>
      </c>
      <c r="H565">
        <v>540</v>
      </c>
      <c r="I565">
        <v>50</v>
      </c>
      <c r="J565">
        <v>100</v>
      </c>
      <c r="K565" t="s">
        <v>36</v>
      </c>
      <c r="L565">
        <v>56</v>
      </c>
      <c r="M565" t="s">
        <v>21</v>
      </c>
      <c r="N565">
        <f>COUNTIF(order_data[Order_ID],order_data[[#This Row],[Order_ID]])</f>
        <v>1</v>
      </c>
      <c r="O565">
        <f>order_data[[#This Row],[Order_Value]]-order_data[[#This Row],[Discount]]</f>
        <v>440</v>
      </c>
      <c r="P565">
        <f>order_data[[#This Row],[Order_Value]]+order_data[[#This Row],[Delivery_Fee]]-order_data[[#This Row],[Discount]]</f>
        <v>490</v>
      </c>
      <c r="Q565" t="str">
        <f>TEXT(order_data[[#This Row],[Order_Date]],"mmm")</f>
        <v>Mar</v>
      </c>
      <c r="R565">
        <f>MONTH(order_data[[#This Row],[Order_Date]])</f>
        <v>3</v>
      </c>
    </row>
    <row r="566" spans="1:18" x14ac:dyDescent="0.35">
      <c r="A566" t="s">
        <v>1089</v>
      </c>
      <c r="B566" t="s">
        <v>213</v>
      </c>
      <c r="C566" t="s">
        <v>77</v>
      </c>
      <c r="D566" t="s">
        <v>16</v>
      </c>
      <c r="E566" t="s">
        <v>131</v>
      </c>
      <c r="F566" t="s">
        <v>55</v>
      </c>
      <c r="G566" t="s">
        <v>42</v>
      </c>
      <c r="H566">
        <v>584</v>
      </c>
      <c r="I566">
        <v>20</v>
      </c>
      <c r="J566">
        <v>0</v>
      </c>
      <c r="K566" t="s">
        <v>29</v>
      </c>
      <c r="L566">
        <v>45</v>
      </c>
      <c r="M566" t="s">
        <v>21</v>
      </c>
      <c r="N566">
        <f>COUNTIF(order_data[Order_ID],order_data[[#This Row],[Order_ID]])</f>
        <v>1</v>
      </c>
      <c r="O566">
        <f>order_data[[#This Row],[Order_Value]]-order_data[[#This Row],[Discount]]</f>
        <v>584</v>
      </c>
      <c r="P566">
        <f>order_data[[#This Row],[Order_Value]]+order_data[[#This Row],[Delivery_Fee]]-order_data[[#This Row],[Discount]]</f>
        <v>604</v>
      </c>
      <c r="Q566" t="str">
        <f>TEXT(order_data[[#This Row],[Order_Date]],"mmm")</f>
        <v>Jan</v>
      </c>
      <c r="R566">
        <f>MONTH(order_data[[#This Row],[Order_Date]])</f>
        <v>1</v>
      </c>
    </row>
    <row r="567" spans="1:18" x14ac:dyDescent="0.35">
      <c r="A567" t="s">
        <v>1090</v>
      </c>
      <c r="B567" t="s">
        <v>449</v>
      </c>
      <c r="C567" t="s">
        <v>141</v>
      </c>
      <c r="D567" t="s">
        <v>46</v>
      </c>
      <c r="E567" t="s">
        <v>70</v>
      </c>
      <c r="F567" t="s">
        <v>18</v>
      </c>
      <c r="G567" t="s">
        <v>49</v>
      </c>
      <c r="H567">
        <v>686</v>
      </c>
      <c r="I567">
        <v>40</v>
      </c>
      <c r="J567">
        <v>50</v>
      </c>
      <c r="K567" t="s">
        <v>36</v>
      </c>
      <c r="L567">
        <v>33</v>
      </c>
      <c r="M567" t="s">
        <v>21</v>
      </c>
      <c r="N567">
        <f>COUNTIF(order_data[Order_ID],order_data[[#This Row],[Order_ID]])</f>
        <v>1</v>
      </c>
      <c r="O567">
        <f>order_data[[#This Row],[Order_Value]]-order_data[[#This Row],[Discount]]</f>
        <v>636</v>
      </c>
      <c r="P567">
        <f>order_data[[#This Row],[Order_Value]]+order_data[[#This Row],[Delivery_Fee]]-order_data[[#This Row],[Discount]]</f>
        <v>676</v>
      </c>
      <c r="Q567" t="str">
        <f>TEXT(order_data[[#This Row],[Order_Date]],"mmm")</f>
        <v>Mar</v>
      </c>
      <c r="R567">
        <f>MONTH(order_data[[#This Row],[Order_Date]])</f>
        <v>3</v>
      </c>
    </row>
    <row r="568" spans="1:18" x14ac:dyDescent="0.35">
      <c r="A568" t="s">
        <v>1091</v>
      </c>
      <c r="B568" t="s">
        <v>226</v>
      </c>
      <c r="C568" t="s">
        <v>1092</v>
      </c>
      <c r="D568" t="s">
        <v>46</v>
      </c>
      <c r="E568" t="s">
        <v>47</v>
      </c>
      <c r="F568" t="s">
        <v>48</v>
      </c>
      <c r="G568" t="s">
        <v>49</v>
      </c>
      <c r="H568">
        <v>640</v>
      </c>
      <c r="I568">
        <v>30</v>
      </c>
      <c r="J568">
        <v>30</v>
      </c>
      <c r="K568" t="s">
        <v>29</v>
      </c>
      <c r="L568">
        <v>24</v>
      </c>
      <c r="M568" t="s">
        <v>21</v>
      </c>
      <c r="N568">
        <f>COUNTIF(order_data[Order_ID],order_data[[#This Row],[Order_ID]])</f>
        <v>1</v>
      </c>
      <c r="O568">
        <f>order_data[[#This Row],[Order_Value]]-order_data[[#This Row],[Discount]]</f>
        <v>610</v>
      </c>
      <c r="P568">
        <f>order_data[[#This Row],[Order_Value]]+order_data[[#This Row],[Delivery_Fee]]-order_data[[#This Row],[Discount]]</f>
        <v>640</v>
      </c>
      <c r="Q568" t="str">
        <f>TEXT(order_data[[#This Row],[Order_Date]],"mmm")</f>
        <v>Jan</v>
      </c>
      <c r="R568">
        <f>MONTH(order_data[[#This Row],[Order_Date]])</f>
        <v>1</v>
      </c>
    </row>
    <row r="569" spans="1:18" x14ac:dyDescent="0.35">
      <c r="A569" t="s">
        <v>1093</v>
      </c>
      <c r="B569" t="s">
        <v>526</v>
      </c>
      <c r="C569" t="s">
        <v>1085</v>
      </c>
      <c r="D569" t="s">
        <v>53</v>
      </c>
      <c r="E569" t="s">
        <v>54</v>
      </c>
      <c r="F569" t="s">
        <v>55</v>
      </c>
      <c r="G569" t="s">
        <v>74</v>
      </c>
      <c r="H569">
        <v>493</v>
      </c>
      <c r="I569">
        <v>40</v>
      </c>
      <c r="J569">
        <v>50</v>
      </c>
      <c r="K569" t="s">
        <v>36</v>
      </c>
      <c r="L569">
        <v>44</v>
      </c>
      <c r="M569" t="s">
        <v>21</v>
      </c>
      <c r="N569">
        <f>COUNTIF(order_data[Order_ID],order_data[[#This Row],[Order_ID]])</f>
        <v>1</v>
      </c>
      <c r="O569">
        <f>order_data[[#This Row],[Order_Value]]-order_data[[#This Row],[Discount]]</f>
        <v>443</v>
      </c>
      <c r="P569">
        <f>order_data[[#This Row],[Order_Value]]+order_data[[#This Row],[Delivery_Fee]]-order_data[[#This Row],[Discount]]</f>
        <v>483</v>
      </c>
      <c r="Q569" t="str">
        <f>TEXT(order_data[[#This Row],[Order_Date]],"mmm")</f>
        <v>Jan</v>
      </c>
      <c r="R569">
        <f>MONTH(order_data[[#This Row],[Order_Date]])</f>
        <v>1</v>
      </c>
    </row>
    <row r="570" spans="1:18" x14ac:dyDescent="0.35">
      <c r="A570" t="s">
        <v>1094</v>
      </c>
      <c r="B570" t="s">
        <v>133</v>
      </c>
      <c r="C570" t="s">
        <v>313</v>
      </c>
      <c r="D570" t="s">
        <v>46</v>
      </c>
      <c r="E570" t="s">
        <v>70</v>
      </c>
      <c r="F570" t="s">
        <v>18</v>
      </c>
      <c r="G570" t="s">
        <v>176</v>
      </c>
      <c r="H570">
        <v>615</v>
      </c>
      <c r="I570">
        <v>50</v>
      </c>
      <c r="J570">
        <v>30</v>
      </c>
      <c r="K570" t="s">
        <v>29</v>
      </c>
      <c r="L570">
        <v>35</v>
      </c>
      <c r="M570" t="s">
        <v>21</v>
      </c>
      <c r="N570">
        <f>COUNTIF(order_data[Order_ID],order_data[[#This Row],[Order_ID]])</f>
        <v>1</v>
      </c>
      <c r="O570">
        <f>order_data[[#This Row],[Order_Value]]-order_data[[#This Row],[Discount]]</f>
        <v>585</v>
      </c>
      <c r="P570">
        <f>order_data[[#This Row],[Order_Value]]+order_data[[#This Row],[Delivery_Fee]]-order_data[[#This Row],[Discount]]</f>
        <v>635</v>
      </c>
      <c r="Q570" t="str">
        <f>TEXT(order_data[[#This Row],[Order_Date]],"mmm")</f>
        <v>Mar</v>
      </c>
      <c r="R570">
        <f>MONTH(order_data[[#This Row],[Order_Date]])</f>
        <v>3</v>
      </c>
    </row>
    <row r="571" spans="1:18" x14ac:dyDescent="0.35">
      <c r="A571" t="s">
        <v>1095</v>
      </c>
      <c r="B571" t="s">
        <v>186</v>
      </c>
      <c r="C571" t="s">
        <v>24</v>
      </c>
      <c r="D571" t="s">
        <v>16</v>
      </c>
      <c r="E571" t="s">
        <v>89</v>
      </c>
      <c r="F571" t="s">
        <v>18</v>
      </c>
      <c r="G571" t="s">
        <v>74</v>
      </c>
      <c r="H571">
        <v>724</v>
      </c>
      <c r="I571">
        <v>40</v>
      </c>
      <c r="J571">
        <v>0</v>
      </c>
      <c r="K571" t="s">
        <v>29</v>
      </c>
      <c r="L571">
        <v>28</v>
      </c>
      <c r="M571" t="s">
        <v>21</v>
      </c>
      <c r="N571">
        <f>COUNTIF(order_data[Order_ID],order_data[[#This Row],[Order_ID]])</f>
        <v>1</v>
      </c>
      <c r="O571">
        <f>order_data[[#This Row],[Order_Value]]-order_data[[#This Row],[Discount]]</f>
        <v>724</v>
      </c>
      <c r="P571">
        <f>order_data[[#This Row],[Order_Value]]+order_data[[#This Row],[Delivery_Fee]]-order_data[[#This Row],[Discount]]</f>
        <v>764</v>
      </c>
      <c r="Q571" t="str">
        <f>TEXT(order_data[[#This Row],[Order_Date]],"mmm")</f>
        <v>Mar</v>
      </c>
      <c r="R571">
        <f>MONTH(order_data[[#This Row],[Order_Date]])</f>
        <v>3</v>
      </c>
    </row>
    <row r="572" spans="1:18" x14ac:dyDescent="0.35">
      <c r="A572" t="s">
        <v>1096</v>
      </c>
      <c r="B572" t="s">
        <v>280</v>
      </c>
      <c r="C572" t="s">
        <v>589</v>
      </c>
      <c r="D572" t="s">
        <v>16</v>
      </c>
      <c r="E572" t="s">
        <v>89</v>
      </c>
      <c r="F572" t="s">
        <v>18</v>
      </c>
      <c r="G572" t="s">
        <v>42</v>
      </c>
      <c r="H572">
        <v>792</v>
      </c>
      <c r="I572">
        <v>50</v>
      </c>
      <c r="J572">
        <v>50</v>
      </c>
      <c r="K572" t="s">
        <v>20</v>
      </c>
      <c r="L572">
        <v>41</v>
      </c>
      <c r="M572" t="s">
        <v>21</v>
      </c>
      <c r="N572">
        <f>COUNTIF(order_data[Order_ID],order_data[[#This Row],[Order_ID]])</f>
        <v>1</v>
      </c>
      <c r="O572">
        <f>order_data[[#This Row],[Order_Value]]-order_data[[#This Row],[Discount]]</f>
        <v>742</v>
      </c>
      <c r="P572">
        <f>order_data[[#This Row],[Order_Value]]+order_data[[#This Row],[Delivery_Fee]]-order_data[[#This Row],[Discount]]</f>
        <v>792</v>
      </c>
      <c r="Q572" t="str">
        <f>TEXT(order_data[[#This Row],[Order_Date]],"mmm")</f>
        <v>Jan</v>
      </c>
      <c r="R572">
        <f>MONTH(order_data[[#This Row],[Order_Date]])</f>
        <v>1</v>
      </c>
    </row>
    <row r="573" spans="1:18" x14ac:dyDescent="0.35">
      <c r="A573" t="s">
        <v>1097</v>
      </c>
      <c r="B573" t="s">
        <v>413</v>
      </c>
      <c r="C573" t="s">
        <v>1098</v>
      </c>
      <c r="D573" t="s">
        <v>53</v>
      </c>
      <c r="E573" t="s">
        <v>84</v>
      </c>
      <c r="F573" t="s">
        <v>85</v>
      </c>
      <c r="G573" t="s">
        <v>59</v>
      </c>
      <c r="H573">
        <v>283</v>
      </c>
      <c r="I573">
        <v>40</v>
      </c>
      <c r="J573">
        <v>100</v>
      </c>
      <c r="K573" t="s">
        <v>36</v>
      </c>
      <c r="L573">
        <v>28</v>
      </c>
      <c r="M573" t="s">
        <v>21</v>
      </c>
      <c r="N573">
        <f>COUNTIF(order_data[Order_ID],order_data[[#This Row],[Order_ID]])</f>
        <v>1</v>
      </c>
      <c r="O573">
        <f>order_data[[#This Row],[Order_Value]]-order_data[[#This Row],[Discount]]</f>
        <v>183</v>
      </c>
      <c r="P573">
        <f>order_data[[#This Row],[Order_Value]]+order_data[[#This Row],[Delivery_Fee]]-order_data[[#This Row],[Discount]]</f>
        <v>223</v>
      </c>
      <c r="Q573" t="str">
        <f>TEXT(order_data[[#This Row],[Order_Date]],"mmm")</f>
        <v>Mar</v>
      </c>
      <c r="R573">
        <f>MONTH(order_data[[#This Row],[Order_Date]])</f>
        <v>3</v>
      </c>
    </row>
    <row r="574" spans="1:18" x14ac:dyDescent="0.35">
      <c r="A574" t="s">
        <v>1099</v>
      </c>
      <c r="B574" t="s">
        <v>271</v>
      </c>
      <c r="C574" t="s">
        <v>1100</v>
      </c>
      <c r="D574" t="s">
        <v>25</v>
      </c>
      <c r="E574" t="s">
        <v>34</v>
      </c>
      <c r="F574" t="s">
        <v>27</v>
      </c>
      <c r="G574" t="s">
        <v>35</v>
      </c>
      <c r="H574">
        <v>187</v>
      </c>
      <c r="I574">
        <v>50</v>
      </c>
      <c r="J574">
        <v>20</v>
      </c>
      <c r="K574" t="s">
        <v>29</v>
      </c>
      <c r="L574">
        <v>23</v>
      </c>
      <c r="M574" t="s">
        <v>21</v>
      </c>
      <c r="N574">
        <f>COUNTIF(order_data[Order_ID],order_data[[#This Row],[Order_ID]])</f>
        <v>1</v>
      </c>
      <c r="O574">
        <f>order_data[[#This Row],[Order_Value]]-order_data[[#This Row],[Discount]]</f>
        <v>167</v>
      </c>
      <c r="P574">
        <f>order_data[[#This Row],[Order_Value]]+order_data[[#This Row],[Delivery_Fee]]-order_data[[#This Row],[Discount]]</f>
        <v>217</v>
      </c>
      <c r="Q574" t="str">
        <f>TEXT(order_data[[#This Row],[Order_Date]],"mmm")</f>
        <v>Jan</v>
      </c>
      <c r="R574">
        <f>MONTH(order_data[[#This Row],[Order_Date]])</f>
        <v>1</v>
      </c>
    </row>
    <row r="575" spans="1:18" x14ac:dyDescent="0.35">
      <c r="A575" t="s">
        <v>1101</v>
      </c>
      <c r="B575" t="s">
        <v>271</v>
      </c>
      <c r="C575" t="s">
        <v>195</v>
      </c>
      <c r="D575" t="s">
        <v>40</v>
      </c>
      <c r="E575" t="s">
        <v>41</v>
      </c>
      <c r="F575" t="s">
        <v>27</v>
      </c>
      <c r="G575" t="s">
        <v>19</v>
      </c>
      <c r="H575">
        <v>707</v>
      </c>
      <c r="I575">
        <v>50</v>
      </c>
      <c r="J575">
        <v>20</v>
      </c>
      <c r="K575" t="s">
        <v>29</v>
      </c>
      <c r="L575">
        <v>56</v>
      </c>
      <c r="M575" t="s">
        <v>21</v>
      </c>
      <c r="N575">
        <f>COUNTIF(order_data[Order_ID],order_data[[#This Row],[Order_ID]])</f>
        <v>1</v>
      </c>
      <c r="O575">
        <f>order_data[[#This Row],[Order_Value]]-order_data[[#This Row],[Discount]]</f>
        <v>687</v>
      </c>
      <c r="P575">
        <f>order_data[[#This Row],[Order_Value]]+order_data[[#This Row],[Delivery_Fee]]-order_data[[#This Row],[Discount]]</f>
        <v>737</v>
      </c>
      <c r="Q575" t="str">
        <f>TEXT(order_data[[#This Row],[Order_Date]],"mmm")</f>
        <v>Jan</v>
      </c>
      <c r="R575">
        <f>MONTH(order_data[[#This Row],[Order_Date]])</f>
        <v>1</v>
      </c>
    </row>
    <row r="576" spans="1:18" x14ac:dyDescent="0.35">
      <c r="A576" t="s">
        <v>1102</v>
      </c>
      <c r="B576" t="s">
        <v>291</v>
      </c>
      <c r="C576" t="s">
        <v>759</v>
      </c>
      <c r="D576" t="s">
        <v>46</v>
      </c>
      <c r="E576" t="s">
        <v>47</v>
      </c>
      <c r="F576" t="s">
        <v>48</v>
      </c>
      <c r="G576" t="s">
        <v>107</v>
      </c>
      <c r="H576">
        <v>288</v>
      </c>
      <c r="I576">
        <v>30</v>
      </c>
      <c r="J576">
        <v>20</v>
      </c>
      <c r="K576" t="s">
        <v>36</v>
      </c>
      <c r="L576">
        <v>49</v>
      </c>
      <c r="M576" t="s">
        <v>21</v>
      </c>
      <c r="N576">
        <f>COUNTIF(order_data[Order_ID],order_data[[#This Row],[Order_ID]])</f>
        <v>1</v>
      </c>
      <c r="O576">
        <f>order_data[[#This Row],[Order_Value]]-order_data[[#This Row],[Discount]]</f>
        <v>268</v>
      </c>
      <c r="P576">
        <f>order_data[[#This Row],[Order_Value]]+order_data[[#This Row],[Delivery_Fee]]-order_data[[#This Row],[Discount]]</f>
        <v>298</v>
      </c>
      <c r="Q576" t="str">
        <f>TEXT(order_data[[#This Row],[Order_Date]],"mmm")</f>
        <v>Feb</v>
      </c>
      <c r="R576">
        <f>MONTH(order_data[[#This Row],[Order_Date]])</f>
        <v>2</v>
      </c>
    </row>
    <row r="577" spans="1:18" x14ac:dyDescent="0.35">
      <c r="A577" t="s">
        <v>1103</v>
      </c>
      <c r="B577" t="s">
        <v>218</v>
      </c>
      <c r="C577" t="s">
        <v>211</v>
      </c>
      <c r="D577" t="s">
        <v>25</v>
      </c>
      <c r="E577" t="s">
        <v>34</v>
      </c>
      <c r="F577" t="s">
        <v>27</v>
      </c>
      <c r="G577" t="s">
        <v>28</v>
      </c>
      <c r="H577">
        <v>747</v>
      </c>
      <c r="I577">
        <v>30</v>
      </c>
      <c r="J577">
        <v>0</v>
      </c>
      <c r="K577" t="s">
        <v>29</v>
      </c>
      <c r="L577">
        <v>25</v>
      </c>
      <c r="M577" t="s">
        <v>21</v>
      </c>
      <c r="N577">
        <f>COUNTIF(order_data[Order_ID],order_data[[#This Row],[Order_ID]])</f>
        <v>1</v>
      </c>
      <c r="O577">
        <f>order_data[[#This Row],[Order_Value]]-order_data[[#This Row],[Discount]]</f>
        <v>747</v>
      </c>
      <c r="P577">
        <f>order_data[[#This Row],[Order_Value]]+order_data[[#This Row],[Delivery_Fee]]-order_data[[#This Row],[Discount]]</f>
        <v>777</v>
      </c>
      <c r="Q577" t="str">
        <f>TEXT(order_data[[#This Row],[Order_Date]],"mmm")</f>
        <v>Feb</v>
      </c>
      <c r="R577">
        <f>MONTH(order_data[[#This Row],[Order_Date]])</f>
        <v>2</v>
      </c>
    </row>
    <row r="578" spans="1:18" x14ac:dyDescent="0.35">
      <c r="A578" t="s">
        <v>1104</v>
      </c>
      <c r="B578" t="s">
        <v>513</v>
      </c>
      <c r="C578" t="s">
        <v>334</v>
      </c>
      <c r="D578" t="s">
        <v>46</v>
      </c>
      <c r="E578" t="s">
        <v>148</v>
      </c>
      <c r="F578" t="s">
        <v>27</v>
      </c>
      <c r="G578" t="s">
        <v>28</v>
      </c>
      <c r="H578">
        <v>696</v>
      </c>
      <c r="I578">
        <v>50</v>
      </c>
      <c r="J578">
        <v>20</v>
      </c>
      <c r="K578" t="s">
        <v>29</v>
      </c>
      <c r="L578">
        <v>38</v>
      </c>
      <c r="M578" t="s">
        <v>21</v>
      </c>
      <c r="N578">
        <f>COUNTIF(order_data[Order_ID],order_data[[#This Row],[Order_ID]])</f>
        <v>1</v>
      </c>
      <c r="O578">
        <f>order_data[[#This Row],[Order_Value]]-order_data[[#This Row],[Discount]]</f>
        <v>676</v>
      </c>
      <c r="P578">
        <f>order_data[[#This Row],[Order_Value]]+order_data[[#This Row],[Delivery_Fee]]-order_data[[#This Row],[Discount]]</f>
        <v>726</v>
      </c>
      <c r="Q578" t="str">
        <f>TEXT(order_data[[#This Row],[Order_Date]],"mmm")</f>
        <v>Feb</v>
      </c>
      <c r="R578">
        <f>MONTH(order_data[[#This Row],[Order_Date]])</f>
        <v>2</v>
      </c>
    </row>
    <row r="579" spans="1:18" x14ac:dyDescent="0.35">
      <c r="A579" t="s">
        <v>1105</v>
      </c>
      <c r="B579" t="s">
        <v>562</v>
      </c>
      <c r="C579" t="s">
        <v>907</v>
      </c>
      <c r="D579" t="s">
        <v>40</v>
      </c>
      <c r="E579" t="s">
        <v>67</v>
      </c>
      <c r="F579" t="s">
        <v>48</v>
      </c>
      <c r="G579" t="s">
        <v>176</v>
      </c>
      <c r="H579">
        <v>418</v>
      </c>
      <c r="I579">
        <v>40</v>
      </c>
      <c r="J579">
        <v>50</v>
      </c>
      <c r="K579" t="s">
        <v>36</v>
      </c>
      <c r="L579">
        <v>48</v>
      </c>
      <c r="M579" t="s">
        <v>21</v>
      </c>
      <c r="N579">
        <f>COUNTIF(order_data[Order_ID],order_data[[#This Row],[Order_ID]])</f>
        <v>1</v>
      </c>
      <c r="O579">
        <f>order_data[[#This Row],[Order_Value]]-order_data[[#This Row],[Discount]]</f>
        <v>368</v>
      </c>
      <c r="P579">
        <f>order_data[[#This Row],[Order_Value]]+order_data[[#This Row],[Delivery_Fee]]-order_data[[#This Row],[Discount]]</f>
        <v>408</v>
      </c>
      <c r="Q579" t="str">
        <f>TEXT(order_data[[#This Row],[Order_Date]],"mmm")</f>
        <v>Feb</v>
      </c>
      <c r="R579">
        <f>MONTH(order_data[[#This Row],[Order_Date]])</f>
        <v>2</v>
      </c>
    </row>
    <row r="580" spans="1:18" x14ac:dyDescent="0.35">
      <c r="A580" t="s">
        <v>1106</v>
      </c>
      <c r="B580" t="s">
        <v>218</v>
      </c>
      <c r="C580" t="s">
        <v>359</v>
      </c>
      <c r="D580" t="s">
        <v>53</v>
      </c>
      <c r="E580" t="s">
        <v>152</v>
      </c>
      <c r="F580" t="s">
        <v>18</v>
      </c>
      <c r="G580" t="s">
        <v>19</v>
      </c>
      <c r="H580">
        <v>702</v>
      </c>
      <c r="I580">
        <v>30</v>
      </c>
      <c r="J580">
        <v>30</v>
      </c>
      <c r="K580" t="s">
        <v>20</v>
      </c>
      <c r="L580">
        <v>54</v>
      </c>
      <c r="M580" t="s">
        <v>21</v>
      </c>
      <c r="N580">
        <f>COUNTIF(order_data[Order_ID],order_data[[#This Row],[Order_ID]])</f>
        <v>1</v>
      </c>
      <c r="O580">
        <f>order_data[[#This Row],[Order_Value]]-order_data[[#This Row],[Discount]]</f>
        <v>672</v>
      </c>
      <c r="P580">
        <f>order_data[[#This Row],[Order_Value]]+order_data[[#This Row],[Delivery_Fee]]-order_data[[#This Row],[Discount]]</f>
        <v>702</v>
      </c>
      <c r="Q580" t="str">
        <f>TEXT(order_data[[#This Row],[Order_Date]],"mmm")</f>
        <v>Feb</v>
      </c>
      <c r="R580">
        <f>MONTH(order_data[[#This Row],[Order_Date]])</f>
        <v>2</v>
      </c>
    </row>
    <row r="581" spans="1:18" x14ac:dyDescent="0.35">
      <c r="A581" t="s">
        <v>1107</v>
      </c>
      <c r="B581" t="s">
        <v>476</v>
      </c>
      <c r="C581" t="s">
        <v>1108</v>
      </c>
      <c r="D581" t="s">
        <v>40</v>
      </c>
      <c r="E581" t="s">
        <v>111</v>
      </c>
      <c r="F581" t="s">
        <v>18</v>
      </c>
      <c r="G581" t="s">
        <v>107</v>
      </c>
      <c r="H581">
        <v>510</v>
      </c>
      <c r="I581">
        <v>30</v>
      </c>
      <c r="J581">
        <v>0</v>
      </c>
      <c r="K581" t="s">
        <v>29</v>
      </c>
      <c r="L581">
        <v>43</v>
      </c>
      <c r="M581" t="s">
        <v>21</v>
      </c>
      <c r="N581">
        <f>COUNTIF(order_data[Order_ID],order_data[[#This Row],[Order_ID]])</f>
        <v>1</v>
      </c>
      <c r="O581">
        <f>order_data[[#This Row],[Order_Value]]-order_data[[#This Row],[Discount]]</f>
        <v>510</v>
      </c>
      <c r="P581">
        <f>order_data[[#This Row],[Order_Value]]+order_data[[#This Row],[Delivery_Fee]]-order_data[[#This Row],[Discount]]</f>
        <v>540</v>
      </c>
      <c r="Q581" t="str">
        <f>TEXT(order_data[[#This Row],[Order_Date]],"mmm")</f>
        <v>Jan</v>
      </c>
      <c r="R581">
        <f>MONTH(order_data[[#This Row],[Order_Date]])</f>
        <v>1</v>
      </c>
    </row>
    <row r="582" spans="1:18" x14ac:dyDescent="0.35">
      <c r="A582" t="s">
        <v>1109</v>
      </c>
      <c r="B582" t="s">
        <v>226</v>
      </c>
      <c r="C582" t="s">
        <v>88</v>
      </c>
      <c r="D582" t="s">
        <v>53</v>
      </c>
      <c r="E582" t="s">
        <v>152</v>
      </c>
      <c r="F582" t="s">
        <v>18</v>
      </c>
      <c r="G582" t="s">
        <v>49</v>
      </c>
      <c r="H582">
        <v>389</v>
      </c>
      <c r="I582">
        <v>20</v>
      </c>
      <c r="J582">
        <v>20</v>
      </c>
      <c r="K582" t="s">
        <v>29</v>
      </c>
      <c r="L582">
        <v>28</v>
      </c>
      <c r="M582" t="s">
        <v>21</v>
      </c>
      <c r="N582">
        <f>COUNTIF(order_data[Order_ID],order_data[[#This Row],[Order_ID]])</f>
        <v>1</v>
      </c>
      <c r="O582">
        <f>order_data[[#This Row],[Order_Value]]-order_data[[#This Row],[Discount]]</f>
        <v>369</v>
      </c>
      <c r="P582">
        <f>order_data[[#This Row],[Order_Value]]+order_data[[#This Row],[Delivery_Fee]]-order_data[[#This Row],[Discount]]</f>
        <v>389</v>
      </c>
      <c r="Q582" t="str">
        <f>TEXT(order_data[[#This Row],[Order_Date]],"mmm")</f>
        <v>Jan</v>
      </c>
      <c r="R582">
        <f>MONTH(order_data[[#This Row],[Order_Date]])</f>
        <v>1</v>
      </c>
    </row>
    <row r="583" spans="1:18" x14ac:dyDescent="0.35">
      <c r="A583" t="s">
        <v>1110</v>
      </c>
      <c r="B583" t="s">
        <v>72</v>
      </c>
      <c r="C583" t="s">
        <v>1111</v>
      </c>
      <c r="D583" t="s">
        <v>16</v>
      </c>
      <c r="E583" t="s">
        <v>89</v>
      </c>
      <c r="F583" t="s">
        <v>18</v>
      </c>
      <c r="G583" t="s">
        <v>107</v>
      </c>
      <c r="H583">
        <v>531</v>
      </c>
      <c r="I583">
        <v>30</v>
      </c>
      <c r="J583">
        <v>100</v>
      </c>
      <c r="K583" t="s">
        <v>29</v>
      </c>
      <c r="L583">
        <v>55</v>
      </c>
      <c r="M583" t="s">
        <v>21</v>
      </c>
      <c r="N583">
        <f>COUNTIF(order_data[Order_ID],order_data[[#This Row],[Order_ID]])</f>
        <v>1</v>
      </c>
      <c r="O583">
        <f>order_data[[#This Row],[Order_Value]]-order_data[[#This Row],[Discount]]</f>
        <v>431</v>
      </c>
      <c r="P583">
        <f>order_data[[#This Row],[Order_Value]]+order_data[[#This Row],[Delivery_Fee]]-order_data[[#This Row],[Discount]]</f>
        <v>461</v>
      </c>
      <c r="Q583" t="str">
        <f>TEXT(order_data[[#This Row],[Order_Date]],"mmm")</f>
        <v>Jan</v>
      </c>
      <c r="R583">
        <f>MONTH(order_data[[#This Row],[Order_Date]])</f>
        <v>1</v>
      </c>
    </row>
    <row r="584" spans="1:18" x14ac:dyDescent="0.35">
      <c r="A584" t="s">
        <v>1112</v>
      </c>
      <c r="B584" t="s">
        <v>473</v>
      </c>
      <c r="C584" t="s">
        <v>182</v>
      </c>
      <c r="D584" t="s">
        <v>40</v>
      </c>
      <c r="E584" t="s">
        <v>41</v>
      </c>
      <c r="F584" t="s">
        <v>27</v>
      </c>
      <c r="G584" t="s">
        <v>74</v>
      </c>
      <c r="H584">
        <v>365</v>
      </c>
      <c r="I584">
        <v>40</v>
      </c>
      <c r="J584">
        <v>30</v>
      </c>
      <c r="K584" t="s">
        <v>29</v>
      </c>
      <c r="L584">
        <v>56</v>
      </c>
      <c r="M584" t="s">
        <v>21</v>
      </c>
      <c r="N584">
        <f>COUNTIF(order_data[Order_ID],order_data[[#This Row],[Order_ID]])</f>
        <v>1</v>
      </c>
      <c r="O584">
        <f>order_data[[#This Row],[Order_Value]]-order_data[[#This Row],[Discount]]</f>
        <v>335</v>
      </c>
      <c r="P584">
        <f>order_data[[#This Row],[Order_Value]]+order_data[[#This Row],[Delivery_Fee]]-order_data[[#This Row],[Discount]]</f>
        <v>375</v>
      </c>
      <c r="Q584" t="str">
        <f>TEXT(order_data[[#This Row],[Order_Date]],"mmm")</f>
        <v>Mar</v>
      </c>
      <c r="R584">
        <f>MONTH(order_data[[#This Row],[Order_Date]])</f>
        <v>3</v>
      </c>
    </row>
    <row r="585" spans="1:18" x14ac:dyDescent="0.35">
      <c r="A585" t="s">
        <v>1113</v>
      </c>
      <c r="B585" t="s">
        <v>449</v>
      </c>
      <c r="C585" t="s">
        <v>1114</v>
      </c>
      <c r="D585" t="s">
        <v>25</v>
      </c>
      <c r="E585" t="s">
        <v>78</v>
      </c>
      <c r="F585" t="s">
        <v>48</v>
      </c>
      <c r="G585" t="s">
        <v>28</v>
      </c>
      <c r="H585">
        <v>590</v>
      </c>
      <c r="I585">
        <v>30</v>
      </c>
      <c r="J585">
        <v>50</v>
      </c>
      <c r="K585" t="s">
        <v>20</v>
      </c>
      <c r="L585">
        <v>41</v>
      </c>
      <c r="M585" t="s">
        <v>21</v>
      </c>
      <c r="N585">
        <f>COUNTIF(order_data[Order_ID],order_data[[#This Row],[Order_ID]])</f>
        <v>1</v>
      </c>
      <c r="O585">
        <f>order_data[[#This Row],[Order_Value]]-order_data[[#This Row],[Discount]]</f>
        <v>540</v>
      </c>
      <c r="P585">
        <f>order_data[[#This Row],[Order_Value]]+order_data[[#This Row],[Delivery_Fee]]-order_data[[#This Row],[Discount]]</f>
        <v>570</v>
      </c>
      <c r="Q585" t="str">
        <f>TEXT(order_data[[#This Row],[Order_Date]],"mmm")</f>
        <v>Mar</v>
      </c>
      <c r="R585">
        <f>MONTH(order_data[[#This Row],[Order_Date]])</f>
        <v>3</v>
      </c>
    </row>
    <row r="586" spans="1:18" x14ac:dyDescent="0.35">
      <c r="A586" t="s">
        <v>1115</v>
      </c>
      <c r="B586" t="s">
        <v>513</v>
      </c>
      <c r="C586" t="s">
        <v>1116</v>
      </c>
      <c r="D586" t="s">
        <v>40</v>
      </c>
      <c r="E586" t="s">
        <v>67</v>
      </c>
      <c r="F586" t="s">
        <v>48</v>
      </c>
      <c r="G586" t="s">
        <v>107</v>
      </c>
      <c r="H586">
        <v>608</v>
      </c>
      <c r="I586">
        <v>30</v>
      </c>
      <c r="J586">
        <v>20</v>
      </c>
      <c r="K586" t="s">
        <v>29</v>
      </c>
      <c r="L586">
        <v>42</v>
      </c>
      <c r="M586" t="s">
        <v>21</v>
      </c>
      <c r="N586">
        <f>COUNTIF(order_data[Order_ID],order_data[[#This Row],[Order_ID]])</f>
        <v>1</v>
      </c>
      <c r="O586">
        <f>order_data[[#This Row],[Order_Value]]-order_data[[#This Row],[Discount]]</f>
        <v>588</v>
      </c>
      <c r="P586">
        <f>order_data[[#This Row],[Order_Value]]+order_data[[#This Row],[Delivery_Fee]]-order_data[[#This Row],[Discount]]</f>
        <v>618</v>
      </c>
      <c r="Q586" t="str">
        <f>TEXT(order_data[[#This Row],[Order_Date]],"mmm")</f>
        <v>Feb</v>
      </c>
      <c r="R586">
        <f>MONTH(order_data[[#This Row],[Order_Date]])</f>
        <v>2</v>
      </c>
    </row>
    <row r="587" spans="1:18" x14ac:dyDescent="0.35">
      <c r="A587" t="s">
        <v>1117</v>
      </c>
      <c r="B587" t="s">
        <v>189</v>
      </c>
      <c r="C587" t="s">
        <v>682</v>
      </c>
      <c r="D587" t="s">
        <v>46</v>
      </c>
      <c r="E587" t="s">
        <v>148</v>
      </c>
      <c r="F587" t="s">
        <v>27</v>
      </c>
      <c r="G587" t="s">
        <v>28</v>
      </c>
      <c r="H587">
        <v>207</v>
      </c>
      <c r="I587">
        <v>50</v>
      </c>
      <c r="J587">
        <v>0</v>
      </c>
      <c r="K587" t="s">
        <v>20</v>
      </c>
      <c r="L587">
        <v>21</v>
      </c>
      <c r="M587" t="s">
        <v>21</v>
      </c>
      <c r="N587">
        <f>COUNTIF(order_data[Order_ID],order_data[[#This Row],[Order_ID]])</f>
        <v>1</v>
      </c>
      <c r="O587">
        <f>order_data[[#This Row],[Order_Value]]-order_data[[#This Row],[Discount]]</f>
        <v>207</v>
      </c>
      <c r="P587">
        <f>order_data[[#This Row],[Order_Value]]+order_data[[#This Row],[Delivery_Fee]]-order_data[[#This Row],[Discount]]</f>
        <v>257</v>
      </c>
      <c r="Q587" t="str">
        <f>TEXT(order_data[[#This Row],[Order_Date]],"mmm")</f>
        <v>Feb</v>
      </c>
      <c r="R587">
        <f>MONTH(order_data[[#This Row],[Order_Date]])</f>
        <v>2</v>
      </c>
    </row>
    <row r="588" spans="1:18" x14ac:dyDescent="0.35">
      <c r="A588" t="s">
        <v>1118</v>
      </c>
      <c r="B588" t="s">
        <v>44</v>
      </c>
      <c r="C588" t="s">
        <v>403</v>
      </c>
      <c r="D588" t="s">
        <v>25</v>
      </c>
      <c r="E588" t="s">
        <v>34</v>
      </c>
      <c r="F588" t="s">
        <v>27</v>
      </c>
      <c r="G588" t="s">
        <v>59</v>
      </c>
      <c r="H588">
        <v>640</v>
      </c>
      <c r="I588">
        <v>50</v>
      </c>
      <c r="J588">
        <v>100</v>
      </c>
      <c r="K588" t="s">
        <v>20</v>
      </c>
      <c r="L588">
        <v>41</v>
      </c>
      <c r="M588" t="s">
        <v>21</v>
      </c>
      <c r="N588">
        <f>COUNTIF(order_data[Order_ID],order_data[[#This Row],[Order_ID]])</f>
        <v>1</v>
      </c>
      <c r="O588">
        <f>order_data[[#This Row],[Order_Value]]-order_data[[#This Row],[Discount]]</f>
        <v>540</v>
      </c>
      <c r="P588">
        <f>order_data[[#This Row],[Order_Value]]+order_data[[#This Row],[Delivery_Fee]]-order_data[[#This Row],[Discount]]</f>
        <v>590</v>
      </c>
      <c r="Q588" t="str">
        <f>TEXT(order_data[[#This Row],[Order_Date]],"mmm")</f>
        <v>Jan</v>
      </c>
      <c r="R588">
        <f>MONTH(order_data[[#This Row],[Order_Date]])</f>
        <v>1</v>
      </c>
    </row>
    <row r="589" spans="1:18" x14ac:dyDescent="0.35">
      <c r="A589" t="s">
        <v>1119</v>
      </c>
      <c r="B589" t="s">
        <v>205</v>
      </c>
      <c r="C589" t="s">
        <v>1026</v>
      </c>
      <c r="D589" t="s">
        <v>46</v>
      </c>
      <c r="E589" t="s">
        <v>70</v>
      </c>
      <c r="F589" t="s">
        <v>18</v>
      </c>
      <c r="G589" t="s">
        <v>42</v>
      </c>
      <c r="H589">
        <v>213</v>
      </c>
      <c r="I589">
        <v>30</v>
      </c>
      <c r="J589">
        <v>20</v>
      </c>
      <c r="K589" t="s">
        <v>29</v>
      </c>
      <c r="L589">
        <v>30</v>
      </c>
      <c r="M589" t="s">
        <v>21</v>
      </c>
      <c r="N589">
        <f>COUNTIF(order_data[Order_ID],order_data[[#This Row],[Order_ID]])</f>
        <v>1</v>
      </c>
      <c r="O589">
        <f>order_data[[#This Row],[Order_Value]]-order_data[[#This Row],[Discount]]</f>
        <v>193</v>
      </c>
      <c r="P589">
        <f>order_data[[#This Row],[Order_Value]]+order_data[[#This Row],[Delivery_Fee]]-order_data[[#This Row],[Discount]]</f>
        <v>223</v>
      </c>
      <c r="Q589" t="str">
        <f>TEXT(order_data[[#This Row],[Order_Date]],"mmm")</f>
        <v>Jan</v>
      </c>
      <c r="R589">
        <f>MONTH(order_data[[#This Row],[Order_Date]])</f>
        <v>1</v>
      </c>
    </row>
    <row r="590" spans="1:18" x14ac:dyDescent="0.35">
      <c r="A590" t="s">
        <v>1120</v>
      </c>
      <c r="B590" t="s">
        <v>44</v>
      </c>
      <c r="C590" t="s">
        <v>668</v>
      </c>
      <c r="D590" t="s">
        <v>16</v>
      </c>
      <c r="E590" t="s">
        <v>17</v>
      </c>
      <c r="F590" t="s">
        <v>18</v>
      </c>
      <c r="G590" t="s">
        <v>28</v>
      </c>
      <c r="H590">
        <v>243</v>
      </c>
      <c r="I590">
        <v>20</v>
      </c>
      <c r="J590">
        <v>50</v>
      </c>
      <c r="K590" t="s">
        <v>20</v>
      </c>
      <c r="L590">
        <v>48</v>
      </c>
      <c r="M590" t="s">
        <v>21</v>
      </c>
      <c r="N590">
        <f>COUNTIF(order_data[Order_ID],order_data[[#This Row],[Order_ID]])</f>
        <v>1</v>
      </c>
      <c r="O590">
        <f>order_data[[#This Row],[Order_Value]]-order_data[[#This Row],[Discount]]</f>
        <v>193</v>
      </c>
      <c r="P590">
        <f>order_data[[#This Row],[Order_Value]]+order_data[[#This Row],[Delivery_Fee]]-order_data[[#This Row],[Discount]]</f>
        <v>213</v>
      </c>
      <c r="Q590" t="str">
        <f>TEXT(order_data[[#This Row],[Order_Date]],"mmm")</f>
        <v>Jan</v>
      </c>
      <c r="R590">
        <f>MONTH(order_data[[#This Row],[Order_Date]])</f>
        <v>1</v>
      </c>
    </row>
    <row r="591" spans="1:18" x14ac:dyDescent="0.35">
      <c r="A591" t="s">
        <v>1121</v>
      </c>
      <c r="B591" t="s">
        <v>657</v>
      </c>
      <c r="C591" t="s">
        <v>575</v>
      </c>
      <c r="D591" t="s">
        <v>25</v>
      </c>
      <c r="E591" t="s">
        <v>26</v>
      </c>
      <c r="F591" t="s">
        <v>27</v>
      </c>
      <c r="G591" t="s">
        <v>176</v>
      </c>
      <c r="H591">
        <v>771</v>
      </c>
      <c r="I591">
        <v>40</v>
      </c>
      <c r="J591">
        <v>50</v>
      </c>
      <c r="K591" t="s">
        <v>29</v>
      </c>
      <c r="L591">
        <v>24</v>
      </c>
      <c r="M591" t="s">
        <v>21</v>
      </c>
      <c r="N591">
        <f>COUNTIF(order_data[Order_ID],order_data[[#This Row],[Order_ID]])</f>
        <v>1</v>
      </c>
      <c r="O591">
        <f>order_data[[#This Row],[Order_Value]]-order_data[[#This Row],[Discount]]</f>
        <v>721</v>
      </c>
      <c r="P591">
        <f>order_data[[#This Row],[Order_Value]]+order_data[[#This Row],[Delivery_Fee]]-order_data[[#This Row],[Discount]]</f>
        <v>761</v>
      </c>
      <c r="Q591" t="str">
        <f>TEXT(order_data[[#This Row],[Order_Date]],"mmm")</f>
        <v>Jan</v>
      </c>
      <c r="R591">
        <f>MONTH(order_data[[#This Row],[Order_Date]])</f>
        <v>1</v>
      </c>
    </row>
    <row r="592" spans="1:18" x14ac:dyDescent="0.35">
      <c r="A592" t="s">
        <v>1122</v>
      </c>
      <c r="B592" t="s">
        <v>435</v>
      </c>
      <c r="C592" t="s">
        <v>712</v>
      </c>
      <c r="D592" t="s">
        <v>40</v>
      </c>
      <c r="E592" t="s">
        <v>41</v>
      </c>
      <c r="F592" t="s">
        <v>27</v>
      </c>
      <c r="G592" t="s">
        <v>42</v>
      </c>
      <c r="H592">
        <v>392</v>
      </c>
      <c r="I592">
        <v>20</v>
      </c>
      <c r="J592">
        <v>20</v>
      </c>
      <c r="K592" t="s">
        <v>29</v>
      </c>
      <c r="L592">
        <v>29</v>
      </c>
      <c r="M592" t="s">
        <v>21</v>
      </c>
      <c r="N592">
        <f>COUNTIF(order_data[Order_ID],order_data[[#This Row],[Order_ID]])</f>
        <v>1</v>
      </c>
      <c r="O592">
        <f>order_data[[#This Row],[Order_Value]]-order_data[[#This Row],[Discount]]</f>
        <v>372</v>
      </c>
      <c r="P592">
        <f>order_data[[#This Row],[Order_Value]]+order_data[[#This Row],[Delivery_Fee]]-order_data[[#This Row],[Discount]]</f>
        <v>392</v>
      </c>
      <c r="Q592" t="str">
        <f>TEXT(order_data[[#This Row],[Order_Date]],"mmm")</f>
        <v>Feb</v>
      </c>
      <c r="R592">
        <f>MONTH(order_data[[#This Row],[Order_Date]])</f>
        <v>2</v>
      </c>
    </row>
    <row r="593" spans="1:18" x14ac:dyDescent="0.35">
      <c r="A593" t="s">
        <v>1123</v>
      </c>
      <c r="B593" t="s">
        <v>379</v>
      </c>
      <c r="C593" t="s">
        <v>1124</v>
      </c>
      <c r="D593" t="s">
        <v>16</v>
      </c>
      <c r="E593" t="s">
        <v>17</v>
      </c>
      <c r="F593" t="s">
        <v>18</v>
      </c>
      <c r="G593" t="s">
        <v>74</v>
      </c>
      <c r="H593">
        <v>384</v>
      </c>
      <c r="I593">
        <v>50</v>
      </c>
      <c r="J593">
        <v>0</v>
      </c>
      <c r="K593" t="s">
        <v>29</v>
      </c>
      <c r="L593">
        <v>53</v>
      </c>
      <c r="M593" t="s">
        <v>21</v>
      </c>
      <c r="N593">
        <f>COUNTIF(order_data[Order_ID],order_data[[#This Row],[Order_ID]])</f>
        <v>1</v>
      </c>
      <c r="O593">
        <f>order_data[[#This Row],[Order_Value]]-order_data[[#This Row],[Discount]]</f>
        <v>384</v>
      </c>
      <c r="P593">
        <f>order_data[[#This Row],[Order_Value]]+order_data[[#This Row],[Delivery_Fee]]-order_data[[#This Row],[Discount]]</f>
        <v>434</v>
      </c>
      <c r="Q593" t="str">
        <f>TEXT(order_data[[#This Row],[Order_Date]],"mmm")</f>
        <v>Mar</v>
      </c>
      <c r="R593">
        <f>MONTH(order_data[[#This Row],[Order_Date]])</f>
        <v>3</v>
      </c>
    </row>
    <row r="594" spans="1:18" x14ac:dyDescent="0.35">
      <c r="A594" t="s">
        <v>1125</v>
      </c>
      <c r="B594" t="s">
        <v>57</v>
      </c>
      <c r="C594" t="s">
        <v>1126</v>
      </c>
      <c r="D594" t="s">
        <v>25</v>
      </c>
      <c r="E594" t="s">
        <v>34</v>
      </c>
      <c r="F594" t="s">
        <v>27</v>
      </c>
      <c r="G594" t="s">
        <v>74</v>
      </c>
      <c r="H594">
        <v>638</v>
      </c>
      <c r="I594">
        <v>20</v>
      </c>
      <c r="J594">
        <v>20</v>
      </c>
      <c r="K594" t="s">
        <v>29</v>
      </c>
      <c r="L594">
        <v>58</v>
      </c>
      <c r="M594" t="s">
        <v>21</v>
      </c>
      <c r="N594">
        <f>COUNTIF(order_data[Order_ID],order_data[[#This Row],[Order_ID]])</f>
        <v>1</v>
      </c>
      <c r="O594">
        <f>order_data[[#This Row],[Order_Value]]-order_data[[#This Row],[Discount]]</f>
        <v>618</v>
      </c>
      <c r="P594">
        <f>order_data[[#This Row],[Order_Value]]+order_data[[#This Row],[Delivery_Fee]]-order_data[[#This Row],[Discount]]</f>
        <v>638</v>
      </c>
      <c r="Q594" t="str">
        <f>TEXT(order_data[[#This Row],[Order_Date]],"mmm")</f>
        <v>Jan</v>
      </c>
      <c r="R594">
        <f>MONTH(order_data[[#This Row],[Order_Date]])</f>
        <v>1</v>
      </c>
    </row>
    <row r="595" spans="1:18" x14ac:dyDescent="0.35">
      <c r="A595" t="s">
        <v>1127</v>
      </c>
      <c r="B595" t="s">
        <v>449</v>
      </c>
      <c r="C595" t="s">
        <v>1128</v>
      </c>
      <c r="D595" t="s">
        <v>46</v>
      </c>
      <c r="E595" t="s">
        <v>47</v>
      </c>
      <c r="F595" t="s">
        <v>48</v>
      </c>
      <c r="G595" t="s">
        <v>63</v>
      </c>
      <c r="H595">
        <v>340</v>
      </c>
      <c r="I595">
        <v>40</v>
      </c>
      <c r="J595">
        <v>0</v>
      </c>
      <c r="K595" t="s">
        <v>29</v>
      </c>
      <c r="L595">
        <v>48</v>
      </c>
      <c r="M595" t="s">
        <v>21</v>
      </c>
      <c r="N595">
        <f>COUNTIF(order_data[Order_ID],order_data[[#This Row],[Order_ID]])</f>
        <v>1</v>
      </c>
      <c r="O595">
        <f>order_data[[#This Row],[Order_Value]]-order_data[[#This Row],[Discount]]</f>
        <v>340</v>
      </c>
      <c r="P595">
        <f>order_data[[#This Row],[Order_Value]]+order_data[[#This Row],[Delivery_Fee]]-order_data[[#This Row],[Discount]]</f>
        <v>380</v>
      </c>
      <c r="Q595" t="str">
        <f>TEXT(order_data[[#This Row],[Order_Date]],"mmm")</f>
        <v>Mar</v>
      </c>
      <c r="R595">
        <f>MONTH(order_data[[#This Row],[Order_Date]])</f>
        <v>3</v>
      </c>
    </row>
    <row r="596" spans="1:18" x14ac:dyDescent="0.35">
      <c r="A596" t="s">
        <v>1129</v>
      </c>
      <c r="B596" t="s">
        <v>207</v>
      </c>
      <c r="C596" t="s">
        <v>634</v>
      </c>
      <c r="D596" t="s">
        <v>25</v>
      </c>
      <c r="E596" t="s">
        <v>34</v>
      </c>
      <c r="F596" t="s">
        <v>27</v>
      </c>
      <c r="G596" t="s">
        <v>42</v>
      </c>
      <c r="H596">
        <v>453</v>
      </c>
      <c r="I596">
        <v>40</v>
      </c>
      <c r="J596">
        <v>20</v>
      </c>
      <c r="K596" t="s">
        <v>36</v>
      </c>
      <c r="L596">
        <v>29</v>
      </c>
      <c r="M596" t="s">
        <v>21</v>
      </c>
      <c r="N596">
        <f>COUNTIF(order_data[Order_ID],order_data[[#This Row],[Order_ID]])</f>
        <v>1</v>
      </c>
      <c r="O596">
        <f>order_data[[#This Row],[Order_Value]]-order_data[[#This Row],[Discount]]</f>
        <v>433</v>
      </c>
      <c r="P596">
        <f>order_data[[#This Row],[Order_Value]]+order_data[[#This Row],[Delivery_Fee]]-order_data[[#This Row],[Discount]]</f>
        <v>473</v>
      </c>
      <c r="Q596" t="str">
        <f>TEXT(order_data[[#This Row],[Order_Date]],"mmm")</f>
        <v>Jan</v>
      </c>
      <c r="R596">
        <f>MONTH(order_data[[#This Row],[Order_Date]])</f>
        <v>1</v>
      </c>
    </row>
    <row r="597" spans="1:18" x14ac:dyDescent="0.35">
      <c r="A597" t="s">
        <v>1130</v>
      </c>
      <c r="B597" t="s">
        <v>178</v>
      </c>
      <c r="C597" t="s">
        <v>405</v>
      </c>
      <c r="D597" t="s">
        <v>25</v>
      </c>
      <c r="E597" t="s">
        <v>34</v>
      </c>
      <c r="F597" t="s">
        <v>27</v>
      </c>
      <c r="G597" t="s">
        <v>59</v>
      </c>
      <c r="H597">
        <v>399</v>
      </c>
      <c r="I597">
        <v>40</v>
      </c>
      <c r="J597">
        <v>20</v>
      </c>
      <c r="K597" t="s">
        <v>29</v>
      </c>
      <c r="L597">
        <v>28</v>
      </c>
      <c r="M597" t="s">
        <v>21</v>
      </c>
      <c r="N597">
        <f>COUNTIF(order_data[Order_ID],order_data[[#This Row],[Order_ID]])</f>
        <v>1</v>
      </c>
      <c r="O597">
        <f>order_data[[#This Row],[Order_Value]]-order_data[[#This Row],[Discount]]</f>
        <v>379</v>
      </c>
      <c r="P597">
        <f>order_data[[#This Row],[Order_Value]]+order_data[[#This Row],[Delivery_Fee]]-order_data[[#This Row],[Discount]]</f>
        <v>419</v>
      </c>
      <c r="Q597" t="str">
        <f>TEXT(order_data[[#This Row],[Order_Date]],"mmm")</f>
        <v>Feb</v>
      </c>
      <c r="R597">
        <f>MONTH(order_data[[#This Row],[Order_Date]])</f>
        <v>2</v>
      </c>
    </row>
    <row r="598" spans="1:18" x14ac:dyDescent="0.35">
      <c r="A598" t="s">
        <v>1131</v>
      </c>
      <c r="B598" t="s">
        <v>568</v>
      </c>
      <c r="C598" t="s">
        <v>439</v>
      </c>
      <c r="D598" t="s">
        <v>46</v>
      </c>
      <c r="E598" t="s">
        <v>47</v>
      </c>
      <c r="F598" t="s">
        <v>48</v>
      </c>
      <c r="G598" t="s">
        <v>74</v>
      </c>
      <c r="H598">
        <v>632</v>
      </c>
      <c r="I598">
        <v>40</v>
      </c>
      <c r="J598">
        <v>30</v>
      </c>
      <c r="K598" t="s">
        <v>20</v>
      </c>
      <c r="L598">
        <v>48</v>
      </c>
      <c r="M598" t="s">
        <v>21</v>
      </c>
      <c r="N598">
        <f>COUNTIF(order_data[Order_ID],order_data[[#This Row],[Order_ID]])</f>
        <v>1</v>
      </c>
      <c r="O598">
        <f>order_data[[#This Row],[Order_Value]]-order_data[[#This Row],[Discount]]</f>
        <v>602</v>
      </c>
      <c r="P598">
        <f>order_data[[#This Row],[Order_Value]]+order_data[[#This Row],[Delivery_Fee]]-order_data[[#This Row],[Discount]]</f>
        <v>642</v>
      </c>
      <c r="Q598" t="str">
        <f>TEXT(order_data[[#This Row],[Order_Date]],"mmm")</f>
        <v>Mar</v>
      </c>
      <c r="R598">
        <f>MONTH(order_data[[#This Row],[Order_Date]])</f>
        <v>3</v>
      </c>
    </row>
    <row r="599" spans="1:18" x14ac:dyDescent="0.35">
      <c r="A599" t="s">
        <v>1132</v>
      </c>
      <c r="B599" t="s">
        <v>300</v>
      </c>
      <c r="C599" t="s">
        <v>1133</v>
      </c>
      <c r="D599" t="s">
        <v>16</v>
      </c>
      <c r="E599" t="s">
        <v>89</v>
      </c>
      <c r="F599" t="s">
        <v>18</v>
      </c>
      <c r="G599" t="s">
        <v>176</v>
      </c>
      <c r="H599">
        <v>529</v>
      </c>
      <c r="I599">
        <v>20</v>
      </c>
      <c r="J599">
        <v>100</v>
      </c>
      <c r="K599" t="s">
        <v>20</v>
      </c>
      <c r="L599">
        <v>32</v>
      </c>
      <c r="M599" t="s">
        <v>21</v>
      </c>
      <c r="N599">
        <f>COUNTIF(order_data[Order_ID],order_data[[#This Row],[Order_ID]])</f>
        <v>1</v>
      </c>
      <c r="O599">
        <f>order_data[[#This Row],[Order_Value]]-order_data[[#This Row],[Discount]]</f>
        <v>429</v>
      </c>
      <c r="P599">
        <f>order_data[[#This Row],[Order_Value]]+order_data[[#This Row],[Delivery_Fee]]-order_data[[#This Row],[Discount]]</f>
        <v>449</v>
      </c>
      <c r="Q599" t="str">
        <f>TEXT(order_data[[#This Row],[Order_Date]],"mmm")</f>
        <v>Mar</v>
      </c>
      <c r="R599">
        <f>MONTH(order_data[[#This Row],[Order_Date]])</f>
        <v>3</v>
      </c>
    </row>
    <row r="600" spans="1:18" x14ac:dyDescent="0.35">
      <c r="A600" t="s">
        <v>1134</v>
      </c>
      <c r="B600" t="s">
        <v>192</v>
      </c>
      <c r="C600" t="s">
        <v>712</v>
      </c>
      <c r="D600" t="s">
        <v>25</v>
      </c>
      <c r="E600" t="s">
        <v>26</v>
      </c>
      <c r="F600" t="s">
        <v>27</v>
      </c>
      <c r="G600" t="s">
        <v>49</v>
      </c>
      <c r="H600">
        <v>547</v>
      </c>
      <c r="I600">
        <v>30</v>
      </c>
      <c r="J600">
        <v>100</v>
      </c>
      <c r="K600" t="s">
        <v>36</v>
      </c>
      <c r="L600">
        <v>59</v>
      </c>
      <c r="M600" t="s">
        <v>21</v>
      </c>
      <c r="N600">
        <f>COUNTIF(order_data[Order_ID],order_data[[#This Row],[Order_ID]])</f>
        <v>1</v>
      </c>
      <c r="O600">
        <f>order_data[[#This Row],[Order_Value]]-order_data[[#This Row],[Discount]]</f>
        <v>447</v>
      </c>
      <c r="P600">
        <f>order_data[[#This Row],[Order_Value]]+order_data[[#This Row],[Delivery_Fee]]-order_data[[#This Row],[Discount]]</f>
        <v>477</v>
      </c>
      <c r="Q600" t="str">
        <f>TEXT(order_data[[#This Row],[Order_Date]],"mmm")</f>
        <v>Mar</v>
      </c>
      <c r="R600">
        <f>MONTH(order_data[[#This Row],[Order_Date]])</f>
        <v>3</v>
      </c>
    </row>
    <row r="601" spans="1:18" x14ac:dyDescent="0.35">
      <c r="A601" t="s">
        <v>1135</v>
      </c>
      <c r="B601" t="s">
        <v>568</v>
      </c>
      <c r="C601" t="s">
        <v>1016</v>
      </c>
      <c r="D601" t="s">
        <v>16</v>
      </c>
      <c r="E601" t="s">
        <v>89</v>
      </c>
      <c r="F601" t="s">
        <v>18</v>
      </c>
      <c r="G601" t="s">
        <v>49</v>
      </c>
      <c r="H601">
        <v>699</v>
      </c>
      <c r="I601">
        <v>20</v>
      </c>
      <c r="J601">
        <v>100</v>
      </c>
      <c r="K601" t="s">
        <v>20</v>
      </c>
      <c r="L601">
        <v>25</v>
      </c>
      <c r="M601" t="s">
        <v>21</v>
      </c>
      <c r="N601">
        <f>COUNTIF(order_data[Order_ID],order_data[[#This Row],[Order_ID]])</f>
        <v>1</v>
      </c>
      <c r="O601">
        <f>order_data[[#This Row],[Order_Value]]-order_data[[#This Row],[Discount]]</f>
        <v>599</v>
      </c>
      <c r="P601">
        <f>order_data[[#This Row],[Order_Value]]+order_data[[#This Row],[Delivery_Fee]]-order_data[[#This Row],[Discount]]</f>
        <v>619</v>
      </c>
      <c r="Q601" t="str">
        <f>TEXT(order_data[[#This Row],[Order_Date]],"mmm")</f>
        <v>Mar</v>
      </c>
      <c r="R601">
        <f>MONTH(order_data[[#This Row],[Order_Date]])</f>
        <v>3</v>
      </c>
    </row>
    <row r="602" spans="1:18" x14ac:dyDescent="0.35">
      <c r="A602" t="s">
        <v>1136</v>
      </c>
      <c r="B602" t="s">
        <v>329</v>
      </c>
      <c r="C602" t="s">
        <v>250</v>
      </c>
      <c r="D602" t="s">
        <v>53</v>
      </c>
      <c r="E602" t="s">
        <v>84</v>
      </c>
      <c r="F602" t="s">
        <v>85</v>
      </c>
      <c r="G602" t="s">
        <v>19</v>
      </c>
      <c r="H602">
        <v>465</v>
      </c>
      <c r="I602">
        <v>30</v>
      </c>
      <c r="J602">
        <v>100</v>
      </c>
      <c r="K602" t="s">
        <v>36</v>
      </c>
      <c r="L602">
        <v>52</v>
      </c>
      <c r="M602" t="s">
        <v>21</v>
      </c>
      <c r="N602">
        <f>COUNTIF(order_data[Order_ID],order_data[[#This Row],[Order_ID]])</f>
        <v>1</v>
      </c>
      <c r="O602">
        <f>order_data[[#This Row],[Order_Value]]-order_data[[#This Row],[Discount]]</f>
        <v>365</v>
      </c>
      <c r="P602">
        <f>order_data[[#This Row],[Order_Value]]+order_data[[#This Row],[Delivery_Fee]]-order_data[[#This Row],[Discount]]</f>
        <v>395</v>
      </c>
      <c r="Q602" t="str">
        <f>TEXT(order_data[[#This Row],[Order_Date]],"mmm")</f>
        <v>Mar</v>
      </c>
      <c r="R602">
        <f>MONTH(order_data[[#This Row],[Order_Date]])</f>
        <v>3</v>
      </c>
    </row>
    <row r="603" spans="1:18" x14ac:dyDescent="0.35">
      <c r="A603" t="s">
        <v>1137</v>
      </c>
      <c r="B603" t="s">
        <v>186</v>
      </c>
      <c r="C603" t="s">
        <v>1138</v>
      </c>
      <c r="D603" t="s">
        <v>16</v>
      </c>
      <c r="E603" t="s">
        <v>131</v>
      </c>
      <c r="F603" t="s">
        <v>55</v>
      </c>
      <c r="G603" t="s">
        <v>107</v>
      </c>
      <c r="H603">
        <v>201</v>
      </c>
      <c r="I603">
        <v>50</v>
      </c>
      <c r="J603">
        <v>20</v>
      </c>
      <c r="K603" t="s">
        <v>20</v>
      </c>
      <c r="L603">
        <v>23</v>
      </c>
      <c r="M603" t="s">
        <v>21</v>
      </c>
      <c r="N603">
        <f>COUNTIF(order_data[Order_ID],order_data[[#This Row],[Order_ID]])</f>
        <v>1</v>
      </c>
      <c r="O603">
        <f>order_data[[#This Row],[Order_Value]]-order_data[[#This Row],[Discount]]</f>
        <v>181</v>
      </c>
      <c r="P603">
        <f>order_data[[#This Row],[Order_Value]]+order_data[[#This Row],[Delivery_Fee]]-order_data[[#This Row],[Discount]]</f>
        <v>231</v>
      </c>
      <c r="Q603" t="str">
        <f>TEXT(order_data[[#This Row],[Order_Date]],"mmm")</f>
        <v>Mar</v>
      </c>
      <c r="R603">
        <f>MONTH(order_data[[#This Row],[Order_Date]])</f>
        <v>3</v>
      </c>
    </row>
    <row r="604" spans="1:18" x14ac:dyDescent="0.35">
      <c r="A604" t="s">
        <v>1139</v>
      </c>
      <c r="B604" t="s">
        <v>513</v>
      </c>
      <c r="C604" t="s">
        <v>106</v>
      </c>
      <c r="D604" t="s">
        <v>25</v>
      </c>
      <c r="E604" t="s">
        <v>26</v>
      </c>
      <c r="F604" t="s">
        <v>27</v>
      </c>
      <c r="G604" t="s">
        <v>28</v>
      </c>
      <c r="H604">
        <v>181</v>
      </c>
      <c r="I604">
        <v>20</v>
      </c>
      <c r="J604">
        <v>100</v>
      </c>
      <c r="K604" t="s">
        <v>29</v>
      </c>
      <c r="L604">
        <v>58</v>
      </c>
      <c r="M604" t="s">
        <v>21</v>
      </c>
      <c r="N604">
        <f>COUNTIF(order_data[Order_ID],order_data[[#This Row],[Order_ID]])</f>
        <v>1</v>
      </c>
      <c r="O604">
        <f>order_data[[#This Row],[Order_Value]]-order_data[[#This Row],[Discount]]</f>
        <v>81</v>
      </c>
      <c r="P604">
        <f>order_data[[#This Row],[Order_Value]]+order_data[[#This Row],[Delivery_Fee]]-order_data[[#This Row],[Discount]]</f>
        <v>101</v>
      </c>
      <c r="Q604" t="str">
        <f>TEXT(order_data[[#This Row],[Order_Date]],"mmm")</f>
        <v>Feb</v>
      </c>
      <c r="R604">
        <f>MONTH(order_data[[#This Row],[Order_Date]])</f>
        <v>2</v>
      </c>
    </row>
    <row r="605" spans="1:18" x14ac:dyDescent="0.35">
      <c r="A605" t="s">
        <v>1140</v>
      </c>
      <c r="B605" t="s">
        <v>583</v>
      </c>
      <c r="C605" t="s">
        <v>1141</v>
      </c>
      <c r="D605" t="s">
        <v>40</v>
      </c>
      <c r="E605" t="s">
        <v>41</v>
      </c>
      <c r="F605" t="s">
        <v>27</v>
      </c>
      <c r="G605" t="s">
        <v>49</v>
      </c>
      <c r="H605">
        <v>710</v>
      </c>
      <c r="I605">
        <v>50</v>
      </c>
      <c r="J605">
        <v>0</v>
      </c>
      <c r="K605" t="s">
        <v>29</v>
      </c>
      <c r="L605">
        <v>41</v>
      </c>
      <c r="M605" t="s">
        <v>21</v>
      </c>
      <c r="N605">
        <f>COUNTIF(order_data[Order_ID],order_data[[#This Row],[Order_ID]])</f>
        <v>1</v>
      </c>
      <c r="O605">
        <f>order_data[[#This Row],[Order_Value]]-order_data[[#This Row],[Discount]]</f>
        <v>710</v>
      </c>
      <c r="P605">
        <f>order_data[[#This Row],[Order_Value]]+order_data[[#This Row],[Delivery_Fee]]-order_data[[#This Row],[Discount]]</f>
        <v>760</v>
      </c>
      <c r="Q605" t="str">
        <f>TEXT(order_data[[#This Row],[Order_Date]],"mmm")</f>
        <v>Jan</v>
      </c>
      <c r="R605">
        <f>MONTH(order_data[[#This Row],[Order_Date]])</f>
        <v>1</v>
      </c>
    </row>
    <row r="606" spans="1:18" x14ac:dyDescent="0.35">
      <c r="A606" t="s">
        <v>1142</v>
      </c>
      <c r="B606" t="s">
        <v>23</v>
      </c>
      <c r="C606" t="s">
        <v>569</v>
      </c>
      <c r="D606" t="s">
        <v>53</v>
      </c>
      <c r="E606" t="s">
        <v>152</v>
      </c>
      <c r="F606" t="s">
        <v>18</v>
      </c>
      <c r="G606" t="s">
        <v>19</v>
      </c>
      <c r="H606">
        <v>739</v>
      </c>
      <c r="I606">
        <v>30</v>
      </c>
      <c r="J606">
        <v>0</v>
      </c>
      <c r="K606" t="s">
        <v>36</v>
      </c>
      <c r="L606">
        <v>56</v>
      </c>
      <c r="M606" t="s">
        <v>21</v>
      </c>
      <c r="N606">
        <f>COUNTIF(order_data[Order_ID],order_data[[#This Row],[Order_ID]])</f>
        <v>1</v>
      </c>
      <c r="O606">
        <f>order_data[[#This Row],[Order_Value]]-order_data[[#This Row],[Discount]]</f>
        <v>739</v>
      </c>
      <c r="P606">
        <f>order_data[[#This Row],[Order_Value]]+order_data[[#This Row],[Delivery_Fee]]-order_data[[#This Row],[Discount]]</f>
        <v>769</v>
      </c>
      <c r="Q606" t="str">
        <f>TEXT(order_data[[#This Row],[Order_Date]],"mmm")</f>
        <v>Mar</v>
      </c>
      <c r="R606">
        <f>MONTH(order_data[[#This Row],[Order_Date]])</f>
        <v>3</v>
      </c>
    </row>
    <row r="607" spans="1:18" x14ac:dyDescent="0.35">
      <c r="A607" t="s">
        <v>1143</v>
      </c>
      <c r="B607" t="s">
        <v>96</v>
      </c>
      <c r="C607" t="s">
        <v>1144</v>
      </c>
      <c r="D607" t="s">
        <v>40</v>
      </c>
      <c r="E607" t="s">
        <v>111</v>
      </c>
      <c r="F607" t="s">
        <v>18</v>
      </c>
      <c r="G607" t="s">
        <v>28</v>
      </c>
      <c r="H607">
        <v>203</v>
      </c>
      <c r="I607">
        <v>30</v>
      </c>
      <c r="J607">
        <v>0</v>
      </c>
      <c r="K607" t="s">
        <v>36</v>
      </c>
      <c r="L607">
        <v>37</v>
      </c>
      <c r="M607" t="s">
        <v>21</v>
      </c>
      <c r="N607">
        <f>COUNTIF(order_data[Order_ID],order_data[[#This Row],[Order_ID]])</f>
        <v>1</v>
      </c>
      <c r="O607">
        <f>order_data[[#This Row],[Order_Value]]-order_data[[#This Row],[Discount]]</f>
        <v>203</v>
      </c>
      <c r="P607">
        <f>order_data[[#This Row],[Order_Value]]+order_data[[#This Row],[Delivery_Fee]]-order_data[[#This Row],[Discount]]</f>
        <v>233</v>
      </c>
      <c r="Q607" t="str">
        <f>TEXT(order_data[[#This Row],[Order_Date]],"mmm")</f>
        <v>Mar</v>
      </c>
      <c r="R607">
        <f>MONTH(order_data[[#This Row],[Order_Date]])</f>
        <v>3</v>
      </c>
    </row>
    <row r="608" spans="1:18" x14ac:dyDescent="0.35">
      <c r="A608" t="s">
        <v>1145</v>
      </c>
      <c r="B608" t="s">
        <v>72</v>
      </c>
      <c r="C608" t="s">
        <v>380</v>
      </c>
      <c r="D608" t="s">
        <v>25</v>
      </c>
      <c r="E608" t="s">
        <v>34</v>
      </c>
      <c r="F608" t="s">
        <v>27</v>
      </c>
      <c r="G608" t="s">
        <v>176</v>
      </c>
      <c r="H608">
        <v>175</v>
      </c>
      <c r="I608">
        <v>30</v>
      </c>
      <c r="J608">
        <v>30</v>
      </c>
      <c r="K608" t="s">
        <v>36</v>
      </c>
      <c r="L608">
        <v>56</v>
      </c>
      <c r="M608" t="s">
        <v>21</v>
      </c>
      <c r="N608">
        <f>COUNTIF(order_data[Order_ID],order_data[[#This Row],[Order_ID]])</f>
        <v>1</v>
      </c>
      <c r="O608">
        <f>order_data[[#This Row],[Order_Value]]-order_data[[#This Row],[Discount]]</f>
        <v>145</v>
      </c>
      <c r="P608">
        <f>order_data[[#This Row],[Order_Value]]+order_data[[#This Row],[Delivery_Fee]]-order_data[[#This Row],[Discount]]</f>
        <v>175</v>
      </c>
      <c r="Q608" t="str">
        <f>TEXT(order_data[[#This Row],[Order_Date]],"mmm")</f>
        <v>Jan</v>
      </c>
      <c r="R608">
        <f>MONTH(order_data[[#This Row],[Order_Date]])</f>
        <v>1</v>
      </c>
    </row>
    <row r="609" spans="1:18" x14ac:dyDescent="0.35">
      <c r="A609" t="s">
        <v>1146</v>
      </c>
      <c r="B609" t="s">
        <v>541</v>
      </c>
      <c r="C609" t="s">
        <v>1147</v>
      </c>
      <c r="D609" t="s">
        <v>40</v>
      </c>
      <c r="E609" t="s">
        <v>111</v>
      </c>
      <c r="F609" t="s">
        <v>18</v>
      </c>
      <c r="G609" t="s">
        <v>176</v>
      </c>
      <c r="H609">
        <v>563</v>
      </c>
      <c r="I609">
        <v>30</v>
      </c>
      <c r="J609">
        <v>100</v>
      </c>
      <c r="K609" t="s">
        <v>36</v>
      </c>
      <c r="L609">
        <v>29</v>
      </c>
      <c r="M609" t="s">
        <v>21</v>
      </c>
      <c r="N609">
        <f>COUNTIF(order_data[Order_ID],order_data[[#This Row],[Order_ID]])</f>
        <v>1</v>
      </c>
      <c r="O609">
        <f>order_data[[#This Row],[Order_Value]]-order_data[[#This Row],[Discount]]</f>
        <v>463</v>
      </c>
      <c r="P609">
        <f>order_data[[#This Row],[Order_Value]]+order_data[[#This Row],[Delivery_Fee]]-order_data[[#This Row],[Discount]]</f>
        <v>493</v>
      </c>
      <c r="Q609" t="str">
        <f>TEXT(order_data[[#This Row],[Order_Date]],"mmm")</f>
        <v>Jan</v>
      </c>
      <c r="R609">
        <f>MONTH(order_data[[#This Row],[Order_Date]])</f>
        <v>1</v>
      </c>
    </row>
    <row r="610" spans="1:18" x14ac:dyDescent="0.35">
      <c r="A610" t="s">
        <v>1148</v>
      </c>
      <c r="B610" t="s">
        <v>300</v>
      </c>
      <c r="C610" t="s">
        <v>1149</v>
      </c>
      <c r="D610" t="s">
        <v>46</v>
      </c>
      <c r="E610" t="s">
        <v>47</v>
      </c>
      <c r="F610" t="s">
        <v>48</v>
      </c>
      <c r="G610" t="s">
        <v>35</v>
      </c>
      <c r="H610">
        <v>334</v>
      </c>
      <c r="I610">
        <v>50</v>
      </c>
      <c r="J610">
        <v>20</v>
      </c>
      <c r="K610" t="s">
        <v>29</v>
      </c>
      <c r="L610">
        <v>38</v>
      </c>
      <c r="M610" t="s">
        <v>21</v>
      </c>
      <c r="N610">
        <f>COUNTIF(order_data[Order_ID],order_data[[#This Row],[Order_ID]])</f>
        <v>1</v>
      </c>
      <c r="O610">
        <f>order_data[[#This Row],[Order_Value]]-order_data[[#This Row],[Discount]]</f>
        <v>314</v>
      </c>
      <c r="P610">
        <f>order_data[[#This Row],[Order_Value]]+order_data[[#This Row],[Delivery_Fee]]-order_data[[#This Row],[Discount]]</f>
        <v>364</v>
      </c>
      <c r="Q610" t="str">
        <f>TEXT(order_data[[#This Row],[Order_Date]],"mmm")</f>
        <v>Mar</v>
      </c>
      <c r="R610">
        <f>MONTH(order_data[[#This Row],[Order_Date]])</f>
        <v>3</v>
      </c>
    </row>
    <row r="611" spans="1:18" x14ac:dyDescent="0.35">
      <c r="A611" t="s">
        <v>1150</v>
      </c>
      <c r="B611" t="s">
        <v>226</v>
      </c>
      <c r="C611" t="s">
        <v>482</v>
      </c>
      <c r="D611" t="s">
        <v>53</v>
      </c>
      <c r="E611" t="s">
        <v>54</v>
      </c>
      <c r="F611" t="s">
        <v>55</v>
      </c>
      <c r="G611" t="s">
        <v>74</v>
      </c>
      <c r="H611">
        <v>387</v>
      </c>
      <c r="I611">
        <v>30</v>
      </c>
      <c r="J611">
        <v>100</v>
      </c>
      <c r="K611" t="s">
        <v>29</v>
      </c>
      <c r="L611">
        <v>32</v>
      </c>
      <c r="M611" t="s">
        <v>21</v>
      </c>
      <c r="N611">
        <f>COUNTIF(order_data[Order_ID],order_data[[#This Row],[Order_ID]])</f>
        <v>1</v>
      </c>
      <c r="O611">
        <f>order_data[[#This Row],[Order_Value]]-order_data[[#This Row],[Discount]]</f>
        <v>287</v>
      </c>
      <c r="P611">
        <f>order_data[[#This Row],[Order_Value]]+order_data[[#This Row],[Delivery_Fee]]-order_data[[#This Row],[Discount]]</f>
        <v>317</v>
      </c>
      <c r="Q611" t="str">
        <f>TEXT(order_data[[#This Row],[Order_Date]],"mmm")</f>
        <v>Jan</v>
      </c>
      <c r="R611">
        <f>MONTH(order_data[[#This Row],[Order_Date]])</f>
        <v>1</v>
      </c>
    </row>
    <row r="612" spans="1:18" x14ac:dyDescent="0.35">
      <c r="A612" t="s">
        <v>1151</v>
      </c>
      <c r="B612" t="s">
        <v>336</v>
      </c>
      <c r="C612" t="s">
        <v>1152</v>
      </c>
      <c r="D612" t="s">
        <v>16</v>
      </c>
      <c r="E612" t="s">
        <v>131</v>
      </c>
      <c r="F612" t="s">
        <v>55</v>
      </c>
      <c r="G612" t="s">
        <v>49</v>
      </c>
      <c r="H612">
        <v>585</v>
      </c>
      <c r="I612">
        <v>40</v>
      </c>
      <c r="J612">
        <v>30</v>
      </c>
      <c r="K612" t="s">
        <v>36</v>
      </c>
      <c r="L612">
        <v>21</v>
      </c>
      <c r="M612" t="s">
        <v>30</v>
      </c>
      <c r="N612">
        <f>COUNTIF(order_data[Order_ID],order_data[[#This Row],[Order_ID]])</f>
        <v>1</v>
      </c>
      <c r="O612">
        <f>order_data[[#This Row],[Order_Value]]-order_data[[#This Row],[Discount]]</f>
        <v>555</v>
      </c>
      <c r="P612">
        <f>order_data[[#This Row],[Order_Value]]+order_data[[#This Row],[Delivery_Fee]]-order_data[[#This Row],[Discount]]</f>
        <v>595</v>
      </c>
      <c r="Q612" t="str">
        <f>TEXT(order_data[[#This Row],[Order_Date]],"mmm")</f>
        <v>Feb</v>
      </c>
      <c r="R612">
        <f>MONTH(order_data[[#This Row],[Order_Date]])</f>
        <v>2</v>
      </c>
    </row>
    <row r="613" spans="1:18" x14ac:dyDescent="0.35">
      <c r="A613" t="s">
        <v>1153</v>
      </c>
      <c r="B613" t="s">
        <v>241</v>
      </c>
      <c r="C613" t="s">
        <v>179</v>
      </c>
      <c r="D613" t="s">
        <v>25</v>
      </c>
      <c r="E613" t="s">
        <v>78</v>
      </c>
      <c r="F613" t="s">
        <v>48</v>
      </c>
      <c r="G613" t="s">
        <v>42</v>
      </c>
      <c r="H613">
        <v>175</v>
      </c>
      <c r="I613">
        <v>20</v>
      </c>
      <c r="J613">
        <v>20</v>
      </c>
      <c r="K613" t="s">
        <v>36</v>
      </c>
      <c r="L613">
        <v>51</v>
      </c>
      <c r="M613" t="s">
        <v>21</v>
      </c>
      <c r="N613">
        <f>COUNTIF(order_data[Order_ID],order_data[[#This Row],[Order_ID]])</f>
        <v>1</v>
      </c>
      <c r="O613">
        <f>order_data[[#This Row],[Order_Value]]-order_data[[#This Row],[Discount]]</f>
        <v>155</v>
      </c>
      <c r="P613">
        <f>order_data[[#This Row],[Order_Value]]+order_data[[#This Row],[Delivery_Fee]]-order_data[[#This Row],[Discount]]</f>
        <v>175</v>
      </c>
      <c r="Q613" t="str">
        <f>TEXT(order_data[[#This Row],[Order_Date]],"mmm")</f>
        <v>Mar</v>
      </c>
      <c r="R613">
        <f>MONTH(order_data[[#This Row],[Order_Date]])</f>
        <v>3</v>
      </c>
    </row>
    <row r="614" spans="1:18" x14ac:dyDescent="0.35">
      <c r="A614" t="s">
        <v>1154</v>
      </c>
      <c r="B614" t="s">
        <v>393</v>
      </c>
      <c r="C614" t="s">
        <v>471</v>
      </c>
      <c r="D614" t="s">
        <v>16</v>
      </c>
      <c r="E614" t="s">
        <v>131</v>
      </c>
      <c r="F614" t="s">
        <v>55</v>
      </c>
      <c r="G614" t="s">
        <v>42</v>
      </c>
      <c r="H614">
        <v>557</v>
      </c>
      <c r="I614">
        <v>30</v>
      </c>
      <c r="J614">
        <v>30</v>
      </c>
      <c r="K614" t="s">
        <v>20</v>
      </c>
      <c r="L614">
        <v>36</v>
      </c>
      <c r="M614" t="s">
        <v>30</v>
      </c>
      <c r="N614">
        <f>COUNTIF(order_data[Order_ID],order_data[[#This Row],[Order_ID]])</f>
        <v>1</v>
      </c>
      <c r="O614">
        <f>order_data[[#This Row],[Order_Value]]-order_data[[#This Row],[Discount]]</f>
        <v>527</v>
      </c>
      <c r="P614">
        <f>order_data[[#This Row],[Order_Value]]+order_data[[#This Row],[Delivery_Fee]]-order_data[[#This Row],[Discount]]</f>
        <v>557</v>
      </c>
      <c r="Q614" t="str">
        <f>TEXT(order_data[[#This Row],[Order_Date]],"mmm")</f>
        <v>Feb</v>
      </c>
      <c r="R614">
        <f>MONTH(order_data[[#This Row],[Order_Date]])</f>
        <v>2</v>
      </c>
    </row>
    <row r="615" spans="1:18" x14ac:dyDescent="0.35">
      <c r="A615" t="s">
        <v>1155</v>
      </c>
      <c r="B615" t="s">
        <v>96</v>
      </c>
      <c r="C615" t="s">
        <v>1012</v>
      </c>
      <c r="D615" t="s">
        <v>25</v>
      </c>
      <c r="E615" t="s">
        <v>26</v>
      </c>
      <c r="F615" t="s">
        <v>27</v>
      </c>
      <c r="G615" t="s">
        <v>35</v>
      </c>
      <c r="H615">
        <v>671</v>
      </c>
      <c r="I615">
        <v>40</v>
      </c>
      <c r="J615">
        <v>20</v>
      </c>
      <c r="K615" t="s">
        <v>20</v>
      </c>
      <c r="L615">
        <v>34</v>
      </c>
      <c r="M615" t="s">
        <v>21</v>
      </c>
      <c r="N615">
        <f>COUNTIF(order_data[Order_ID],order_data[[#This Row],[Order_ID]])</f>
        <v>1</v>
      </c>
      <c r="O615">
        <f>order_data[[#This Row],[Order_Value]]-order_data[[#This Row],[Discount]]</f>
        <v>651</v>
      </c>
      <c r="P615">
        <f>order_data[[#This Row],[Order_Value]]+order_data[[#This Row],[Delivery_Fee]]-order_data[[#This Row],[Discount]]</f>
        <v>691</v>
      </c>
      <c r="Q615" t="str">
        <f>TEXT(order_data[[#This Row],[Order_Date]],"mmm")</f>
        <v>Mar</v>
      </c>
      <c r="R615">
        <f>MONTH(order_data[[#This Row],[Order_Date]])</f>
        <v>3</v>
      </c>
    </row>
    <row r="616" spans="1:18" x14ac:dyDescent="0.35">
      <c r="A616" t="s">
        <v>1156</v>
      </c>
      <c r="B616" t="s">
        <v>271</v>
      </c>
      <c r="C616" t="s">
        <v>175</v>
      </c>
      <c r="D616" t="s">
        <v>40</v>
      </c>
      <c r="E616" t="s">
        <v>67</v>
      </c>
      <c r="F616" t="s">
        <v>48</v>
      </c>
      <c r="G616" t="s">
        <v>107</v>
      </c>
      <c r="H616">
        <v>587</v>
      </c>
      <c r="I616">
        <v>30</v>
      </c>
      <c r="J616">
        <v>50</v>
      </c>
      <c r="K616" t="s">
        <v>29</v>
      </c>
      <c r="L616">
        <v>32</v>
      </c>
      <c r="M616" t="s">
        <v>21</v>
      </c>
      <c r="N616">
        <f>COUNTIF(order_data[Order_ID],order_data[[#This Row],[Order_ID]])</f>
        <v>1</v>
      </c>
      <c r="O616">
        <f>order_data[[#This Row],[Order_Value]]-order_data[[#This Row],[Discount]]</f>
        <v>537</v>
      </c>
      <c r="P616">
        <f>order_data[[#This Row],[Order_Value]]+order_data[[#This Row],[Delivery_Fee]]-order_data[[#This Row],[Discount]]</f>
        <v>567</v>
      </c>
      <c r="Q616" t="str">
        <f>TEXT(order_data[[#This Row],[Order_Date]],"mmm")</f>
        <v>Jan</v>
      </c>
      <c r="R616">
        <f>MONTH(order_data[[#This Row],[Order_Date]])</f>
        <v>1</v>
      </c>
    </row>
    <row r="617" spans="1:18" x14ac:dyDescent="0.35">
      <c r="A617" t="s">
        <v>1157</v>
      </c>
      <c r="B617" t="s">
        <v>342</v>
      </c>
      <c r="C617" t="s">
        <v>640</v>
      </c>
      <c r="D617" t="s">
        <v>16</v>
      </c>
      <c r="E617" t="s">
        <v>17</v>
      </c>
      <c r="F617" t="s">
        <v>18</v>
      </c>
      <c r="G617" t="s">
        <v>49</v>
      </c>
      <c r="H617">
        <v>390</v>
      </c>
      <c r="I617">
        <v>50</v>
      </c>
      <c r="J617">
        <v>100</v>
      </c>
      <c r="K617" t="s">
        <v>29</v>
      </c>
      <c r="L617">
        <v>49</v>
      </c>
      <c r="M617" t="s">
        <v>21</v>
      </c>
      <c r="N617">
        <f>COUNTIF(order_data[Order_ID],order_data[[#This Row],[Order_ID]])</f>
        <v>1</v>
      </c>
      <c r="O617">
        <f>order_data[[#This Row],[Order_Value]]-order_data[[#This Row],[Discount]]</f>
        <v>290</v>
      </c>
      <c r="P617">
        <f>order_data[[#This Row],[Order_Value]]+order_data[[#This Row],[Delivery_Fee]]-order_data[[#This Row],[Discount]]</f>
        <v>340</v>
      </c>
      <c r="Q617" t="str">
        <f>TEXT(order_data[[#This Row],[Order_Date]],"mmm")</f>
        <v>Jan</v>
      </c>
      <c r="R617">
        <f>MONTH(order_data[[#This Row],[Order_Date]])</f>
        <v>1</v>
      </c>
    </row>
    <row r="618" spans="1:18" x14ac:dyDescent="0.35">
      <c r="A618" t="s">
        <v>1158</v>
      </c>
      <c r="B618" t="s">
        <v>252</v>
      </c>
      <c r="C618" t="s">
        <v>351</v>
      </c>
      <c r="D618" t="s">
        <v>16</v>
      </c>
      <c r="E618" t="s">
        <v>17</v>
      </c>
      <c r="F618" t="s">
        <v>18</v>
      </c>
      <c r="G618" t="s">
        <v>176</v>
      </c>
      <c r="H618">
        <v>671</v>
      </c>
      <c r="I618">
        <v>40</v>
      </c>
      <c r="J618">
        <v>30</v>
      </c>
      <c r="K618" t="s">
        <v>29</v>
      </c>
      <c r="L618">
        <v>48</v>
      </c>
      <c r="M618" t="s">
        <v>21</v>
      </c>
      <c r="N618">
        <f>COUNTIF(order_data[Order_ID],order_data[[#This Row],[Order_ID]])</f>
        <v>1</v>
      </c>
      <c r="O618">
        <f>order_data[[#This Row],[Order_Value]]-order_data[[#This Row],[Discount]]</f>
        <v>641</v>
      </c>
      <c r="P618">
        <f>order_data[[#This Row],[Order_Value]]+order_data[[#This Row],[Delivery_Fee]]-order_data[[#This Row],[Discount]]</f>
        <v>681</v>
      </c>
      <c r="Q618" t="str">
        <f>TEXT(order_data[[#This Row],[Order_Date]],"mmm")</f>
        <v>Jan</v>
      </c>
      <c r="R618">
        <f>MONTH(order_data[[#This Row],[Order_Date]])</f>
        <v>1</v>
      </c>
    </row>
    <row r="619" spans="1:18" x14ac:dyDescent="0.35">
      <c r="A619" t="s">
        <v>1159</v>
      </c>
      <c r="B619" t="s">
        <v>80</v>
      </c>
      <c r="C619" t="s">
        <v>612</v>
      </c>
      <c r="D619" t="s">
        <v>46</v>
      </c>
      <c r="E619" t="s">
        <v>148</v>
      </c>
      <c r="F619" t="s">
        <v>27</v>
      </c>
      <c r="G619" t="s">
        <v>74</v>
      </c>
      <c r="H619">
        <v>684</v>
      </c>
      <c r="I619">
        <v>30</v>
      </c>
      <c r="J619">
        <v>30</v>
      </c>
      <c r="K619" t="s">
        <v>29</v>
      </c>
      <c r="L619">
        <v>36</v>
      </c>
      <c r="M619" t="s">
        <v>21</v>
      </c>
      <c r="N619">
        <f>COUNTIF(order_data[Order_ID],order_data[[#This Row],[Order_ID]])</f>
        <v>1</v>
      </c>
      <c r="O619">
        <f>order_data[[#This Row],[Order_Value]]-order_data[[#This Row],[Discount]]</f>
        <v>654</v>
      </c>
      <c r="P619">
        <f>order_data[[#This Row],[Order_Value]]+order_data[[#This Row],[Delivery_Fee]]-order_data[[#This Row],[Discount]]</f>
        <v>684</v>
      </c>
      <c r="Q619" t="str">
        <f>TEXT(order_data[[#This Row],[Order_Date]],"mmm")</f>
        <v>Feb</v>
      </c>
      <c r="R619">
        <f>MONTH(order_data[[#This Row],[Order_Date]])</f>
        <v>2</v>
      </c>
    </row>
    <row r="620" spans="1:18" x14ac:dyDescent="0.35">
      <c r="A620" t="s">
        <v>1160</v>
      </c>
      <c r="B620" t="s">
        <v>223</v>
      </c>
      <c r="C620" t="s">
        <v>767</v>
      </c>
      <c r="D620" t="s">
        <v>25</v>
      </c>
      <c r="E620" t="s">
        <v>34</v>
      </c>
      <c r="F620" t="s">
        <v>27</v>
      </c>
      <c r="G620" t="s">
        <v>74</v>
      </c>
      <c r="H620">
        <v>273</v>
      </c>
      <c r="I620">
        <v>30</v>
      </c>
      <c r="J620">
        <v>50</v>
      </c>
      <c r="K620" t="s">
        <v>29</v>
      </c>
      <c r="L620">
        <v>20</v>
      </c>
      <c r="M620" t="s">
        <v>21</v>
      </c>
      <c r="N620">
        <f>COUNTIF(order_data[Order_ID],order_data[[#This Row],[Order_ID]])</f>
        <v>1</v>
      </c>
      <c r="O620">
        <f>order_data[[#This Row],[Order_Value]]-order_data[[#This Row],[Discount]]</f>
        <v>223</v>
      </c>
      <c r="P620">
        <f>order_data[[#This Row],[Order_Value]]+order_data[[#This Row],[Delivery_Fee]]-order_data[[#This Row],[Discount]]</f>
        <v>253</v>
      </c>
      <c r="Q620" t="str">
        <f>TEXT(order_data[[#This Row],[Order_Date]],"mmm")</f>
        <v>Mar</v>
      </c>
      <c r="R620">
        <f>MONTH(order_data[[#This Row],[Order_Date]])</f>
        <v>3</v>
      </c>
    </row>
    <row r="621" spans="1:18" x14ac:dyDescent="0.35">
      <c r="A621" t="s">
        <v>1161</v>
      </c>
      <c r="B621" t="s">
        <v>657</v>
      </c>
      <c r="C621" t="s">
        <v>1162</v>
      </c>
      <c r="D621" t="s">
        <v>46</v>
      </c>
      <c r="E621" t="s">
        <v>148</v>
      </c>
      <c r="F621" t="s">
        <v>27</v>
      </c>
      <c r="G621" t="s">
        <v>59</v>
      </c>
      <c r="H621">
        <v>749</v>
      </c>
      <c r="I621">
        <v>40</v>
      </c>
      <c r="J621">
        <v>30</v>
      </c>
      <c r="K621" t="s">
        <v>20</v>
      </c>
      <c r="L621">
        <v>23</v>
      </c>
      <c r="M621" t="s">
        <v>30</v>
      </c>
      <c r="N621">
        <f>COUNTIF(order_data[Order_ID],order_data[[#This Row],[Order_ID]])</f>
        <v>1</v>
      </c>
      <c r="O621">
        <f>order_data[[#This Row],[Order_Value]]-order_data[[#This Row],[Discount]]</f>
        <v>719</v>
      </c>
      <c r="P621">
        <f>order_data[[#This Row],[Order_Value]]+order_data[[#This Row],[Delivery_Fee]]-order_data[[#This Row],[Discount]]</f>
        <v>759</v>
      </c>
      <c r="Q621" t="str">
        <f>TEXT(order_data[[#This Row],[Order_Date]],"mmm")</f>
        <v>Jan</v>
      </c>
      <c r="R621">
        <f>MONTH(order_data[[#This Row],[Order_Date]])</f>
        <v>1</v>
      </c>
    </row>
    <row r="622" spans="1:18" x14ac:dyDescent="0.35">
      <c r="A622" t="s">
        <v>1163</v>
      </c>
      <c r="B622" t="s">
        <v>223</v>
      </c>
      <c r="C622" t="s">
        <v>873</v>
      </c>
      <c r="D622" t="s">
        <v>25</v>
      </c>
      <c r="E622" t="s">
        <v>26</v>
      </c>
      <c r="F622" t="s">
        <v>27</v>
      </c>
      <c r="G622" t="s">
        <v>28</v>
      </c>
      <c r="H622">
        <v>655</v>
      </c>
      <c r="I622">
        <v>40</v>
      </c>
      <c r="J622">
        <v>0</v>
      </c>
      <c r="K622" t="s">
        <v>20</v>
      </c>
      <c r="L622">
        <v>30</v>
      </c>
      <c r="M622" t="s">
        <v>21</v>
      </c>
      <c r="N622">
        <f>COUNTIF(order_data[Order_ID],order_data[[#This Row],[Order_ID]])</f>
        <v>1</v>
      </c>
      <c r="O622">
        <f>order_data[[#This Row],[Order_Value]]-order_data[[#This Row],[Discount]]</f>
        <v>655</v>
      </c>
      <c r="P622">
        <f>order_data[[#This Row],[Order_Value]]+order_data[[#This Row],[Delivery_Fee]]-order_data[[#This Row],[Discount]]</f>
        <v>695</v>
      </c>
      <c r="Q622" t="str">
        <f>TEXT(order_data[[#This Row],[Order_Date]],"mmm")</f>
        <v>Mar</v>
      </c>
      <c r="R622">
        <f>MONTH(order_data[[#This Row],[Order_Date]])</f>
        <v>3</v>
      </c>
    </row>
    <row r="623" spans="1:18" x14ac:dyDescent="0.35">
      <c r="A623" t="s">
        <v>1164</v>
      </c>
      <c r="B623" t="s">
        <v>167</v>
      </c>
      <c r="C623" t="s">
        <v>539</v>
      </c>
      <c r="D623" t="s">
        <v>25</v>
      </c>
      <c r="E623" t="s">
        <v>34</v>
      </c>
      <c r="F623" t="s">
        <v>27</v>
      </c>
      <c r="G623" t="s">
        <v>59</v>
      </c>
      <c r="H623">
        <v>656</v>
      </c>
      <c r="I623">
        <v>40</v>
      </c>
      <c r="J623">
        <v>50</v>
      </c>
      <c r="K623" t="s">
        <v>36</v>
      </c>
      <c r="L623">
        <v>33</v>
      </c>
      <c r="M623" t="s">
        <v>21</v>
      </c>
      <c r="N623">
        <f>COUNTIF(order_data[Order_ID],order_data[[#This Row],[Order_ID]])</f>
        <v>1</v>
      </c>
      <c r="O623">
        <f>order_data[[#This Row],[Order_Value]]-order_data[[#This Row],[Discount]]</f>
        <v>606</v>
      </c>
      <c r="P623">
        <f>order_data[[#This Row],[Order_Value]]+order_data[[#This Row],[Delivery_Fee]]-order_data[[#This Row],[Discount]]</f>
        <v>646</v>
      </c>
      <c r="Q623" t="str">
        <f>TEXT(order_data[[#This Row],[Order_Date]],"mmm")</f>
        <v>Feb</v>
      </c>
      <c r="R623">
        <f>MONTH(order_data[[#This Row],[Order_Date]])</f>
        <v>2</v>
      </c>
    </row>
    <row r="624" spans="1:18" x14ac:dyDescent="0.35">
      <c r="A624" t="s">
        <v>1165</v>
      </c>
      <c r="B624" t="s">
        <v>526</v>
      </c>
      <c r="C624" t="s">
        <v>1166</v>
      </c>
      <c r="D624" t="s">
        <v>40</v>
      </c>
      <c r="E624" t="s">
        <v>67</v>
      </c>
      <c r="F624" t="s">
        <v>48</v>
      </c>
      <c r="G624" t="s">
        <v>42</v>
      </c>
      <c r="H624">
        <v>189</v>
      </c>
      <c r="I624">
        <v>50</v>
      </c>
      <c r="J624">
        <v>50</v>
      </c>
      <c r="K624" t="s">
        <v>29</v>
      </c>
      <c r="L624">
        <v>56</v>
      </c>
      <c r="M624" t="s">
        <v>21</v>
      </c>
      <c r="N624">
        <f>COUNTIF(order_data[Order_ID],order_data[[#This Row],[Order_ID]])</f>
        <v>1</v>
      </c>
      <c r="O624">
        <f>order_data[[#This Row],[Order_Value]]-order_data[[#This Row],[Discount]]</f>
        <v>139</v>
      </c>
      <c r="P624">
        <f>order_data[[#This Row],[Order_Value]]+order_data[[#This Row],[Delivery_Fee]]-order_data[[#This Row],[Discount]]</f>
        <v>189</v>
      </c>
      <c r="Q624" t="str">
        <f>TEXT(order_data[[#This Row],[Order_Date]],"mmm")</f>
        <v>Jan</v>
      </c>
      <c r="R624">
        <f>MONTH(order_data[[#This Row],[Order_Date]])</f>
        <v>1</v>
      </c>
    </row>
    <row r="625" spans="1:18" x14ac:dyDescent="0.35">
      <c r="A625" t="s">
        <v>1167</v>
      </c>
      <c r="B625" t="s">
        <v>113</v>
      </c>
      <c r="C625" t="s">
        <v>1168</v>
      </c>
      <c r="D625" t="s">
        <v>40</v>
      </c>
      <c r="E625" t="s">
        <v>67</v>
      </c>
      <c r="F625" t="s">
        <v>48</v>
      </c>
      <c r="G625" t="s">
        <v>28</v>
      </c>
      <c r="H625">
        <v>458</v>
      </c>
      <c r="I625">
        <v>40</v>
      </c>
      <c r="J625">
        <v>0</v>
      </c>
      <c r="K625" t="s">
        <v>29</v>
      </c>
      <c r="L625">
        <v>56</v>
      </c>
      <c r="M625" t="s">
        <v>21</v>
      </c>
      <c r="N625">
        <f>COUNTIF(order_data[Order_ID],order_data[[#This Row],[Order_ID]])</f>
        <v>1</v>
      </c>
      <c r="O625">
        <f>order_data[[#This Row],[Order_Value]]-order_data[[#This Row],[Discount]]</f>
        <v>458</v>
      </c>
      <c r="P625">
        <f>order_data[[#This Row],[Order_Value]]+order_data[[#This Row],[Delivery_Fee]]-order_data[[#This Row],[Discount]]</f>
        <v>498</v>
      </c>
      <c r="Q625" t="str">
        <f>TEXT(order_data[[#This Row],[Order_Date]],"mmm")</f>
        <v>Mar</v>
      </c>
      <c r="R625">
        <f>MONTH(order_data[[#This Row],[Order_Date]])</f>
        <v>3</v>
      </c>
    </row>
    <row r="626" spans="1:18" x14ac:dyDescent="0.35">
      <c r="A626" t="s">
        <v>1169</v>
      </c>
      <c r="B626" t="s">
        <v>14</v>
      </c>
      <c r="C626" t="s">
        <v>1170</v>
      </c>
      <c r="D626" t="s">
        <v>16</v>
      </c>
      <c r="E626" t="s">
        <v>17</v>
      </c>
      <c r="F626" t="s">
        <v>18</v>
      </c>
      <c r="G626" t="s">
        <v>28</v>
      </c>
      <c r="H626">
        <v>326</v>
      </c>
      <c r="I626">
        <v>20</v>
      </c>
      <c r="J626">
        <v>50</v>
      </c>
      <c r="K626" t="s">
        <v>36</v>
      </c>
      <c r="L626">
        <v>59</v>
      </c>
      <c r="M626" t="s">
        <v>21</v>
      </c>
      <c r="N626">
        <f>COUNTIF(order_data[Order_ID],order_data[[#This Row],[Order_ID]])</f>
        <v>1</v>
      </c>
      <c r="O626">
        <f>order_data[[#This Row],[Order_Value]]-order_data[[#This Row],[Discount]]</f>
        <v>276</v>
      </c>
      <c r="P626">
        <f>order_data[[#This Row],[Order_Value]]+order_data[[#This Row],[Delivery_Fee]]-order_data[[#This Row],[Discount]]</f>
        <v>296</v>
      </c>
      <c r="Q626" t="str">
        <f>TEXT(order_data[[#This Row],[Order_Date]],"mmm")</f>
        <v>Mar</v>
      </c>
      <c r="R626">
        <f>MONTH(order_data[[#This Row],[Order_Date]])</f>
        <v>3</v>
      </c>
    </row>
    <row r="627" spans="1:18" x14ac:dyDescent="0.35">
      <c r="A627" t="s">
        <v>1171</v>
      </c>
      <c r="B627" t="s">
        <v>295</v>
      </c>
      <c r="C627" t="s">
        <v>81</v>
      </c>
      <c r="D627" t="s">
        <v>46</v>
      </c>
      <c r="E627" t="s">
        <v>70</v>
      </c>
      <c r="F627" t="s">
        <v>18</v>
      </c>
      <c r="G627" t="s">
        <v>74</v>
      </c>
      <c r="H627">
        <v>401</v>
      </c>
      <c r="I627">
        <v>40</v>
      </c>
      <c r="J627">
        <v>0</v>
      </c>
      <c r="K627" t="s">
        <v>20</v>
      </c>
      <c r="L627">
        <v>51</v>
      </c>
      <c r="M627" t="s">
        <v>21</v>
      </c>
      <c r="N627">
        <f>COUNTIF(order_data[Order_ID],order_data[[#This Row],[Order_ID]])</f>
        <v>1</v>
      </c>
      <c r="O627">
        <f>order_data[[#This Row],[Order_Value]]-order_data[[#This Row],[Discount]]</f>
        <v>401</v>
      </c>
      <c r="P627">
        <f>order_data[[#This Row],[Order_Value]]+order_data[[#This Row],[Delivery_Fee]]-order_data[[#This Row],[Discount]]</f>
        <v>441</v>
      </c>
      <c r="Q627" t="str">
        <f>TEXT(order_data[[#This Row],[Order_Date]],"mmm")</f>
        <v>Jan</v>
      </c>
      <c r="R627">
        <f>MONTH(order_data[[#This Row],[Order_Date]])</f>
        <v>1</v>
      </c>
    </row>
    <row r="628" spans="1:18" x14ac:dyDescent="0.35">
      <c r="A628" t="s">
        <v>1172</v>
      </c>
      <c r="B628" t="s">
        <v>199</v>
      </c>
      <c r="C628" t="s">
        <v>1173</v>
      </c>
      <c r="D628" t="s">
        <v>53</v>
      </c>
      <c r="E628" t="s">
        <v>84</v>
      </c>
      <c r="F628" t="s">
        <v>85</v>
      </c>
      <c r="G628" t="s">
        <v>42</v>
      </c>
      <c r="H628">
        <v>603</v>
      </c>
      <c r="I628">
        <v>30</v>
      </c>
      <c r="J628">
        <v>100</v>
      </c>
      <c r="K628" t="s">
        <v>29</v>
      </c>
      <c r="L628">
        <v>50</v>
      </c>
      <c r="M628" t="s">
        <v>21</v>
      </c>
      <c r="N628">
        <f>COUNTIF(order_data[Order_ID],order_data[[#This Row],[Order_ID]])</f>
        <v>1</v>
      </c>
      <c r="O628">
        <f>order_data[[#This Row],[Order_Value]]-order_data[[#This Row],[Discount]]</f>
        <v>503</v>
      </c>
      <c r="P628">
        <f>order_data[[#This Row],[Order_Value]]+order_data[[#This Row],[Delivery_Fee]]-order_data[[#This Row],[Discount]]</f>
        <v>533</v>
      </c>
      <c r="Q628" t="str">
        <f>TEXT(order_data[[#This Row],[Order_Date]],"mmm")</f>
        <v>Jan</v>
      </c>
      <c r="R628">
        <f>MONTH(order_data[[#This Row],[Order_Date]])</f>
        <v>1</v>
      </c>
    </row>
    <row r="629" spans="1:18" x14ac:dyDescent="0.35">
      <c r="A629" t="s">
        <v>1174</v>
      </c>
      <c r="B629" t="s">
        <v>368</v>
      </c>
      <c r="C629" t="s">
        <v>993</v>
      </c>
      <c r="D629" t="s">
        <v>53</v>
      </c>
      <c r="E629" t="s">
        <v>54</v>
      </c>
      <c r="F629" t="s">
        <v>55</v>
      </c>
      <c r="G629" t="s">
        <v>28</v>
      </c>
      <c r="H629">
        <v>260</v>
      </c>
      <c r="I629">
        <v>20</v>
      </c>
      <c r="J629">
        <v>20</v>
      </c>
      <c r="K629" t="s">
        <v>36</v>
      </c>
      <c r="L629">
        <v>29</v>
      </c>
      <c r="M629" t="s">
        <v>21</v>
      </c>
      <c r="N629">
        <f>COUNTIF(order_data[Order_ID],order_data[[#This Row],[Order_ID]])</f>
        <v>1</v>
      </c>
      <c r="O629">
        <f>order_data[[#This Row],[Order_Value]]-order_data[[#This Row],[Discount]]</f>
        <v>240</v>
      </c>
      <c r="P629">
        <f>order_data[[#This Row],[Order_Value]]+order_data[[#This Row],[Delivery_Fee]]-order_data[[#This Row],[Discount]]</f>
        <v>260</v>
      </c>
      <c r="Q629" t="str">
        <f>TEXT(order_data[[#This Row],[Order_Date]],"mmm")</f>
        <v>Feb</v>
      </c>
      <c r="R629">
        <f>MONTH(order_data[[#This Row],[Order_Date]])</f>
        <v>2</v>
      </c>
    </row>
    <row r="630" spans="1:18" x14ac:dyDescent="0.35">
      <c r="A630" t="s">
        <v>1175</v>
      </c>
      <c r="B630" t="s">
        <v>199</v>
      </c>
      <c r="C630" t="s">
        <v>860</v>
      </c>
      <c r="D630" t="s">
        <v>40</v>
      </c>
      <c r="E630" t="s">
        <v>111</v>
      </c>
      <c r="F630" t="s">
        <v>18</v>
      </c>
      <c r="G630" t="s">
        <v>176</v>
      </c>
      <c r="H630">
        <v>622</v>
      </c>
      <c r="I630">
        <v>30</v>
      </c>
      <c r="J630">
        <v>30</v>
      </c>
      <c r="K630" t="s">
        <v>29</v>
      </c>
      <c r="L630">
        <v>21</v>
      </c>
      <c r="M630" t="s">
        <v>21</v>
      </c>
      <c r="N630">
        <f>COUNTIF(order_data[Order_ID],order_data[[#This Row],[Order_ID]])</f>
        <v>1</v>
      </c>
      <c r="O630">
        <f>order_data[[#This Row],[Order_Value]]-order_data[[#This Row],[Discount]]</f>
        <v>592</v>
      </c>
      <c r="P630">
        <f>order_data[[#This Row],[Order_Value]]+order_data[[#This Row],[Delivery_Fee]]-order_data[[#This Row],[Discount]]</f>
        <v>622</v>
      </c>
      <c r="Q630" t="str">
        <f>TEXT(order_data[[#This Row],[Order_Date]],"mmm")</f>
        <v>Jan</v>
      </c>
      <c r="R630">
        <f>MONTH(order_data[[#This Row],[Order_Date]])</f>
        <v>1</v>
      </c>
    </row>
    <row r="631" spans="1:18" x14ac:dyDescent="0.35">
      <c r="A631" t="s">
        <v>1176</v>
      </c>
      <c r="B631" t="s">
        <v>178</v>
      </c>
      <c r="C631" t="s">
        <v>1069</v>
      </c>
      <c r="D631" t="s">
        <v>16</v>
      </c>
      <c r="E631" t="s">
        <v>131</v>
      </c>
      <c r="F631" t="s">
        <v>55</v>
      </c>
      <c r="G631" t="s">
        <v>49</v>
      </c>
      <c r="H631">
        <v>710</v>
      </c>
      <c r="I631">
        <v>30</v>
      </c>
      <c r="J631">
        <v>30</v>
      </c>
      <c r="K631" t="s">
        <v>29</v>
      </c>
      <c r="L631">
        <v>37</v>
      </c>
      <c r="M631" t="s">
        <v>21</v>
      </c>
      <c r="N631">
        <f>COUNTIF(order_data[Order_ID],order_data[[#This Row],[Order_ID]])</f>
        <v>1</v>
      </c>
      <c r="O631">
        <f>order_data[[#This Row],[Order_Value]]-order_data[[#This Row],[Discount]]</f>
        <v>680</v>
      </c>
      <c r="P631">
        <f>order_data[[#This Row],[Order_Value]]+order_data[[#This Row],[Delivery_Fee]]-order_data[[#This Row],[Discount]]</f>
        <v>710</v>
      </c>
      <c r="Q631" t="str">
        <f>TEXT(order_data[[#This Row],[Order_Date]],"mmm")</f>
        <v>Feb</v>
      </c>
      <c r="R631">
        <f>MONTH(order_data[[#This Row],[Order_Date]])</f>
        <v>2</v>
      </c>
    </row>
    <row r="632" spans="1:18" x14ac:dyDescent="0.35">
      <c r="A632" t="s">
        <v>1177</v>
      </c>
      <c r="B632" t="s">
        <v>244</v>
      </c>
      <c r="C632" t="s">
        <v>227</v>
      </c>
      <c r="D632" t="s">
        <v>46</v>
      </c>
      <c r="E632" t="s">
        <v>70</v>
      </c>
      <c r="F632" t="s">
        <v>18</v>
      </c>
      <c r="G632" t="s">
        <v>42</v>
      </c>
      <c r="H632">
        <v>714</v>
      </c>
      <c r="I632">
        <v>20</v>
      </c>
      <c r="J632">
        <v>0</v>
      </c>
      <c r="K632" t="s">
        <v>36</v>
      </c>
      <c r="L632">
        <v>25</v>
      </c>
      <c r="M632" t="s">
        <v>21</v>
      </c>
      <c r="N632">
        <f>COUNTIF(order_data[Order_ID],order_data[[#This Row],[Order_ID]])</f>
        <v>1</v>
      </c>
      <c r="O632">
        <f>order_data[[#This Row],[Order_Value]]-order_data[[#This Row],[Discount]]</f>
        <v>714</v>
      </c>
      <c r="P632">
        <f>order_data[[#This Row],[Order_Value]]+order_data[[#This Row],[Delivery_Fee]]-order_data[[#This Row],[Discount]]</f>
        <v>734</v>
      </c>
      <c r="Q632" t="str">
        <f>TEXT(order_data[[#This Row],[Order_Date]],"mmm")</f>
        <v>Feb</v>
      </c>
      <c r="R632">
        <f>MONTH(order_data[[#This Row],[Order_Date]])</f>
        <v>2</v>
      </c>
    </row>
    <row r="633" spans="1:18" x14ac:dyDescent="0.35">
      <c r="A633" t="s">
        <v>1178</v>
      </c>
      <c r="B633" t="s">
        <v>99</v>
      </c>
      <c r="C633" t="s">
        <v>1179</v>
      </c>
      <c r="D633" t="s">
        <v>16</v>
      </c>
      <c r="E633" t="s">
        <v>131</v>
      </c>
      <c r="F633" t="s">
        <v>55</v>
      </c>
      <c r="G633" t="s">
        <v>49</v>
      </c>
      <c r="H633">
        <v>769</v>
      </c>
      <c r="I633">
        <v>50</v>
      </c>
      <c r="J633">
        <v>0</v>
      </c>
      <c r="K633" t="s">
        <v>29</v>
      </c>
      <c r="L633">
        <v>43</v>
      </c>
      <c r="M633" t="s">
        <v>21</v>
      </c>
      <c r="N633">
        <f>COUNTIF(order_data[Order_ID],order_data[[#This Row],[Order_ID]])</f>
        <v>1</v>
      </c>
      <c r="O633">
        <f>order_data[[#This Row],[Order_Value]]-order_data[[#This Row],[Discount]]</f>
        <v>769</v>
      </c>
      <c r="P633">
        <f>order_data[[#This Row],[Order_Value]]+order_data[[#This Row],[Delivery_Fee]]-order_data[[#This Row],[Discount]]</f>
        <v>819</v>
      </c>
      <c r="Q633" t="str">
        <f>TEXT(order_data[[#This Row],[Order_Date]],"mmm")</f>
        <v>Mar</v>
      </c>
      <c r="R633">
        <f>MONTH(order_data[[#This Row],[Order_Date]])</f>
        <v>3</v>
      </c>
    </row>
    <row r="634" spans="1:18" x14ac:dyDescent="0.35">
      <c r="A634" t="s">
        <v>1180</v>
      </c>
      <c r="B634" t="s">
        <v>297</v>
      </c>
      <c r="C634" t="s">
        <v>317</v>
      </c>
      <c r="D634" t="s">
        <v>46</v>
      </c>
      <c r="E634" t="s">
        <v>148</v>
      </c>
      <c r="F634" t="s">
        <v>27</v>
      </c>
      <c r="G634" t="s">
        <v>49</v>
      </c>
      <c r="H634">
        <v>400</v>
      </c>
      <c r="I634">
        <v>40</v>
      </c>
      <c r="J634">
        <v>20</v>
      </c>
      <c r="K634" t="s">
        <v>20</v>
      </c>
      <c r="L634">
        <v>37</v>
      </c>
      <c r="M634" t="s">
        <v>21</v>
      </c>
      <c r="N634">
        <f>COUNTIF(order_data[Order_ID],order_data[[#This Row],[Order_ID]])</f>
        <v>1</v>
      </c>
      <c r="O634">
        <f>order_data[[#This Row],[Order_Value]]-order_data[[#This Row],[Discount]]</f>
        <v>380</v>
      </c>
      <c r="P634">
        <f>order_data[[#This Row],[Order_Value]]+order_data[[#This Row],[Delivery_Fee]]-order_data[[#This Row],[Discount]]</f>
        <v>420</v>
      </c>
      <c r="Q634" t="str">
        <f>TEXT(order_data[[#This Row],[Order_Date]],"mmm")</f>
        <v>Feb</v>
      </c>
      <c r="R634">
        <f>MONTH(order_data[[#This Row],[Order_Date]])</f>
        <v>2</v>
      </c>
    </row>
    <row r="635" spans="1:18" x14ac:dyDescent="0.35">
      <c r="A635" t="s">
        <v>1181</v>
      </c>
      <c r="B635" t="s">
        <v>413</v>
      </c>
      <c r="C635" t="s">
        <v>1182</v>
      </c>
      <c r="D635" t="s">
        <v>53</v>
      </c>
      <c r="E635" t="s">
        <v>54</v>
      </c>
      <c r="F635" t="s">
        <v>55</v>
      </c>
      <c r="G635" t="s">
        <v>42</v>
      </c>
      <c r="H635">
        <v>641</v>
      </c>
      <c r="I635">
        <v>50</v>
      </c>
      <c r="J635">
        <v>0</v>
      </c>
      <c r="K635" t="s">
        <v>36</v>
      </c>
      <c r="L635">
        <v>44</v>
      </c>
      <c r="M635" t="s">
        <v>21</v>
      </c>
      <c r="N635">
        <f>COUNTIF(order_data[Order_ID],order_data[[#This Row],[Order_ID]])</f>
        <v>1</v>
      </c>
      <c r="O635">
        <f>order_data[[#This Row],[Order_Value]]-order_data[[#This Row],[Discount]]</f>
        <v>641</v>
      </c>
      <c r="P635">
        <f>order_data[[#This Row],[Order_Value]]+order_data[[#This Row],[Delivery_Fee]]-order_data[[#This Row],[Discount]]</f>
        <v>691</v>
      </c>
      <c r="Q635" t="str">
        <f>TEXT(order_data[[#This Row],[Order_Date]],"mmm")</f>
        <v>Mar</v>
      </c>
      <c r="R635">
        <f>MONTH(order_data[[#This Row],[Order_Date]])</f>
        <v>3</v>
      </c>
    </row>
    <row r="636" spans="1:18" x14ac:dyDescent="0.35">
      <c r="A636" t="s">
        <v>1183</v>
      </c>
      <c r="B636" t="s">
        <v>280</v>
      </c>
      <c r="C636" t="s">
        <v>638</v>
      </c>
      <c r="D636" t="s">
        <v>40</v>
      </c>
      <c r="E636" t="s">
        <v>67</v>
      </c>
      <c r="F636" t="s">
        <v>48</v>
      </c>
      <c r="G636" t="s">
        <v>59</v>
      </c>
      <c r="H636">
        <v>726</v>
      </c>
      <c r="I636">
        <v>30</v>
      </c>
      <c r="J636">
        <v>30</v>
      </c>
      <c r="K636" t="s">
        <v>29</v>
      </c>
      <c r="L636">
        <v>49</v>
      </c>
      <c r="M636" t="s">
        <v>21</v>
      </c>
      <c r="N636">
        <f>COUNTIF(order_data[Order_ID],order_data[[#This Row],[Order_ID]])</f>
        <v>1</v>
      </c>
      <c r="O636">
        <f>order_data[[#This Row],[Order_Value]]-order_data[[#This Row],[Discount]]</f>
        <v>696</v>
      </c>
      <c r="P636">
        <f>order_data[[#This Row],[Order_Value]]+order_data[[#This Row],[Delivery_Fee]]-order_data[[#This Row],[Discount]]</f>
        <v>726</v>
      </c>
      <c r="Q636" t="str">
        <f>TEXT(order_data[[#This Row],[Order_Date]],"mmm")</f>
        <v>Jan</v>
      </c>
      <c r="R636">
        <f>MONTH(order_data[[#This Row],[Order_Date]])</f>
        <v>1</v>
      </c>
    </row>
    <row r="637" spans="1:18" x14ac:dyDescent="0.35">
      <c r="A637" t="s">
        <v>1184</v>
      </c>
      <c r="B637" t="s">
        <v>568</v>
      </c>
      <c r="C637" t="s">
        <v>482</v>
      </c>
      <c r="D637" t="s">
        <v>40</v>
      </c>
      <c r="E637" t="s">
        <v>41</v>
      </c>
      <c r="F637" t="s">
        <v>27</v>
      </c>
      <c r="G637" t="s">
        <v>28</v>
      </c>
      <c r="H637">
        <v>428</v>
      </c>
      <c r="I637">
        <v>20</v>
      </c>
      <c r="J637">
        <v>0</v>
      </c>
      <c r="K637" t="s">
        <v>29</v>
      </c>
      <c r="L637">
        <v>55</v>
      </c>
      <c r="M637" t="s">
        <v>21</v>
      </c>
      <c r="N637">
        <f>COUNTIF(order_data[Order_ID],order_data[[#This Row],[Order_ID]])</f>
        <v>1</v>
      </c>
      <c r="O637">
        <f>order_data[[#This Row],[Order_Value]]-order_data[[#This Row],[Discount]]</f>
        <v>428</v>
      </c>
      <c r="P637">
        <f>order_data[[#This Row],[Order_Value]]+order_data[[#This Row],[Delivery_Fee]]-order_data[[#This Row],[Discount]]</f>
        <v>448</v>
      </c>
      <c r="Q637" t="str">
        <f>TEXT(order_data[[#This Row],[Order_Date]],"mmm")</f>
        <v>Mar</v>
      </c>
      <c r="R637">
        <f>MONTH(order_data[[#This Row],[Order_Date]])</f>
        <v>3</v>
      </c>
    </row>
    <row r="638" spans="1:18" x14ac:dyDescent="0.35">
      <c r="A638" t="s">
        <v>1185</v>
      </c>
      <c r="B638" t="s">
        <v>329</v>
      </c>
      <c r="C638" t="s">
        <v>289</v>
      </c>
      <c r="D638" t="s">
        <v>46</v>
      </c>
      <c r="E638" t="s">
        <v>70</v>
      </c>
      <c r="F638" t="s">
        <v>18</v>
      </c>
      <c r="G638" t="s">
        <v>59</v>
      </c>
      <c r="H638">
        <v>445</v>
      </c>
      <c r="I638">
        <v>40</v>
      </c>
      <c r="J638">
        <v>30</v>
      </c>
      <c r="K638" t="s">
        <v>36</v>
      </c>
      <c r="L638">
        <v>47</v>
      </c>
      <c r="M638" t="s">
        <v>21</v>
      </c>
      <c r="N638">
        <f>COUNTIF(order_data[Order_ID],order_data[[#This Row],[Order_ID]])</f>
        <v>1</v>
      </c>
      <c r="O638">
        <f>order_data[[#This Row],[Order_Value]]-order_data[[#This Row],[Discount]]</f>
        <v>415</v>
      </c>
      <c r="P638">
        <f>order_data[[#This Row],[Order_Value]]+order_data[[#This Row],[Delivery_Fee]]-order_data[[#This Row],[Discount]]</f>
        <v>455</v>
      </c>
      <c r="Q638" t="str">
        <f>TEXT(order_data[[#This Row],[Order_Date]],"mmm")</f>
        <v>Mar</v>
      </c>
      <c r="R638">
        <f>MONTH(order_data[[#This Row],[Order_Date]])</f>
        <v>3</v>
      </c>
    </row>
    <row r="639" spans="1:18" x14ac:dyDescent="0.35">
      <c r="A639" t="s">
        <v>1186</v>
      </c>
      <c r="B639" t="s">
        <v>413</v>
      </c>
      <c r="C639" t="s">
        <v>1022</v>
      </c>
      <c r="D639" t="s">
        <v>46</v>
      </c>
      <c r="E639" t="s">
        <v>148</v>
      </c>
      <c r="F639" t="s">
        <v>27</v>
      </c>
      <c r="G639" t="s">
        <v>19</v>
      </c>
      <c r="H639">
        <v>381</v>
      </c>
      <c r="I639">
        <v>40</v>
      </c>
      <c r="J639">
        <v>50</v>
      </c>
      <c r="K639" t="s">
        <v>36</v>
      </c>
      <c r="L639">
        <v>33</v>
      </c>
      <c r="M639" t="s">
        <v>21</v>
      </c>
      <c r="N639">
        <f>COUNTIF(order_data[Order_ID],order_data[[#This Row],[Order_ID]])</f>
        <v>1</v>
      </c>
      <c r="O639">
        <f>order_data[[#This Row],[Order_Value]]-order_data[[#This Row],[Discount]]</f>
        <v>331</v>
      </c>
      <c r="P639">
        <f>order_data[[#This Row],[Order_Value]]+order_data[[#This Row],[Delivery_Fee]]-order_data[[#This Row],[Discount]]</f>
        <v>371</v>
      </c>
      <c r="Q639" t="str">
        <f>TEXT(order_data[[#This Row],[Order_Date]],"mmm")</f>
        <v>Mar</v>
      </c>
      <c r="R639">
        <f>MONTH(order_data[[#This Row],[Order_Date]])</f>
        <v>3</v>
      </c>
    </row>
    <row r="640" spans="1:18" x14ac:dyDescent="0.35">
      <c r="A640" t="s">
        <v>1187</v>
      </c>
      <c r="B640" t="s">
        <v>133</v>
      </c>
      <c r="C640" t="s">
        <v>494</v>
      </c>
      <c r="D640" t="s">
        <v>16</v>
      </c>
      <c r="E640" t="s">
        <v>17</v>
      </c>
      <c r="F640" t="s">
        <v>18</v>
      </c>
      <c r="G640" t="s">
        <v>176</v>
      </c>
      <c r="H640">
        <v>237</v>
      </c>
      <c r="I640">
        <v>30</v>
      </c>
      <c r="J640">
        <v>30</v>
      </c>
      <c r="K640" t="s">
        <v>29</v>
      </c>
      <c r="L640">
        <v>45</v>
      </c>
      <c r="M640" t="s">
        <v>21</v>
      </c>
      <c r="N640">
        <f>COUNTIF(order_data[Order_ID],order_data[[#This Row],[Order_ID]])</f>
        <v>1</v>
      </c>
      <c r="O640">
        <f>order_data[[#This Row],[Order_Value]]-order_data[[#This Row],[Discount]]</f>
        <v>207</v>
      </c>
      <c r="P640">
        <f>order_data[[#This Row],[Order_Value]]+order_data[[#This Row],[Delivery_Fee]]-order_data[[#This Row],[Discount]]</f>
        <v>237</v>
      </c>
      <c r="Q640" t="str">
        <f>TEXT(order_data[[#This Row],[Order_Date]],"mmm")</f>
        <v>Mar</v>
      </c>
      <c r="R640">
        <f>MONTH(order_data[[#This Row],[Order_Date]])</f>
        <v>3</v>
      </c>
    </row>
    <row r="641" spans="1:18" x14ac:dyDescent="0.35">
      <c r="A641" t="s">
        <v>1188</v>
      </c>
      <c r="B641" t="s">
        <v>96</v>
      </c>
      <c r="C641" t="s">
        <v>459</v>
      </c>
      <c r="D641" t="s">
        <v>46</v>
      </c>
      <c r="E641" t="s">
        <v>70</v>
      </c>
      <c r="F641" t="s">
        <v>18</v>
      </c>
      <c r="G641" t="s">
        <v>107</v>
      </c>
      <c r="H641">
        <v>378</v>
      </c>
      <c r="I641">
        <v>30</v>
      </c>
      <c r="J641">
        <v>0</v>
      </c>
      <c r="K641" t="s">
        <v>20</v>
      </c>
      <c r="L641">
        <v>58</v>
      </c>
      <c r="M641" t="s">
        <v>21</v>
      </c>
      <c r="N641">
        <f>COUNTIF(order_data[Order_ID],order_data[[#This Row],[Order_ID]])</f>
        <v>1</v>
      </c>
      <c r="O641">
        <f>order_data[[#This Row],[Order_Value]]-order_data[[#This Row],[Discount]]</f>
        <v>378</v>
      </c>
      <c r="P641">
        <f>order_data[[#This Row],[Order_Value]]+order_data[[#This Row],[Delivery_Fee]]-order_data[[#This Row],[Discount]]</f>
        <v>408</v>
      </c>
      <c r="Q641" t="str">
        <f>TEXT(order_data[[#This Row],[Order_Date]],"mmm")</f>
        <v>Mar</v>
      </c>
      <c r="R641">
        <f>MONTH(order_data[[#This Row],[Order_Date]])</f>
        <v>3</v>
      </c>
    </row>
    <row r="642" spans="1:18" x14ac:dyDescent="0.35">
      <c r="A642" t="s">
        <v>1189</v>
      </c>
      <c r="B642" t="s">
        <v>513</v>
      </c>
      <c r="C642" t="s">
        <v>1190</v>
      </c>
      <c r="D642" t="s">
        <v>40</v>
      </c>
      <c r="E642" t="s">
        <v>111</v>
      </c>
      <c r="F642" t="s">
        <v>18</v>
      </c>
      <c r="G642" t="s">
        <v>59</v>
      </c>
      <c r="H642">
        <v>688</v>
      </c>
      <c r="I642">
        <v>20</v>
      </c>
      <c r="J642">
        <v>30</v>
      </c>
      <c r="K642" t="s">
        <v>29</v>
      </c>
      <c r="L642">
        <v>29</v>
      </c>
      <c r="M642" t="s">
        <v>21</v>
      </c>
      <c r="N642">
        <f>COUNTIF(order_data[Order_ID],order_data[[#This Row],[Order_ID]])</f>
        <v>1</v>
      </c>
      <c r="O642">
        <f>order_data[[#This Row],[Order_Value]]-order_data[[#This Row],[Discount]]</f>
        <v>658</v>
      </c>
      <c r="P642">
        <f>order_data[[#This Row],[Order_Value]]+order_data[[#This Row],[Delivery_Fee]]-order_data[[#This Row],[Discount]]</f>
        <v>678</v>
      </c>
      <c r="Q642" t="str">
        <f>TEXT(order_data[[#This Row],[Order_Date]],"mmm")</f>
        <v>Feb</v>
      </c>
      <c r="R642">
        <f>MONTH(order_data[[#This Row],[Order_Date]])</f>
        <v>2</v>
      </c>
    </row>
    <row r="643" spans="1:18" x14ac:dyDescent="0.35">
      <c r="A643" t="s">
        <v>1191</v>
      </c>
      <c r="B643" t="s">
        <v>297</v>
      </c>
      <c r="C643" t="s">
        <v>803</v>
      </c>
      <c r="D643" t="s">
        <v>25</v>
      </c>
      <c r="E643" t="s">
        <v>26</v>
      </c>
      <c r="F643" t="s">
        <v>27</v>
      </c>
      <c r="G643" t="s">
        <v>74</v>
      </c>
      <c r="H643">
        <v>220</v>
      </c>
      <c r="I643">
        <v>50</v>
      </c>
      <c r="J643">
        <v>50</v>
      </c>
      <c r="K643" t="s">
        <v>20</v>
      </c>
      <c r="L643">
        <v>34</v>
      </c>
      <c r="M643" t="s">
        <v>21</v>
      </c>
      <c r="N643">
        <f>COUNTIF(order_data[Order_ID],order_data[[#This Row],[Order_ID]])</f>
        <v>1</v>
      </c>
      <c r="O643">
        <f>order_data[[#This Row],[Order_Value]]-order_data[[#This Row],[Discount]]</f>
        <v>170</v>
      </c>
      <c r="P643">
        <f>order_data[[#This Row],[Order_Value]]+order_data[[#This Row],[Delivery_Fee]]-order_data[[#This Row],[Discount]]</f>
        <v>220</v>
      </c>
      <c r="Q643" t="str">
        <f>TEXT(order_data[[#This Row],[Order_Date]],"mmm")</f>
        <v>Feb</v>
      </c>
      <c r="R643">
        <f>MONTH(order_data[[#This Row],[Order_Date]])</f>
        <v>2</v>
      </c>
    </row>
    <row r="644" spans="1:18" x14ac:dyDescent="0.35">
      <c r="A644" t="s">
        <v>1192</v>
      </c>
      <c r="B644" t="s">
        <v>121</v>
      </c>
      <c r="C644" t="s">
        <v>721</v>
      </c>
      <c r="D644" t="s">
        <v>53</v>
      </c>
      <c r="E644" t="s">
        <v>54</v>
      </c>
      <c r="F644" t="s">
        <v>55</v>
      </c>
      <c r="G644" t="s">
        <v>49</v>
      </c>
      <c r="H644">
        <v>718</v>
      </c>
      <c r="I644">
        <v>20</v>
      </c>
      <c r="J644">
        <v>50</v>
      </c>
      <c r="K644" t="s">
        <v>20</v>
      </c>
      <c r="L644">
        <v>31</v>
      </c>
      <c r="M644" t="s">
        <v>21</v>
      </c>
      <c r="N644">
        <f>COUNTIF(order_data[Order_ID],order_data[[#This Row],[Order_ID]])</f>
        <v>1</v>
      </c>
      <c r="O644">
        <f>order_data[[#This Row],[Order_Value]]-order_data[[#This Row],[Discount]]</f>
        <v>668</v>
      </c>
      <c r="P644">
        <f>order_data[[#This Row],[Order_Value]]+order_data[[#This Row],[Delivery_Fee]]-order_data[[#This Row],[Discount]]</f>
        <v>688</v>
      </c>
      <c r="Q644" t="str">
        <f>TEXT(order_data[[#This Row],[Order_Date]],"mmm")</f>
        <v>Feb</v>
      </c>
      <c r="R644">
        <f>MONTH(order_data[[#This Row],[Order_Date]])</f>
        <v>2</v>
      </c>
    </row>
    <row r="645" spans="1:18" x14ac:dyDescent="0.35">
      <c r="A645" t="s">
        <v>1193</v>
      </c>
      <c r="B645" t="s">
        <v>300</v>
      </c>
      <c r="C645" t="s">
        <v>1194</v>
      </c>
      <c r="D645" t="s">
        <v>40</v>
      </c>
      <c r="E645" t="s">
        <v>111</v>
      </c>
      <c r="F645" t="s">
        <v>18</v>
      </c>
      <c r="G645" t="s">
        <v>176</v>
      </c>
      <c r="H645">
        <v>361</v>
      </c>
      <c r="I645">
        <v>50</v>
      </c>
      <c r="J645">
        <v>0</v>
      </c>
      <c r="K645" t="s">
        <v>36</v>
      </c>
      <c r="L645">
        <v>56</v>
      </c>
      <c r="M645" t="s">
        <v>21</v>
      </c>
      <c r="N645">
        <f>COUNTIF(order_data[Order_ID],order_data[[#This Row],[Order_ID]])</f>
        <v>1</v>
      </c>
      <c r="O645">
        <f>order_data[[#This Row],[Order_Value]]-order_data[[#This Row],[Discount]]</f>
        <v>361</v>
      </c>
      <c r="P645">
        <f>order_data[[#This Row],[Order_Value]]+order_data[[#This Row],[Delivery_Fee]]-order_data[[#This Row],[Discount]]</f>
        <v>411</v>
      </c>
      <c r="Q645" t="str">
        <f>TEXT(order_data[[#This Row],[Order_Date]],"mmm")</f>
        <v>Mar</v>
      </c>
      <c r="R645">
        <f>MONTH(order_data[[#This Row],[Order_Date]])</f>
        <v>3</v>
      </c>
    </row>
    <row r="646" spans="1:18" x14ac:dyDescent="0.35">
      <c r="A646" t="s">
        <v>1195</v>
      </c>
      <c r="B646" t="s">
        <v>57</v>
      </c>
      <c r="C646" t="s">
        <v>229</v>
      </c>
      <c r="D646" t="s">
        <v>25</v>
      </c>
      <c r="E646" t="s">
        <v>26</v>
      </c>
      <c r="F646" t="s">
        <v>27</v>
      </c>
      <c r="G646" t="s">
        <v>49</v>
      </c>
      <c r="H646">
        <v>282</v>
      </c>
      <c r="I646">
        <v>40</v>
      </c>
      <c r="J646">
        <v>50</v>
      </c>
      <c r="K646" t="s">
        <v>20</v>
      </c>
      <c r="L646">
        <v>22</v>
      </c>
      <c r="M646" t="s">
        <v>21</v>
      </c>
      <c r="N646">
        <f>COUNTIF(order_data[Order_ID],order_data[[#This Row],[Order_ID]])</f>
        <v>1</v>
      </c>
      <c r="O646">
        <f>order_data[[#This Row],[Order_Value]]-order_data[[#This Row],[Discount]]</f>
        <v>232</v>
      </c>
      <c r="P646">
        <f>order_data[[#This Row],[Order_Value]]+order_data[[#This Row],[Delivery_Fee]]-order_data[[#This Row],[Discount]]</f>
        <v>272</v>
      </c>
      <c r="Q646" t="str">
        <f>TEXT(order_data[[#This Row],[Order_Date]],"mmm")</f>
        <v>Jan</v>
      </c>
      <c r="R646">
        <f>MONTH(order_data[[#This Row],[Order_Date]])</f>
        <v>1</v>
      </c>
    </row>
    <row r="647" spans="1:18" x14ac:dyDescent="0.35">
      <c r="A647" t="s">
        <v>1196</v>
      </c>
      <c r="B647" t="s">
        <v>295</v>
      </c>
      <c r="C647" t="s">
        <v>1197</v>
      </c>
      <c r="D647" t="s">
        <v>16</v>
      </c>
      <c r="E647" t="s">
        <v>17</v>
      </c>
      <c r="F647" t="s">
        <v>18</v>
      </c>
      <c r="G647" t="s">
        <v>19</v>
      </c>
      <c r="H647">
        <v>723</v>
      </c>
      <c r="I647">
        <v>20</v>
      </c>
      <c r="J647">
        <v>20</v>
      </c>
      <c r="K647" t="s">
        <v>20</v>
      </c>
      <c r="L647">
        <v>47</v>
      </c>
      <c r="M647" t="s">
        <v>21</v>
      </c>
      <c r="N647">
        <f>COUNTIF(order_data[Order_ID],order_data[[#This Row],[Order_ID]])</f>
        <v>1</v>
      </c>
      <c r="O647">
        <f>order_data[[#This Row],[Order_Value]]-order_data[[#This Row],[Discount]]</f>
        <v>703</v>
      </c>
      <c r="P647">
        <f>order_data[[#This Row],[Order_Value]]+order_data[[#This Row],[Delivery_Fee]]-order_data[[#This Row],[Discount]]</f>
        <v>723</v>
      </c>
      <c r="Q647" t="str">
        <f>TEXT(order_data[[#This Row],[Order_Date]],"mmm")</f>
        <v>Jan</v>
      </c>
      <c r="R647">
        <f>MONTH(order_data[[#This Row],[Order_Date]])</f>
        <v>1</v>
      </c>
    </row>
    <row r="648" spans="1:18" x14ac:dyDescent="0.35">
      <c r="A648" t="s">
        <v>1198</v>
      </c>
      <c r="B648" t="s">
        <v>218</v>
      </c>
      <c r="C648" t="s">
        <v>1199</v>
      </c>
      <c r="D648" t="s">
        <v>25</v>
      </c>
      <c r="E648" t="s">
        <v>26</v>
      </c>
      <c r="F648" t="s">
        <v>27</v>
      </c>
      <c r="G648" t="s">
        <v>74</v>
      </c>
      <c r="H648">
        <v>611</v>
      </c>
      <c r="I648">
        <v>40</v>
      </c>
      <c r="J648">
        <v>0</v>
      </c>
      <c r="K648" t="s">
        <v>29</v>
      </c>
      <c r="L648">
        <v>38</v>
      </c>
      <c r="M648" t="s">
        <v>21</v>
      </c>
      <c r="N648">
        <f>COUNTIF(order_data[Order_ID],order_data[[#This Row],[Order_ID]])</f>
        <v>1</v>
      </c>
      <c r="O648">
        <f>order_data[[#This Row],[Order_Value]]-order_data[[#This Row],[Discount]]</f>
        <v>611</v>
      </c>
      <c r="P648">
        <f>order_data[[#This Row],[Order_Value]]+order_data[[#This Row],[Delivery_Fee]]-order_data[[#This Row],[Discount]]</f>
        <v>651</v>
      </c>
      <c r="Q648" t="str">
        <f>TEXT(order_data[[#This Row],[Order_Date]],"mmm")</f>
        <v>Feb</v>
      </c>
      <c r="R648">
        <f>MONTH(order_data[[#This Row],[Order_Date]])</f>
        <v>2</v>
      </c>
    </row>
    <row r="649" spans="1:18" x14ac:dyDescent="0.35">
      <c r="A649" t="s">
        <v>1200</v>
      </c>
      <c r="B649" t="s">
        <v>252</v>
      </c>
      <c r="C649" t="s">
        <v>771</v>
      </c>
      <c r="D649" t="s">
        <v>25</v>
      </c>
      <c r="E649" t="s">
        <v>26</v>
      </c>
      <c r="F649" t="s">
        <v>27</v>
      </c>
      <c r="G649" t="s">
        <v>19</v>
      </c>
      <c r="H649">
        <v>287</v>
      </c>
      <c r="I649">
        <v>20</v>
      </c>
      <c r="J649">
        <v>50</v>
      </c>
      <c r="K649" t="s">
        <v>36</v>
      </c>
      <c r="L649">
        <v>58</v>
      </c>
      <c r="M649" t="s">
        <v>21</v>
      </c>
      <c r="N649">
        <f>COUNTIF(order_data[Order_ID],order_data[[#This Row],[Order_ID]])</f>
        <v>1</v>
      </c>
      <c r="O649">
        <f>order_data[[#This Row],[Order_Value]]-order_data[[#This Row],[Discount]]</f>
        <v>237</v>
      </c>
      <c r="P649">
        <f>order_data[[#This Row],[Order_Value]]+order_data[[#This Row],[Delivery_Fee]]-order_data[[#This Row],[Discount]]</f>
        <v>257</v>
      </c>
      <c r="Q649" t="str">
        <f>TEXT(order_data[[#This Row],[Order_Date]],"mmm")</f>
        <v>Jan</v>
      </c>
      <c r="R649">
        <f>MONTH(order_data[[#This Row],[Order_Date]])</f>
        <v>1</v>
      </c>
    </row>
    <row r="650" spans="1:18" x14ac:dyDescent="0.35">
      <c r="A650" t="s">
        <v>1201</v>
      </c>
      <c r="B650" t="s">
        <v>271</v>
      </c>
      <c r="C650" t="s">
        <v>52</v>
      </c>
      <c r="D650" t="s">
        <v>16</v>
      </c>
      <c r="E650" t="s">
        <v>89</v>
      </c>
      <c r="F650" t="s">
        <v>18</v>
      </c>
      <c r="G650" t="s">
        <v>42</v>
      </c>
      <c r="H650">
        <v>761</v>
      </c>
      <c r="I650">
        <v>50</v>
      </c>
      <c r="J650">
        <v>50</v>
      </c>
      <c r="K650" t="s">
        <v>20</v>
      </c>
      <c r="L650">
        <v>51</v>
      </c>
      <c r="M650" t="s">
        <v>21</v>
      </c>
      <c r="N650">
        <f>COUNTIF(order_data[Order_ID],order_data[[#This Row],[Order_ID]])</f>
        <v>1</v>
      </c>
      <c r="O650">
        <f>order_data[[#This Row],[Order_Value]]-order_data[[#This Row],[Discount]]</f>
        <v>711</v>
      </c>
      <c r="P650">
        <f>order_data[[#This Row],[Order_Value]]+order_data[[#This Row],[Delivery_Fee]]-order_data[[#This Row],[Discount]]</f>
        <v>761</v>
      </c>
      <c r="Q650" t="str">
        <f>TEXT(order_data[[#This Row],[Order_Date]],"mmm")</f>
        <v>Jan</v>
      </c>
      <c r="R650">
        <f>MONTH(order_data[[#This Row],[Order_Date]])</f>
        <v>1</v>
      </c>
    </row>
    <row r="651" spans="1:18" x14ac:dyDescent="0.35">
      <c r="A651" t="s">
        <v>1202</v>
      </c>
      <c r="B651" t="s">
        <v>38</v>
      </c>
      <c r="C651" t="s">
        <v>566</v>
      </c>
      <c r="D651" t="s">
        <v>46</v>
      </c>
      <c r="E651" t="s">
        <v>47</v>
      </c>
      <c r="F651" t="s">
        <v>48</v>
      </c>
      <c r="G651" t="s">
        <v>28</v>
      </c>
      <c r="H651">
        <v>223</v>
      </c>
      <c r="I651">
        <v>40</v>
      </c>
      <c r="J651">
        <v>30</v>
      </c>
      <c r="K651" t="s">
        <v>20</v>
      </c>
      <c r="L651">
        <v>26</v>
      </c>
      <c r="M651" t="s">
        <v>21</v>
      </c>
      <c r="N651">
        <f>COUNTIF(order_data[Order_ID],order_data[[#This Row],[Order_ID]])</f>
        <v>1</v>
      </c>
      <c r="O651">
        <f>order_data[[#This Row],[Order_Value]]-order_data[[#This Row],[Discount]]</f>
        <v>193</v>
      </c>
      <c r="P651">
        <f>order_data[[#This Row],[Order_Value]]+order_data[[#This Row],[Delivery_Fee]]-order_data[[#This Row],[Discount]]</f>
        <v>233</v>
      </c>
      <c r="Q651" t="str">
        <f>TEXT(order_data[[#This Row],[Order_Date]],"mmm")</f>
        <v>Jan</v>
      </c>
      <c r="R651">
        <f>MONTH(order_data[[#This Row],[Order_Date]])</f>
        <v>1</v>
      </c>
    </row>
    <row r="652" spans="1:18" x14ac:dyDescent="0.35">
      <c r="A652" t="s">
        <v>1203</v>
      </c>
      <c r="B652" t="s">
        <v>32</v>
      </c>
      <c r="C652" t="s">
        <v>1204</v>
      </c>
      <c r="D652" t="s">
        <v>40</v>
      </c>
      <c r="E652" t="s">
        <v>111</v>
      </c>
      <c r="F652" t="s">
        <v>18</v>
      </c>
      <c r="G652" t="s">
        <v>35</v>
      </c>
      <c r="H652">
        <v>429</v>
      </c>
      <c r="I652">
        <v>40</v>
      </c>
      <c r="J652">
        <v>100</v>
      </c>
      <c r="K652" t="s">
        <v>36</v>
      </c>
      <c r="L652">
        <v>27</v>
      </c>
      <c r="M652" t="s">
        <v>21</v>
      </c>
      <c r="N652">
        <f>COUNTIF(order_data[Order_ID],order_data[[#This Row],[Order_ID]])</f>
        <v>1</v>
      </c>
      <c r="O652">
        <f>order_data[[#This Row],[Order_Value]]-order_data[[#This Row],[Discount]]</f>
        <v>329</v>
      </c>
      <c r="P652">
        <f>order_data[[#This Row],[Order_Value]]+order_data[[#This Row],[Delivery_Fee]]-order_data[[#This Row],[Discount]]</f>
        <v>369</v>
      </c>
      <c r="Q652" t="str">
        <f>TEXT(order_data[[#This Row],[Order_Date]],"mmm")</f>
        <v>Jan</v>
      </c>
      <c r="R652">
        <f>MONTH(order_data[[#This Row],[Order_Date]])</f>
        <v>1</v>
      </c>
    </row>
    <row r="653" spans="1:18" x14ac:dyDescent="0.35">
      <c r="A653" t="s">
        <v>1205</v>
      </c>
      <c r="B653" t="s">
        <v>310</v>
      </c>
      <c r="C653" t="s">
        <v>1206</v>
      </c>
      <c r="D653" t="s">
        <v>53</v>
      </c>
      <c r="E653" t="s">
        <v>152</v>
      </c>
      <c r="F653" t="s">
        <v>18</v>
      </c>
      <c r="G653" t="s">
        <v>176</v>
      </c>
      <c r="H653">
        <v>684</v>
      </c>
      <c r="I653">
        <v>50</v>
      </c>
      <c r="J653">
        <v>30</v>
      </c>
      <c r="K653" t="s">
        <v>36</v>
      </c>
      <c r="L653">
        <v>58</v>
      </c>
      <c r="M653" t="s">
        <v>21</v>
      </c>
      <c r="N653">
        <f>COUNTIF(order_data[Order_ID],order_data[[#This Row],[Order_ID]])</f>
        <v>1</v>
      </c>
      <c r="O653">
        <f>order_data[[#This Row],[Order_Value]]-order_data[[#This Row],[Discount]]</f>
        <v>654</v>
      </c>
      <c r="P653">
        <f>order_data[[#This Row],[Order_Value]]+order_data[[#This Row],[Delivery_Fee]]-order_data[[#This Row],[Discount]]</f>
        <v>704</v>
      </c>
      <c r="Q653" t="str">
        <f>TEXT(order_data[[#This Row],[Order_Date]],"mmm")</f>
        <v>Feb</v>
      </c>
      <c r="R653">
        <f>MONTH(order_data[[#This Row],[Order_Date]])</f>
        <v>2</v>
      </c>
    </row>
    <row r="654" spans="1:18" x14ac:dyDescent="0.35">
      <c r="A654" t="s">
        <v>1207</v>
      </c>
      <c r="B654" t="s">
        <v>121</v>
      </c>
      <c r="C654" t="s">
        <v>242</v>
      </c>
      <c r="D654" t="s">
        <v>25</v>
      </c>
      <c r="E654" t="s">
        <v>78</v>
      </c>
      <c r="F654" t="s">
        <v>48</v>
      </c>
      <c r="G654" t="s">
        <v>74</v>
      </c>
      <c r="H654">
        <v>344</v>
      </c>
      <c r="I654">
        <v>30</v>
      </c>
      <c r="J654">
        <v>0</v>
      </c>
      <c r="K654" t="s">
        <v>29</v>
      </c>
      <c r="L654">
        <v>36</v>
      </c>
      <c r="M654" t="s">
        <v>21</v>
      </c>
      <c r="N654">
        <f>COUNTIF(order_data[Order_ID],order_data[[#This Row],[Order_ID]])</f>
        <v>1</v>
      </c>
      <c r="O654">
        <f>order_data[[#This Row],[Order_Value]]-order_data[[#This Row],[Discount]]</f>
        <v>344</v>
      </c>
      <c r="P654">
        <f>order_data[[#This Row],[Order_Value]]+order_data[[#This Row],[Delivery_Fee]]-order_data[[#This Row],[Discount]]</f>
        <v>374</v>
      </c>
      <c r="Q654" t="str">
        <f>TEXT(order_data[[#This Row],[Order_Date]],"mmm")</f>
        <v>Feb</v>
      </c>
      <c r="R654">
        <f>MONTH(order_data[[#This Row],[Order_Date]])</f>
        <v>2</v>
      </c>
    </row>
    <row r="655" spans="1:18" x14ac:dyDescent="0.35">
      <c r="A655" t="s">
        <v>1208</v>
      </c>
      <c r="B655" t="s">
        <v>192</v>
      </c>
      <c r="C655" t="s">
        <v>357</v>
      </c>
      <c r="D655" t="s">
        <v>40</v>
      </c>
      <c r="E655" t="s">
        <v>67</v>
      </c>
      <c r="F655" t="s">
        <v>48</v>
      </c>
      <c r="G655" t="s">
        <v>74</v>
      </c>
      <c r="H655">
        <v>757</v>
      </c>
      <c r="I655">
        <v>40</v>
      </c>
      <c r="J655">
        <v>20</v>
      </c>
      <c r="K655" t="s">
        <v>29</v>
      </c>
      <c r="L655">
        <v>29</v>
      </c>
      <c r="M655" t="s">
        <v>21</v>
      </c>
      <c r="N655">
        <f>COUNTIF(order_data[Order_ID],order_data[[#This Row],[Order_ID]])</f>
        <v>1</v>
      </c>
      <c r="O655">
        <f>order_data[[#This Row],[Order_Value]]-order_data[[#This Row],[Discount]]</f>
        <v>737</v>
      </c>
      <c r="P655">
        <f>order_data[[#This Row],[Order_Value]]+order_data[[#This Row],[Delivery_Fee]]-order_data[[#This Row],[Discount]]</f>
        <v>777</v>
      </c>
      <c r="Q655" t="str">
        <f>TEXT(order_data[[#This Row],[Order_Date]],"mmm")</f>
        <v>Mar</v>
      </c>
      <c r="R655">
        <f>MONTH(order_data[[#This Row],[Order_Date]])</f>
        <v>3</v>
      </c>
    </row>
    <row r="656" spans="1:18" x14ac:dyDescent="0.35">
      <c r="A656" t="s">
        <v>1209</v>
      </c>
      <c r="B656" t="s">
        <v>310</v>
      </c>
      <c r="C656" t="s">
        <v>1210</v>
      </c>
      <c r="D656" t="s">
        <v>16</v>
      </c>
      <c r="E656" t="s">
        <v>89</v>
      </c>
      <c r="F656" t="s">
        <v>18</v>
      </c>
      <c r="G656" t="s">
        <v>59</v>
      </c>
      <c r="H656">
        <v>431</v>
      </c>
      <c r="I656">
        <v>30</v>
      </c>
      <c r="J656">
        <v>0</v>
      </c>
      <c r="K656" t="s">
        <v>20</v>
      </c>
      <c r="L656">
        <v>25</v>
      </c>
      <c r="M656" t="s">
        <v>21</v>
      </c>
      <c r="N656">
        <f>COUNTIF(order_data[Order_ID],order_data[[#This Row],[Order_ID]])</f>
        <v>1</v>
      </c>
      <c r="O656">
        <f>order_data[[#This Row],[Order_Value]]-order_data[[#This Row],[Discount]]</f>
        <v>431</v>
      </c>
      <c r="P656">
        <f>order_data[[#This Row],[Order_Value]]+order_data[[#This Row],[Delivery_Fee]]-order_data[[#This Row],[Discount]]</f>
        <v>461</v>
      </c>
      <c r="Q656" t="str">
        <f>TEXT(order_data[[#This Row],[Order_Date]],"mmm")</f>
        <v>Feb</v>
      </c>
      <c r="R656">
        <f>MONTH(order_data[[#This Row],[Order_Date]])</f>
        <v>2</v>
      </c>
    </row>
    <row r="657" spans="1:18" x14ac:dyDescent="0.35">
      <c r="A657" t="s">
        <v>1211</v>
      </c>
      <c r="B657" t="s">
        <v>432</v>
      </c>
      <c r="C657" t="s">
        <v>1012</v>
      </c>
      <c r="D657" t="s">
        <v>16</v>
      </c>
      <c r="E657" t="s">
        <v>131</v>
      </c>
      <c r="F657" t="s">
        <v>55</v>
      </c>
      <c r="G657" t="s">
        <v>42</v>
      </c>
      <c r="H657">
        <v>335</v>
      </c>
      <c r="I657">
        <v>40</v>
      </c>
      <c r="J657">
        <v>20</v>
      </c>
      <c r="K657" t="s">
        <v>36</v>
      </c>
      <c r="L657">
        <v>29</v>
      </c>
      <c r="M657" t="s">
        <v>30</v>
      </c>
      <c r="N657">
        <f>COUNTIF(order_data[Order_ID],order_data[[#This Row],[Order_ID]])</f>
        <v>1</v>
      </c>
      <c r="O657">
        <f>order_data[[#This Row],[Order_Value]]-order_data[[#This Row],[Discount]]</f>
        <v>315</v>
      </c>
      <c r="P657">
        <f>order_data[[#This Row],[Order_Value]]+order_data[[#This Row],[Delivery_Fee]]-order_data[[#This Row],[Discount]]</f>
        <v>355</v>
      </c>
      <c r="Q657" t="str">
        <f>TEXT(order_data[[#This Row],[Order_Date]],"mmm")</f>
        <v>Feb</v>
      </c>
      <c r="R657">
        <f>MONTH(order_data[[#This Row],[Order_Date]])</f>
        <v>2</v>
      </c>
    </row>
    <row r="658" spans="1:18" x14ac:dyDescent="0.35">
      <c r="A658" t="s">
        <v>1212</v>
      </c>
      <c r="B658" t="s">
        <v>143</v>
      </c>
      <c r="C658" t="s">
        <v>1213</v>
      </c>
      <c r="D658" t="s">
        <v>25</v>
      </c>
      <c r="E658" t="s">
        <v>78</v>
      </c>
      <c r="F658" t="s">
        <v>48</v>
      </c>
      <c r="G658" t="s">
        <v>176</v>
      </c>
      <c r="H658">
        <v>632</v>
      </c>
      <c r="I658">
        <v>40</v>
      </c>
      <c r="J658">
        <v>50</v>
      </c>
      <c r="K658" t="s">
        <v>36</v>
      </c>
      <c r="L658">
        <v>50</v>
      </c>
      <c r="M658" t="s">
        <v>21</v>
      </c>
      <c r="N658">
        <f>COUNTIF(order_data[Order_ID],order_data[[#This Row],[Order_ID]])</f>
        <v>1</v>
      </c>
      <c r="O658">
        <f>order_data[[#This Row],[Order_Value]]-order_data[[#This Row],[Discount]]</f>
        <v>582</v>
      </c>
      <c r="P658">
        <f>order_data[[#This Row],[Order_Value]]+order_data[[#This Row],[Delivery_Fee]]-order_data[[#This Row],[Discount]]</f>
        <v>622</v>
      </c>
      <c r="Q658" t="str">
        <f>TEXT(order_data[[#This Row],[Order_Date]],"mmm")</f>
        <v>Feb</v>
      </c>
      <c r="R658">
        <f>MONTH(order_data[[#This Row],[Order_Date]])</f>
        <v>2</v>
      </c>
    </row>
    <row r="659" spans="1:18" x14ac:dyDescent="0.35">
      <c r="A659" t="s">
        <v>1214</v>
      </c>
      <c r="B659" t="s">
        <v>174</v>
      </c>
      <c r="C659" t="s">
        <v>944</v>
      </c>
      <c r="D659" t="s">
        <v>46</v>
      </c>
      <c r="E659" t="s">
        <v>47</v>
      </c>
      <c r="F659" t="s">
        <v>48</v>
      </c>
      <c r="G659" t="s">
        <v>42</v>
      </c>
      <c r="H659">
        <v>743</v>
      </c>
      <c r="I659">
        <v>30</v>
      </c>
      <c r="J659">
        <v>100</v>
      </c>
      <c r="K659" t="s">
        <v>29</v>
      </c>
      <c r="L659">
        <v>29</v>
      </c>
      <c r="M659" t="s">
        <v>21</v>
      </c>
      <c r="N659">
        <f>COUNTIF(order_data[Order_ID],order_data[[#This Row],[Order_ID]])</f>
        <v>1</v>
      </c>
      <c r="O659">
        <f>order_data[[#This Row],[Order_Value]]-order_data[[#This Row],[Discount]]</f>
        <v>643</v>
      </c>
      <c r="P659">
        <f>order_data[[#This Row],[Order_Value]]+order_data[[#This Row],[Delivery_Fee]]-order_data[[#This Row],[Discount]]</f>
        <v>673</v>
      </c>
      <c r="Q659" t="str">
        <f>TEXT(order_data[[#This Row],[Order_Date]],"mmm")</f>
        <v>Feb</v>
      </c>
      <c r="R659">
        <f>MONTH(order_data[[#This Row],[Order_Date]])</f>
        <v>2</v>
      </c>
    </row>
    <row r="660" spans="1:18" x14ac:dyDescent="0.35">
      <c r="A660" t="s">
        <v>1215</v>
      </c>
      <c r="B660" t="s">
        <v>167</v>
      </c>
      <c r="C660" t="s">
        <v>560</v>
      </c>
      <c r="D660" t="s">
        <v>40</v>
      </c>
      <c r="E660" t="s">
        <v>111</v>
      </c>
      <c r="F660" t="s">
        <v>18</v>
      </c>
      <c r="G660" t="s">
        <v>107</v>
      </c>
      <c r="H660">
        <v>545</v>
      </c>
      <c r="I660">
        <v>50</v>
      </c>
      <c r="J660">
        <v>100</v>
      </c>
      <c r="K660" t="s">
        <v>29</v>
      </c>
      <c r="L660">
        <v>37</v>
      </c>
      <c r="M660" t="s">
        <v>21</v>
      </c>
      <c r="N660">
        <f>COUNTIF(order_data[Order_ID],order_data[[#This Row],[Order_ID]])</f>
        <v>1</v>
      </c>
      <c r="O660">
        <f>order_data[[#This Row],[Order_Value]]-order_data[[#This Row],[Discount]]</f>
        <v>445</v>
      </c>
      <c r="P660">
        <f>order_data[[#This Row],[Order_Value]]+order_data[[#This Row],[Delivery_Fee]]-order_data[[#This Row],[Discount]]</f>
        <v>495</v>
      </c>
      <c r="Q660" t="str">
        <f>TEXT(order_data[[#This Row],[Order_Date]],"mmm")</f>
        <v>Feb</v>
      </c>
      <c r="R660">
        <f>MONTH(order_data[[#This Row],[Order_Date]])</f>
        <v>2</v>
      </c>
    </row>
    <row r="661" spans="1:18" x14ac:dyDescent="0.35">
      <c r="A661" t="s">
        <v>1216</v>
      </c>
      <c r="B661" t="s">
        <v>199</v>
      </c>
      <c r="C661" t="s">
        <v>197</v>
      </c>
      <c r="D661" t="s">
        <v>16</v>
      </c>
      <c r="E661" t="s">
        <v>17</v>
      </c>
      <c r="F661" t="s">
        <v>18</v>
      </c>
      <c r="G661" t="s">
        <v>63</v>
      </c>
      <c r="H661">
        <v>683</v>
      </c>
      <c r="I661">
        <v>30</v>
      </c>
      <c r="J661">
        <v>50</v>
      </c>
      <c r="K661" t="s">
        <v>29</v>
      </c>
      <c r="L661">
        <v>47</v>
      </c>
      <c r="M661" t="s">
        <v>21</v>
      </c>
      <c r="N661">
        <f>COUNTIF(order_data[Order_ID],order_data[[#This Row],[Order_ID]])</f>
        <v>1</v>
      </c>
      <c r="O661">
        <f>order_data[[#This Row],[Order_Value]]-order_data[[#This Row],[Discount]]</f>
        <v>633</v>
      </c>
      <c r="P661">
        <f>order_data[[#This Row],[Order_Value]]+order_data[[#This Row],[Delivery_Fee]]-order_data[[#This Row],[Discount]]</f>
        <v>663</v>
      </c>
      <c r="Q661" t="str">
        <f>TEXT(order_data[[#This Row],[Order_Date]],"mmm")</f>
        <v>Jan</v>
      </c>
      <c r="R661">
        <f>MONTH(order_data[[#This Row],[Order_Date]])</f>
        <v>1</v>
      </c>
    </row>
    <row r="662" spans="1:18" x14ac:dyDescent="0.35">
      <c r="A662" t="s">
        <v>1217</v>
      </c>
      <c r="B662" t="s">
        <v>454</v>
      </c>
      <c r="C662" t="s">
        <v>1218</v>
      </c>
      <c r="D662" t="s">
        <v>53</v>
      </c>
      <c r="E662" t="s">
        <v>152</v>
      </c>
      <c r="F662" t="s">
        <v>18</v>
      </c>
      <c r="G662" t="s">
        <v>74</v>
      </c>
      <c r="H662">
        <v>782</v>
      </c>
      <c r="I662">
        <v>30</v>
      </c>
      <c r="J662">
        <v>50</v>
      </c>
      <c r="K662" t="s">
        <v>20</v>
      </c>
      <c r="L662">
        <v>21</v>
      </c>
      <c r="M662" t="s">
        <v>21</v>
      </c>
      <c r="N662">
        <f>COUNTIF(order_data[Order_ID],order_data[[#This Row],[Order_ID]])</f>
        <v>1</v>
      </c>
      <c r="O662">
        <f>order_data[[#This Row],[Order_Value]]-order_data[[#This Row],[Discount]]</f>
        <v>732</v>
      </c>
      <c r="P662">
        <f>order_data[[#This Row],[Order_Value]]+order_data[[#This Row],[Delivery_Fee]]-order_data[[#This Row],[Discount]]</f>
        <v>762</v>
      </c>
      <c r="Q662" t="str">
        <f>TEXT(order_data[[#This Row],[Order_Date]],"mmm")</f>
        <v>Jan</v>
      </c>
      <c r="R662">
        <f>MONTH(order_data[[#This Row],[Order_Date]])</f>
        <v>1</v>
      </c>
    </row>
    <row r="663" spans="1:18" x14ac:dyDescent="0.35">
      <c r="A663" t="s">
        <v>1219</v>
      </c>
      <c r="B663" t="s">
        <v>241</v>
      </c>
      <c r="C663" t="s">
        <v>1073</v>
      </c>
      <c r="D663" t="s">
        <v>53</v>
      </c>
      <c r="E663" t="s">
        <v>84</v>
      </c>
      <c r="F663" t="s">
        <v>85</v>
      </c>
      <c r="G663" t="s">
        <v>63</v>
      </c>
      <c r="H663">
        <v>596</v>
      </c>
      <c r="I663">
        <v>30</v>
      </c>
      <c r="J663">
        <v>100</v>
      </c>
      <c r="K663" t="s">
        <v>29</v>
      </c>
      <c r="L663">
        <v>44</v>
      </c>
      <c r="M663" t="s">
        <v>21</v>
      </c>
      <c r="N663">
        <f>COUNTIF(order_data[Order_ID],order_data[[#This Row],[Order_ID]])</f>
        <v>1</v>
      </c>
      <c r="O663">
        <f>order_data[[#This Row],[Order_Value]]-order_data[[#This Row],[Discount]]</f>
        <v>496</v>
      </c>
      <c r="P663">
        <f>order_data[[#This Row],[Order_Value]]+order_data[[#This Row],[Delivery_Fee]]-order_data[[#This Row],[Discount]]</f>
        <v>526</v>
      </c>
      <c r="Q663" t="str">
        <f>TEXT(order_data[[#This Row],[Order_Date]],"mmm")</f>
        <v>Mar</v>
      </c>
      <c r="R663">
        <f>MONTH(order_data[[#This Row],[Order_Date]])</f>
        <v>3</v>
      </c>
    </row>
    <row r="664" spans="1:18" x14ac:dyDescent="0.35">
      <c r="A664" t="s">
        <v>1220</v>
      </c>
      <c r="B664" t="s">
        <v>339</v>
      </c>
      <c r="C664" t="s">
        <v>389</v>
      </c>
      <c r="D664" t="s">
        <v>16</v>
      </c>
      <c r="E664" t="s">
        <v>89</v>
      </c>
      <c r="F664" t="s">
        <v>18</v>
      </c>
      <c r="G664" t="s">
        <v>19</v>
      </c>
      <c r="H664">
        <v>637</v>
      </c>
      <c r="I664">
        <v>40</v>
      </c>
      <c r="J664">
        <v>30</v>
      </c>
      <c r="K664" t="s">
        <v>36</v>
      </c>
      <c r="L664">
        <v>50</v>
      </c>
      <c r="M664" t="s">
        <v>21</v>
      </c>
      <c r="N664">
        <f>COUNTIF(order_data[Order_ID],order_data[[#This Row],[Order_ID]])</f>
        <v>1</v>
      </c>
      <c r="O664">
        <f>order_data[[#This Row],[Order_Value]]-order_data[[#This Row],[Discount]]</f>
        <v>607</v>
      </c>
      <c r="P664">
        <f>order_data[[#This Row],[Order_Value]]+order_data[[#This Row],[Delivery_Fee]]-order_data[[#This Row],[Discount]]</f>
        <v>647</v>
      </c>
      <c r="Q664" t="str">
        <f>TEXT(order_data[[#This Row],[Order_Date]],"mmm")</f>
        <v>Jan</v>
      </c>
      <c r="R664">
        <f>MONTH(order_data[[#This Row],[Order_Date]])</f>
        <v>1</v>
      </c>
    </row>
    <row r="665" spans="1:18" x14ac:dyDescent="0.35">
      <c r="A665" t="s">
        <v>1221</v>
      </c>
      <c r="B665" t="s">
        <v>247</v>
      </c>
      <c r="C665" t="s">
        <v>514</v>
      </c>
      <c r="D665" t="s">
        <v>25</v>
      </c>
      <c r="E665" t="s">
        <v>78</v>
      </c>
      <c r="F665" t="s">
        <v>48</v>
      </c>
      <c r="G665" t="s">
        <v>176</v>
      </c>
      <c r="H665">
        <v>683</v>
      </c>
      <c r="I665">
        <v>40</v>
      </c>
      <c r="J665">
        <v>30</v>
      </c>
      <c r="K665" t="s">
        <v>20</v>
      </c>
      <c r="L665">
        <v>51</v>
      </c>
      <c r="M665" t="s">
        <v>21</v>
      </c>
      <c r="N665">
        <f>COUNTIF(order_data[Order_ID],order_data[[#This Row],[Order_ID]])</f>
        <v>1</v>
      </c>
      <c r="O665">
        <f>order_data[[#This Row],[Order_Value]]-order_data[[#This Row],[Discount]]</f>
        <v>653</v>
      </c>
      <c r="P665">
        <f>order_data[[#This Row],[Order_Value]]+order_data[[#This Row],[Delivery_Fee]]-order_data[[#This Row],[Discount]]</f>
        <v>693</v>
      </c>
      <c r="Q665" t="str">
        <f>TEXT(order_data[[#This Row],[Order_Date]],"mmm")</f>
        <v>Mar</v>
      </c>
      <c r="R665">
        <f>MONTH(order_data[[#This Row],[Order_Date]])</f>
        <v>3</v>
      </c>
    </row>
    <row r="666" spans="1:18" x14ac:dyDescent="0.35">
      <c r="A666" t="s">
        <v>1222</v>
      </c>
      <c r="B666" t="s">
        <v>388</v>
      </c>
      <c r="C666" t="s">
        <v>578</v>
      </c>
      <c r="D666" t="s">
        <v>46</v>
      </c>
      <c r="E666" t="s">
        <v>47</v>
      </c>
      <c r="F666" t="s">
        <v>48</v>
      </c>
      <c r="G666" t="s">
        <v>49</v>
      </c>
      <c r="H666">
        <v>169</v>
      </c>
      <c r="I666">
        <v>50</v>
      </c>
      <c r="J666">
        <v>50</v>
      </c>
      <c r="K666" t="s">
        <v>29</v>
      </c>
      <c r="L666">
        <v>51</v>
      </c>
      <c r="M666" t="s">
        <v>21</v>
      </c>
      <c r="N666">
        <f>COUNTIF(order_data[Order_ID],order_data[[#This Row],[Order_ID]])</f>
        <v>1</v>
      </c>
      <c r="O666">
        <f>order_data[[#This Row],[Order_Value]]-order_data[[#This Row],[Discount]]</f>
        <v>119</v>
      </c>
      <c r="P666">
        <f>order_data[[#This Row],[Order_Value]]+order_data[[#This Row],[Delivery_Fee]]-order_data[[#This Row],[Discount]]</f>
        <v>169</v>
      </c>
      <c r="Q666" t="str">
        <f>TEXT(order_data[[#This Row],[Order_Date]],"mmm")</f>
        <v>Mar</v>
      </c>
      <c r="R666">
        <f>MONTH(order_data[[#This Row],[Order_Date]])</f>
        <v>3</v>
      </c>
    </row>
    <row r="667" spans="1:18" x14ac:dyDescent="0.35">
      <c r="A667" t="s">
        <v>1223</v>
      </c>
      <c r="B667" t="s">
        <v>136</v>
      </c>
      <c r="C667" t="s">
        <v>1224</v>
      </c>
      <c r="D667" t="s">
        <v>53</v>
      </c>
      <c r="E667" t="s">
        <v>152</v>
      </c>
      <c r="F667" t="s">
        <v>18</v>
      </c>
      <c r="G667" t="s">
        <v>74</v>
      </c>
      <c r="H667">
        <v>731</v>
      </c>
      <c r="I667">
        <v>30</v>
      </c>
      <c r="J667">
        <v>50</v>
      </c>
      <c r="K667" t="s">
        <v>20</v>
      </c>
      <c r="L667">
        <v>53</v>
      </c>
      <c r="M667" t="s">
        <v>21</v>
      </c>
      <c r="N667">
        <f>COUNTIF(order_data[Order_ID],order_data[[#This Row],[Order_ID]])</f>
        <v>1</v>
      </c>
      <c r="O667">
        <f>order_data[[#This Row],[Order_Value]]-order_data[[#This Row],[Discount]]</f>
        <v>681</v>
      </c>
      <c r="P667">
        <f>order_data[[#This Row],[Order_Value]]+order_data[[#This Row],[Delivery_Fee]]-order_data[[#This Row],[Discount]]</f>
        <v>711</v>
      </c>
      <c r="Q667" t="str">
        <f>TEXT(order_data[[#This Row],[Order_Date]],"mmm")</f>
        <v>Feb</v>
      </c>
      <c r="R667">
        <f>MONTH(order_data[[#This Row],[Order_Date]])</f>
        <v>2</v>
      </c>
    </row>
    <row r="668" spans="1:18" x14ac:dyDescent="0.35">
      <c r="A668" t="s">
        <v>1225</v>
      </c>
      <c r="B668" t="s">
        <v>454</v>
      </c>
      <c r="C668" t="s">
        <v>1226</v>
      </c>
      <c r="D668" t="s">
        <v>16</v>
      </c>
      <c r="E668" t="s">
        <v>89</v>
      </c>
      <c r="F668" t="s">
        <v>18</v>
      </c>
      <c r="G668" t="s">
        <v>19</v>
      </c>
      <c r="H668">
        <v>216</v>
      </c>
      <c r="I668">
        <v>30</v>
      </c>
      <c r="J668">
        <v>100</v>
      </c>
      <c r="K668" t="s">
        <v>20</v>
      </c>
      <c r="L668">
        <v>49</v>
      </c>
      <c r="M668" t="s">
        <v>21</v>
      </c>
      <c r="N668">
        <f>COUNTIF(order_data[Order_ID],order_data[[#This Row],[Order_ID]])</f>
        <v>1</v>
      </c>
      <c r="O668">
        <f>order_data[[#This Row],[Order_Value]]-order_data[[#This Row],[Discount]]</f>
        <v>116</v>
      </c>
      <c r="P668">
        <f>order_data[[#This Row],[Order_Value]]+order_data[[#This Row],[Delivery_Fee]]-order_data[[#This Row],[Discount]]</f>
        <v>146</v>
      </c>
      <c r="Q668" t="str">
        <f>TEXT(order_data[[#This Row],[Order_Date]],"mmm")</f>
        <v>Jan</v>
      </c>
      <c r="R668">
        <f>MONTH(order_data[[#This Row],[Order_Date]])</f>
        <v>1</v>
      </c>
    </row>
    <row r="669" spans="1:18" x14ac:dyDescent="0.35">
      <c r="A669" t="s">
        <v>1227</v>
      </c>
      <c r="B669" t="s">
        <v>87</v>
      </c>
      <c r="C669" t="s">
        <v>1228</v>
      </c>
      <c r="D669" t="s">
        <v>46</v>
      </c>
      <c r="E669" t="s">
        <v>148</v>
      </c>
      <c r="F669" t="s">
        <v>27</v>
      </c>
      <c r="G669" t="s">
        <v>176</v>
      </c>
      <c r="H669">
        <v>504</v>
      </c>
      <c r="I669">
        <v>30</v>
      </c>
      <c r="J669">
        <v>20</v>
      </c>
      <c r="K669" t="s">
        <v>29</v>
      </c>
      <c r="L669">
        <v>49</v>
      </c>
      <c r="M669" t="s">
        <v>21</v>
      </c>
      <c r="N669">
        <f>COUNTIF(order_data[Order_ID],order_data[[#This Row],[Order_ID]])</f>
        <v>1</v>
      </c>
      <c r="O669">
        <f>order_data[[#This Row],[Order_Value]]-order_data[[#This Row],[Discount]]</f>
        <v>484</v>
      </c>
      <c r="P669">
        <f>order_data[[#This Row],[Order_Value]]+order_data[[#This Row],[Delivery_Fee]]-order_data[[#This Row],[Discount]]</f>
        <v>514</v>
      </c>
      <c r="Q669" t="str">
        <f>TEXT(order_data[[#This Row],[Order_Date]],"mmm")</f>
        <v>Jan</v>
      </c>
      <c r="R669">
        <f>MONTH(order_data[[#This Row],[Order_Date]])</f>
        <v>1</v>
      </c>
    </row>
    <row r="670" spans="1:18" x14ac:dyDescent="0.35">
      <c r="A670" t="s">
        <v>1229</v>
      </c>
      <c r="B670" t="s">
        <v>87</v>
      </c>
      <c r="C670" t="s">
        <v>73</v>
      </c>
      <c r="D670" t="s">
        <v>46</v>
      </c>
      <c r="E670" t="s">
        <v>70</v>
      </c>
      <c r="F670" t="s">
        <v>18</v>
      </c>
      <c r="G670" t="s">
        <v>74</v>
      </c>
      <c r="H670">
        <v>735</v>
      </c>
      <c r="I670">
        <v>40</v>
      </c>
      <c r="J670">
        <v>50</v>
      </c>
      <c r="K670" t="s">
        <v>20</v>
      </c>
      <c r="L670">
        <v>49</v>
      </c>
      <c r="M670" t="s">
        <v>21</v>
      </c>
      <c r="N670">
        <f>COUNTIF(order_data[Order_ID],order_data[[#This Row],[Order_ID]])</f>
        <v>1</v>
      </c>
      <c r="O670">
        <f>order_data[[#This Row],[Order_Value]]-order_data[[#This Row],[Discount]]</f>
        <v>685</v>
      </c>
      <c r="P670">
        <f>order_data[[#This Row],[Order_Value]]+order_data[[#This Row],[Delivery_Fee]]-order_data[[#This Row],[Discount]]</f>
        <v>725</v>
      </c>
      <c r="Q670" t="str">
        <f>TEXT(order_data[[#This Row],[Order_Date]],"mmm")</f>
        <v>Jan</v>
      </c>
      <c r="R670">
        <f>MONTH(order_data[[#This Row],[Order_Date]])</f>
        <v>1</v>
      </c>
    </row>
    <row r="671" spans="1:18" x14ac:dyDescent="0.35">
      <c r="A671" t="s">
        <v>1230</v>
      </c>
      <c r="B671" t="s">
        <v>541</v>
      </c>
      <c r="C671" t="s">
        <v>292</v>
      </c>
      <c r="D671" t="s">
        <v>16</v>
      </c>
      <c r="E671" t="s">
        <v>89</v>
      </c>
      <c r="F671" t="s">
        <v>18</v>
      </c>
      <c r="G671" t="s">
        <v>42</v>
      </c>
      <c r="H671">
        <v>627</v>
      </c>
      <c r="I671">
        <v>20</v>
      </c>
      <c r="J671">
        <v>30</v>
      </c>
      <c r="K671" t="s">
        <v>20</v>
      </c>
      <c r="L671">
        <v>50</v>
      </c>
      <c r="M671" t="s">
        <v>21</v>
      </c>
      <c r="N671">
        <f>COUNTIF(order_data[Order_ID],order_data[[#This Row],[Order_ID]])</f>
        <v>1</v>
      </c>
      <c r="O671">
        <f>order_data[[#This Row],[Order_Value]]-order_data[[#This Row],[Discount]]</f>
        <v>597</v>
      </c>
      <c r="P671">
        <f>order_data[[#This Row],[Order_Value]]+order_data[[#This Row],[Delivery_Fee]]-order_data[[#This Row],[Discount]]</f>
        <v>617</v>
      </c>
      <c r="Q671" t="str">
        <f>TEXT(order_data[[#This Row],[Order_Date]],"mmm")</f>
        <v>Jan</v>
      </c>
      <c r="R671">
        <f>MONTH(order_data[[#This Row],[Order_Date]])</f>
        <v>1</v>
      </c>
    </row>
    <row r="672" spans="1:18" x14ac:dyDescent="0.35">
      <c r="A672" t="s">
        <v>1231</v>
      </c>
      <c r="B672" t="s">
        <v>247</v>
      </c>
      <c r="C672" t="s">
        <v>964</v>
      </c>
      <c r="D672" t="s">
        <v>46</v>
      </c>
      <c r="E672" t="s">
        <v>70</v>
      </c>
      <c r="F672" t="s">
        <v>18</v>
      </c>
      <c r="G672" t="s">
        <v>63</v>
      </c>
      <c r="H672">
        <v>180</v>
      </c>
      <c r="I672">
        <v>30</v>
      </c>
      <c r="J672">
        <v>50</v>
      </c>
      <c r="K672" t="s">
        <v>20</v>
      </c>
      <c r="L672">
        <v>34</v>
      </c>
      <c r="M672" t="s">
        <v>21</v>
      </c>
      <c r="N672">
        <f>COUNTIF(order_data[Order_ID],order_data[[#This Row],[Order_ID]])</f>
        <v>1</v>
      </c>
      <c r="O672">
        <f>order_data[[#This Row],[Order_Value]]-order_data[[#This Row],[Discount]]</f>
        <v>130</v>
      </c>
      <c r="P672">
        <f>order_data[[#This Row],[Order_Value]]+order_data[[#This Row],[Delivery_Fee]]-order_data[[#This Row],[Discount]]</f>
        <v>160</v>
      </c>
      <c r="Q672" t="str">
        <f>TEXT(order_data[[#This Row],[Order_Date]],"mmm")</f>
        <v>Mar</v>
      </c>
      <c r="R672">
        <f>MONTH(order_data[[#This Row],[Order_Date]])</f>
        <v>3</v>
      </c>
    </row>
    <row r="673" spans="1:18" x14ac:dyDescent="0.35">
      <c r="A673" t="s">
        <v>1232</v>
      </c>
      <c r="B673" t="s">
        <v>342</v>
      </c>
      <c r="C673" t="s">
        <v>1233</v>
      </c>
      <c r="D673" t="s">
        <v>53</v>
      </c>
      <c r="E673" t="s">
        <v>84</v>
      </c>
      <c r="F673" t="s">
        <v>85</v>
      </c>
      <c r="G673" t="s">
        <v>59</v>
      </c>
      <c r="H673">
        <v>329</v>
      </c>
      <c r="I673">
        <v>50</v>
      </c>
      <c r="J673">
        <v>20</v>
      </c>
      <c r="K673" t="s">
        <v>36</v>
      </c>
      <c r="L673">
        <v>46</v>
      </c>
      <c r="M673" t="s">
        <v>21</v>
      </c>
      <c r="N673">
        <f>COUNTIF(order_data[Order_ID],order_data[[#This Row],[Order_ID]])</f>
        <v>1</v>
      </c>
      <c r="O673">
        <f>order_data[[#This Row],[Order_Value]]-order_data[[#This Row],[Discount]]</f>
        <v>309</v>
      </c>
      <c r="P673">
        <f>order_data[[#This Row],[Order_Value]]+order_data[[#This Row],[Delivery_Fee]]-order_data[[#This Row],[Discount]]</f>
        <v>359</v>
      </c>
      <c r="Q673" t="str">
        <f>TEXT(order_data[[#This Row],[Order_Date]],"mmm")</f>
        <v>Jan</v>
      </c>
      <c r="R673">
        <f>MONTH(order_data[[#This Row],[Order_Date]])</f>
        <v>1</v>
      </c>
    </row>
    <row r="674" spans="1:18" x14ac:dyDescent="0.35">
      <c r="A674" t="s">
        <v>1234</v>
      </c>
      <c r="B674" t="s">
        <v>218</v>
      </c>
      <c r="C674" t="s">
        <v>854</v>
      </c>
      <c r="D674" t="s">
        <v>53</v>
      </c>
      <c r="E674" t="s">
        <v>54</v>
      </c>
      <c r="F674" t="s">
        <v>55</v>
      </c>
      <c r="G674" t="s">
        <v>19</v>
      </c>
      <c r="H674">
        <v>341</v>
      </c>
      <c r="I674">
        <v>40</v>
      </c>
      <c r="J674">
        <v>100</v>
      </c>
      <c r="K674" t="s">
        <v>20</v>
      </c>
      <c r="L674">
        <v>29</v>
      </c>
      <c r="M674" t="s">
        <v>30</v>
      </c>
      <c r="N674">
        <f>COUNTIF(order_data[Order_ID],order_data[[#This Row],[Order_ID]])</f>
        <v>1</v>
      </c>
      <c r="O674">
        <f>order_data[[#This Row],[Order_Value]]-order_data[[#This Row],[Discount]]</f>
        <v>241</v>
      </c>
      <c r="P674">
        <f>order_data[[#This Row],[Order_Value]]+order_data[[#This Row],[Delivery_Fee]]-order_data[[#This Row],[Discount]]</f>
        <v>281</v>
      </c>
      <c r="Q674" t="str">
        <f>TEXT(order_data[[#This Row],[Order_Date]],"mmm")</f>
        <v>Feb</v>
      </c>
      <c r="R674">
        <f>MONTH(order_data[[#This Row],[Order_Date]])</f>
        <v>2</v>
      </c>
    </row>
    <row r="675" spans="1:18" x14ac:dyDescent="0.35">
      <c r="A675" t="s">
        <v>1235</v>
      </c>
      <c r="B675" t="s">
        <v>80</v>
      </c>
      <c r="C675" t="s">
        <v>289</v>
      </c>
      <c r="D675" t="s">
        <v>16</v>
      </c>
      <c r="E675" t="s">
        <v>17</v>
      </c>
      <c r="F675" t="s">
        <v>18</v>
      </c>
      <c r="G675" t="s">
        <v>176</v>
      </c>
      <c r="H675">
        <v>784</v>
      </c>
      <c r="I675">
        <v>20</v>
      </c>
      <c r="J675">
        <v>0</v>
      </c>
      <c r="K675" t="s">
        <v>36</v>
      </c>
      <c r="L675">
        <v>55</v>
      </c>
      <c r="M675" t="s">
        <v>21</v>
      </c>
      <c r="N675">
        <f>COUNTIF(order_data[Order_ID],order_data[[#This Row],[Order_ID]])</f>
        <v>1</v>
      </c>
      <c r="O675">
        <f>order_data[[#This Row],[Order_Value]]-order_data[[#This Row],[Discount]]</f>
        <v>784</v>
      </c>
      <c r="P675">
        <f>order_data[[#This Row],[Order_Value]]+order_data[[#This Row],[Delivery_Fee]]-order_data[[#This Row],[Discount]]</f>
        <v>804</v>
      </c>
      <c r="Q675" t="str">
        <f>TEXT(order_data[[#This Row],[Order_Date]],"mmm")</f>
        <v>Feb</v>
      </c>
      <c r="R675">
        <f>MONTH(order_data[[#This Row],[Order_Date]])</f>
        <v>2</v>
      </c>
    </row>
    <row r="676" spans="1:18" x14ac:dyDescent="0.35">
      <c r="A676" t="s">
        <v>1236</v>
      </c>
      <c r="B676" t="s">
        <v>61</v>
      </c>
      <c r="C676" t="s">
        <v>401</v>
      </c>
      <c r="D676" t="s">
        <v>46</v>
      </c>
      <c r="E676" t="s">
        <v>47</v>
      </c>
      <c r="F676" t="s">
        <v>48</v>
      </c>
      <c r="G676" t="s">
        <v>107</v>
      </c>
      <c r="H676">
        <v>168</v>
      </c>
      <c r="I676">
        <v>20</v>
      </c>
      <c r="J676">
        <v>0</v>
      </c>
      <c r="K676" t="s">
        <v>36</v>
      </c>
      <c r="L676">
        <v>34</v>
      </c>
      <c r="M676" t="s">
        <v>21</v>
      </c>
      <c r="N676">
        <f>COUNTIF(order_data[Order_ID],order_data[[#This Row],[Order_ID]])</f>
        <v>1</v>
      </c>
      <c r="O676">
        <f>order_data[[#This Row],[Order_Value]]-order_data[[#This Row],[Discount]]</f>
        <v>168</v>
      </c>
      <c r="P676">
        <f>order_data[[#This Row],[Order_Value]]+order_data[[#This Row],[Delivery_Fee]]-order_data[[#This Row],[Discount]]</f>
        <v>188</v>
      </c>
      <c r="Q676" t="str">
        <f>TEXT(order_data[[#This Row],[Order_Date]],"mmm")</f>
        <v>Jan</v>
      </c>
      <c r="R676">
        <f>MONTH(order_data[[#This Row],[Order_Date]])</f>
        <v>1</v>
      </c>
    </row>
    <row r="677" spans="1:18" x14ac:dyDescent="0.35">
      <c r="A677" t="s">
        <v>1237</v>
      </c>
      <c r="B677" t="s">
        <v>291</v>
      </c>
      <c r="C677" t="s">
        <v>575</v>
      </c>
      <c r="D677" t="s">
        <v>40</v>
      </c>
      <c r="E677" t="s">
        <v>111</v>
      </c>
      <c r="F677" t="s">
        <v>18</v>
      </c>
      <c r="G677" t="s">
        <v>42</v>
      </c>
      <c r="H677">
        <v>588</v>
      </c>
      <c r="I677">
        <v>20</v>
      </c>
      <c r="J677">
        <v>30</v>
      </c>
      <c r="K677" t="s">
        <v>29</v>
      </c>
      <c r="L677">
        <v>23</v>
      </c>
      <c r="M677" t="s">
        <v>21</v>
      </c>
      <c r="N677">
        <f>COUNTIF(order_data[Order_ID],order_data[[#This Row],[Order_ID]])</f>
        <v>1</v>
      </c>
      <c r="O677">
        <f>order_data[[#This Row],[Order_Value]]-order_data[[#This Row],[Discount]]</f>
        <v>558</v>
      </c>
      <c r="P677">
        <f>order_data[[#This Row],[Order_Value]]+order_data[[#This Row],[Delivery_Fee]]-order_data[[#This Row],[Discount]]</f>
        <v>578</v>
      </c>
      <c r="Q677" t="str">
        <f>TEXT(order_data[[#This Row],[Order_Date]],"mmm")</f>
        <v>Feb</v>
      </c>
      <c r="R677">
        <f>MONTH(order_data[[#This Row],[Order_Date]])</f>
        <v>2</v>
      </c>
    </row>
    <row r="678" spans="1:18" x14ac:dyDescent="0.35">
      <c r="A678" t="s">
        <v>1238</v>
      </c>
      <c r="B678" t="s">
        <v>365</v>
      </c>
      <c r="C678" t="s">
        <v>1022</v>
      </c>
      <c r="D678" t="s">
        <v>25</v>
      </c>
      <c r="E678" t="s">
        <v>26</v>
      </c>
      <c r="F678" t="s">
        <v>27</v>
      </c>
      <c r="G678" t="s">
        <v>35</v>
      </c>
      <c r="H678">
        <v>185</v>
      </c>
      <c r="I678">
        <v>50</v>
      </c>
      <c r="J678">
        <v>100</v>
      </c>
      <c r="K678" t="s">
        <v>20</v>
      </c>
      <c r="L678">
        <v>38</v>
      </c>
      <c r="M678" t="s">
        <v>21</v>
      </c>
      <c r="N678">
        <f>COUNTIF(order_data[Order_ID],order_data[[#This Row],[Order_ID]])</f>
        <v>1</v>
      </c>
      <c r="O678">
        <f>order_data[[#This Row],[Order_Value]]-order_data[[#This Row],[Discount]]</f>
        <v>85</v>
      </c>
      <c r="P678">
        <f>order_data[[#This Row],[Order_Value]]+order_data[[#This Row],[Delivery_Fee]]-order_data[[#This Row],[Discount]]</f>
        <v>135</v>
      </c>
      <c r="Q678" t="str">
        <f>TEXT(order_data[[#This Row],[Order_Date]],"mmm")</f>
        <v>Jan</v>
      </c>
      <c r="R678">
        <f>MONTH(order_data[[#This Row],[Order_Date]])</f>
        <v>1</v>
      </c>
    </row>
    <row r="679" spans="1:18" x14ac:dyDescent="0.35">
      <c r="A679" t="s">
        <v>1239</v>
      </c>
      <c r="B679" t="s">
        <v>326</v>
      </c>
      <c r="C679" t="s">
        <v>1224</v>
      </c>
      <c r="D679" t="s">
        <v>46</v>
      </c>
      <c r="E679" t="s">
        <v>47</v>
      </c>
      <c r="F679" t="s">
        <v>48</v>
      </c>
      <c r="G679" t="s">
        <v>63</v>
      </c>
      <c r="H679">
        <v>609</v>
      </c>
      <c r="I679">
        <v>50</v>
      </c>
      <c r="J679">
        <v>100</v>
      </c>
      <c r="K679" t="s">
        <v>20</v>
      </c>
      <c r="L679">
        <v>53</v>
      </c>
      <c r="M679" t="s">
        <v>21</v>
      </c>
      <c r="N679">
        <f>COUNTIF(order_data[Order_ID],order_data[[#This Row],[Order_ID]])</f>
        <v>1</v>
      </c>
      <c r="O679">
        <f>order_data[[#This Row],[Order_Value]]-order_data[[#This Row],[Discount]]</f>
        <v>509</v>
      </c>
      <c r="P679">
        <f>order_data[[#This Row],[Order_Value]]+order_data[[#This Row],[Delivery_Fee]]-order_data[[#This Row],[Discount]]</f>
        <v>559</v>
      </c>
      <c r="Q679" t="str">
        <f>TEXT(order_data[[#This Row],[Order_Date]],"mmm")</f>
        <v>Mar</v>
      </c>
      <c r="R679">
        <f>MONTH(order_data[[#This Row],[Order_Date]])</f>
        <v>3</v>
      </c>
    </row>
    <row r="680" spans="1:18" x14ac:dyDescent="0.35">
      <c r="A680" t="s">
        <v>1240</v>
      </c>
      <c r="B680" t="s">
        <v>136</v>
      </c>
      <c r="C680" t="s">
        <v>1241</v>
      </c>
      <c r="D680" t="s">
        <v>16</v>
      </c>
      <c r="E680" t="s">
        <v>17</v>
      </c>
      <c r="F680" t="s">
        <v>18</v>
      </c>
      <c r="G680" t="s">
        <v>107</v>
      </c>
      <c r="H680">
        <v>429</v>
      </c>
      <c r="I680">
        <v>50</v>
      </c>
      <c r="J680">
        <v>20</v>
      </c>
      <c r="K680" t="s">
        <v>36</v>
      </c>
      <c r="L680">
        <v>52</v>
      </c>
      <c r="M680" t="s">
        <v>21</v>
      </c>
      <c r="N680">
        <f>COUNTIF(order_data[Order_ID],order_data[[#This Row],[Order_ID]])</f>
        <v>1</v>
      </c>
      <c r="O680">
        <f>order_data[[#This Row],[Order_Value]]-order_data[[#This Row],[Discount]]</f>
        <v>409</v>
      </c>
      <c r="P680">
        <f>order_data[[#This Row],[Order_Value]]+order_data[[#This Row],[Delivery_Fee]]-order_data[[#This Row],[Discount]]</f>
        <v>459</v>
      </c>
      <c r="Q680" t="str">
        <f>TEXT(order_data[[#This Row],[Order_Date]],"mmm")</f>
        <v>Feb</v>
      </c>
      <c r="R680">
        <f>MONTH(order_data[[#This Row],[Order_Date]])</f>
        <v>2</v>
      </c>
    </row>
    <row r="681" spans="1:18" x14ac:dyDescent="0.35">
      <c r="A681" t="s">
        <v>1242</v>
      </c>
      <c r="B681" t="s">
        <v>57</v>
      </c>
      <c r="C681" t="s">
        <v>1243</v>
      </c>
      <c r="D681" t="s">
        <v>40</v>
      </c>
      <c r="E681" t="s">
        <v>67</v>
      </c>
      <c r="F681" t="s">
        <v>48</v>
      </c>
      <c r="G681" t="s">
        <v>74</v>
      </c>
      <c r="H681">
        <v>339</v>
      </c>
      <c r="I681">
        <v>50</v>
      </c>
      <c r="J681">
        <v>20</v>
      </c>
      <c r="K681" t="s">
        <v>36</v>
      </c>
      <c r="L681">
        <v>59</v>
      </c>
      <c r="M681" t="s">
        <v>21</v>
      </c>
      <c r="N681">
        <f>COUNTIF(order_data[Order_ID],order_data[[#This Row],[Order_ID]])</f>
        <v>1</v>
      </c>
      <c r="O681">
        <f>order_data[[#This Row],[Order_Value]]-order_data[[#This Row],[Discount]]</f>
        <v>319</v>
      </c>
      <c r="P681">
        <f>order_data[[#This Row],[Order_Value]]+order_data[[#This Row],[Delivery_Fee]]-order_data[[#This Row],[Discount]]</f>
        <v>369</v>
      </c>
      <c r="Q681" t="str">
        <f>TEXT(order_data[[#This Row],[Order_Date]],"mmm")</f>
        <v>Jan</v>
      </c>
      <c r="R681">
        <f>MONTH(order_data[[#This Row],[Order_Date]])</f>
        <v>1</v>
      </c>
    </row>
    <row r="682" spans="1:18" x14ac:dyDescent="0.35">
      <c r="A682" t="s">
        <v>1244</v>
      </c>
      <c r="B682" t="s">
        <v>342</v>
      </c>
      <c r="C682" t="s">
        <v>62</v>
      </c>
      <c r="D682" t="s">
        <v>53</v>
      </c>
      <c r="E682" t="s">
        <v>84</v>
      </c>
      <c r="F682" t="s">
        <v>85</v>
      </c>
      <c r="G682" t="s">
        <v>176</v>
      </c>
      <c r="H682">
        <v>272</v>
      </c>
      <c r="I682">
        <v>30</v>
      </c>
      <c r="J682">
        <v>50</v>
      </c>
      <c r="K682" t="s">
        <v>29</v>
      </c>
      <c r="L682">
        <v>58</v>
      </c>
      <c r="M682" t="s">
        <v>21</v>
      </c>
      <c r="N682">
        <f>COUNTIF(order_data[Order_ID],order_data[[#This Row],[Order_ID]])</f>
        <v>1</v>
      </c>
      <c r="O682">
        <f>order_data[[#This Row],[Order_Value]]-order_data[[#This Row],[Discount]]</f>
        <v>222</v>
      </c>
      <c r="P682">
        <f>order_data[[#This Row],[Order_Value]]+order_data[[#This Row],[Delivery_Fee]]-order_data[[#This Row],[Discount]]</f>
        <v>252</v>
      </c>
      <c r="Q682" t="str">
        <f>TEXT(order_data[[#This Row],[Order_Date]],"mmm")</f>
        <v>Jan</v>
      </c>
      <c r="R682">
        <f>MONTH(order_data[[#This Row],[Order_Date]])</f>
        <v>1</v>
      </c>
    </row>
    <row r="683" spans="1:18" x14ac:dyDescent="0.35">
      <c r="A683" t="s">
        <v>1245</v>
      </c>
      <c r="B683" t="s">
        <v>189</v>
      </c>
      <c r="C683" t="s">
        <v>403</v>
      </c>
      <c r="D683" t="s">
        <v>46</v>
      </c>
      <c r="E683" t="s">
        <v>47</v>
      </c>
      <c r="F683" t="s">
        <v>48</v>
      </c>
      <c r="G683" t="s">
        <v>35</v>
      </c>
      <c r="H683">
        <v>334</v>
      </c>
      <c r="I683">
        <v>50</v>
      </c>
      <c r="J683">
        <v>0</v>
      </c>
      <c r="K683" t="s">
        <v>36</v>
      </c>
      <c r="L683">
        <v>58</v>
      </c>
      <c r="M683" t="s">
        <v>21</v>
      </c>
      <c r="N683">
        <f>COUNTIF(order_data[Order_ID],order_data[[#This Row],[Order_ID]])</f>
        <v>1</v>
      </c>
      <c r="O683">
        <f>order_data[[#This Row],[Order_Value]]-order_data[[#This Row],[Discount]]</f>
        <v>334</v>
      </c>
      <c r="P683">
        <f>order_data[[#This Row],[Order_Value]]+order_data[[#This Row],[Delivery_Fee]]-order_data[[#This Row],[Discount]]</f>
        <v>384</v>
      </c>
      <c r="Q683" t="str">
        <f>TEXT(order_data[[#This Row],[Order_Date]],"mmm")</f>
        <v>Feb</v>
      </c>
      <c r="R683">
        <f>MONTH(order_data[[#This Row],[Order_Date]])</f>
        <v>2</v>
      </c>
    </row>
    <row r="684" spans="1:18" x14ac:dyDescent="0.35">
      <c r="A684" t="s">
        <v>1246</v>
      </c>
      <c r="B684" t="s">
        <v>247</v>
      </c>
      <c r="C684" t="s">
        <v>1247</v>
      </c>
      <c r="D684" t="s">
        <v>16</v>
      </c>
      <c r="E684" t="s">
        <v>131</v>
      </c>
      <c r="F684" t="s">
        <v>55</v>
      </c>
      <c r="G684" t="s">
        <v>35</v>
      </c>
      <c r="H684">
        <v>425</v>
      </c>
      <c r="I684">
        <v>30</v>
      </c>
      <c r="J684">
        <v>30</v>
      </c>
      <c r="K684" t="s">
        <v>29</v>
      </c>
      <c r="L684">
        <v>26</v>
      </c>
      <c r="M684" t="s">
        <v>30</v>
      </c>
      <c r="N684">
        <f>COUNTIF(order_data[Order_ID],order_data[[#This Row],[Order_ID]])</f>
        <v>1</v>
      </c>
      <c r="O684">
        <f>order_data[[#This Row],[Order_Value]]-order_data[[#This Row],[Discount]]</f>
        <v>395</v>
      </c>
      <c r="P684">
        <f>order_data[[#This Row],[Order_Value]]+order_data[[#This Row],[Delivery_Fee]]-order_data[[#This Row],[Discount]]</f>
        <v>425</v>
      </c>
      <c r="Q684" t="str">
        <f>TEXT(order_data[[#This Row],[Order_Date]],"mmm")</f>
        <v>Mar</v>
      </c>
      <c r="R684">
        <f>MONTH(order_data[[#This Row],[Order_Date]])</f>
        <v>3</v>
      </c>
    </row>
    <row r="685" spans="1:18" x14ac:dyDescent="0.35">
      <c r="A685" t="s">
        <v>1248</v>
      </c>
      <c r="B685" t="s">
        <v>247</v>
      </c>
      <c r="C685" t="s">
        <v>1204</v>
      </c>
      <c r="D685" t="s">
        <v>16</v>
      </c>
      <c r="E685" t="s">
        <v>131</v>
      </c>
      <c r="F685" t="s">
        <v>55</v>
      </c>
      <c r="G685" t="s">
        <v>74</v>
      </c>
      <c r="H685">
        <v>469</v>
      </c>
      <c r="I685">
        <v>30</v>
      </c>
      <c r="J685">
        <v>100</v>
      </c>
      <c r="K685" t="s">
        <v>20</v>
      </c>
      <c r="L685">
        <v>58</v>
      </c>
      <c r="M685" t="s">
        <v>30</v>
      </c>
      <c r="N685">
        <f>COUNTIF(order_data[Order_ID],order_data[[#This Row],[Order_ID]])</f>
        <v>1</v>
      </c>
      <c r="O685">
        <f>order_data[[#This Row],[Order_Value]]-order_data[[#This Row],[Discount]]</f>
        <v>369</v>
      </c>
      <c r="P685">
        <f>order_data[[#This Row],[Order_Value]]+order_data[[#This Row],[Delivery_Fee]]-order_data[[#This Row],[Discount]]</f>
        <v>399</v>
      </c>
      <c r="Q685" t="str">
        <f>TEXT(order_data[[#This Row],[Order_Date]],"mmm")</f>
        <v>Mar</v>
      </c>
      <c r="R685">
        <f>MONTH(order_data[[#This Row],[Order_Date]])</f>
        <v>3</v>
      </c>
    </row>
    <row r="686" spans="1:18" x14ac:dyDescent="0.35">
      <c r="A686" t="s">
        <v>1249</v>
      </c>
      <c r="B686" t="s">
        <v>476</v>
      </c>
      <c r="C686" t="s">
        <v>1250</v>
      </c>
      <c r="D686" t="s">
        <v>40</v>
      </c>
      <c r="E686" t="s">
        <v>111</v>
      </c>
      <c r="F686" t="s">
        <v>18</v>
      </c>
      <c r="G686" t="s">
        <v>74</v>
      </c>
      <c r="H686">
        <v>225</v>
      </c>
      <c r="I686">
        <v>30</v>
      </c>
      <c r="J686">
        <v>0</v>
      </c>
      <c r="K686" t="s">
        <v>20</v>
      </c>
      <c r="L686">
        <v>56</v>
      </c>
      <c r="M686" t="s">
        <v>21</v>
      </c>
      <c r="N686">
        <f>COUNTIF(order_data[Order_ID],order_data[[#This Row],[Order_ID]])</f>
        <v>1</v>
      </c>
      <c r="O686">
        <f>order_data[[#This Row],[Order_Value]]-order_data[[#This Row],[Discount]]</f>
        <v>225</v>
      </c>
      <c r="P686">
        <f>order_data[[#This Row],[Order_Value]]+order_data[[#This Row],[Delivery_Fee]]-order_data[[#This Row],[Discount]]</f>
        <v>255</v>
      </c>
      <c r="Q686" t="str">
        <f>TEXT(order_data[[#This Row],[Order_Date]],"mmm")</f>
        <v>Jan</v>
      </c>
      <c r="R686">
        <f>MONTH(order_data[[#This Row],[Order_Date]])</f>
        <v>1</v>
      </c>
    </row>
    <row r="687" spans="1:18" x14ac:dyDescent="0.35">
      <c r="A687" t="s">
        <v>1251</v>
      </c>
      <c r="B687" t="s">
        <v>454</v>
      </c>
      <c r="C687" t="s">
        <v>373</v>
      </c>
      <c r="D687" t="s">
        <v>53</v>
      </c>
      <c r="E687" t="s">
        <v>54</v>
      </c>
      <c r="F687" t="s">
        <v>55</v>
      </c>
      <c r="G687" t="s">
        <v>74</v>
      </c>
      <c r="H687">
        <v>448</v>
      </c>
      <c r="I687">
        <v>50</v>
      </c>
      <c r="J687">
        <v>20</v>
      </c>
      <c r="K687" t="s">
        <v>29</v>
      </c>
      <c r="L687">
        <v>46</v>
      </c>
      <c r="M687" t="s">
        <v>21</v>
      </c>
      <c r="N687">
        <f>COUNTIF(order_data[Order_ID],order_data[[#This Row],[Order_ID]])</f>
        <v>1</v>
      </c>
      <c r="O687">
        <f>order_data[[#This Row],[Order_Value]]-order_data[[#This Row],[Discount]]</f>
        <v>428</v>
      </c>
      <c r="P687">
        <f>order_data[[#This Row],[Order_Value]]+order_data[[#This Row],[Delivery_Fee]]-order_data[[#This Row],[Discount]]</f>
        <v>478</v>
      </c>
      <c r="Q687" t="str">
        <f>TEXT(order_data[[#This Row],[Order_Date]],"mmm")</f>
        <v>Jan</v>
      </c>
      <c r="R687">
        <f>MONTH(order_data[[#This Row],[Order_Date]])</f>
        <v>1</v>
      </c>
    </row>
    <row r="688" spans="1:18" x14ac:dyDescent="0.35">
      <c r="A688" t="s">
        <v>1252</v>
      </c>
      <c r="B688" t="s">
        <v>154</v>
      </c>
      <c r="C688" t="s">
        <v>353</v>
      </c>
      <c r="D688" t="s">
        <v>25</v>
      </c>
      <c r="E688" t="s">
        <v>34</v>
      </c>
      <c r="F688" t="s">
        <v>27</v>
      </c>
      <c r="G688" t="s">
        <v>107</v>
      </c>
      <c r="H688">
        <v>506</v>
      </c>
      <c r="I688">
        <v>50</v>
      </c>
      <c r="J688">
        <v>100</v>
      </c>
      <c r="K688" t="s">
        <v>29</v>
      </c>
      <c r="L688">
        <v>33</v>
      </c>
      <c r="M688" t="s">
        <v>21</v>
      </c>
      <c r="N688">
        <f>COUNTIF(order_data[Order_ID],order_data[[#This Row],[Order_ID]])</f>
        <v>1</v>
      </c>
      <c r="O688">
        <f>order_data[[#This Row],[Order_Value]]-order_data[[#This Row],[Discount]]</f>
        <v>406</v>
      </c>
      <c r="P688">
        <f>order_data[[#This Row],[Order_Value]]+order_data[[#This Row],[Delivery_Fee]]-order_data[[#This Row],[Discount]]</f>
        <v>456</v>
      </c>
      <c r="Q688" t="str">
        <f>TEXT(order_data[[#This Row],[Order_Date]],"mmm")</f>
        <v>Jan</v>
      </c>
      <c r="R688">
        <f>MONTH(order_data[[#This Row],[Order_Date]])</f>
        <v>1</v>
      </c>
    </row>
    <row r="689" spans="1:18" x14ac:dyDescent="0.35">
      <c r="A689" t="s">
        <v>1253</v>
      </c>
      <c r="B689" t="s">
        <v>267</v>
      </c>
      <c r="C689" t="s">
        <v>1254</v>
      </c>
      <c r="D689" t="s">
        <v>16</v>
      </c>
      <c r="E689" t="s">
        <v>89</v>
      </c>
      <c r="F689" t="s">
        <v>18</v>
      </c>
      <c r="G689" t="s">
        <v>42</v>
      </c>
      <c r="H689">
        <v>180</v>
      </c>
      <c r="I689">
        <v>40</v>
      </c>
      <c r="J689">
        <v>20</v>
      </c>
      <c r="K689" t="s">
        <v>29</v>
      </c>
      <c r="L689">
        <v>43</v>
      </c>
      <c r="M689" t="s">
        <v>30</v>
      </c>
      <c r="N689">
        <f>COUNTIF(order_data[Order_ID],order_data[[#This Row],[Order_ID]])</f>
        <v>1</v>
      </c>
      <c r="O689">
        <f>order_data[[#This Row],[Order_Value]]-order_data[[#This Row],[Discount]]</f>
        <v>160</v>
      </c>
      <c r="P689">
        <f>order_data[[#This Row],[Order_Value]]+order_data[[#This Row],[Delivery_Fee]]-order_data[[#This Row],[Discount]]</f>
        <v>200</v>
      </c>
      <c r="Q689" t="str">
        <f>TEXT(order_data[[#This Row],[Order_Date]],"mmm")</f>
        <v>Jan</v>
      </c>
      <c r="R689">
        <f>MONTH(order_data[[#This Row],[Order_Date]])</f>
        <v>1</v>
      </c>
    </row>
    <row r="690" spans="1:18" x14ac:dyDescent="0.35">
      <c r="A690" t="s">
        <v>1255</v>
      </c>
      <c r="B690" t="s">
        <v>80</v>
      </c>
      <c r="C690" t="s">
        <v>1256</v>
      </c>
      <c r="D690" t="s">
        <v>25</v>
      </c>
      <c r="E690" t="s">
        <v>78</v>
      </c>
      <c r="F690" t="s">
        <v>48</v>
      </c>
      <c r="G690" t="s">
        <v>74</v>
      </c>
      <c r="H690">
        <v>307</v>
      </c>
      <c r="I690">
        <v>30</v>
      </c>
      <c r="J690">
        <v>50</v>
      </c>
      <c r="K690" t="s">
        <v>20</v>
      </c>
      <c r="L690">
        <v>20</v>
      </c>
      <c r="M690" t="s">
        <v>21</v>
      </c>
      <c r="N690">
        <f>COUNTIF(order_data[Order_ID],order_data[[#This Row],[Order_ID]])</f>
        <v>1</v>
      </c>
      <c r="O690">
        <f>order_data[[#This Row],[Order_Value]]-order_data[[#This Row],[Discount]]</f>
        <v>257</v>
      </c>
      <c r="P690">
        <f>order_data[[#This Row],[Order_Value]]+order_data[[#This Row],[Delivery_Fee]]-order_data[[#This Row],[Discount]]</f>
        <v>287</v>
      </c>
      <c r="Q690" t="str">
        <f>TEXT(order_data[[#This Row],[Order_Date]],"mmm")</f>
        <v>Feb</v>
      </c>
      <c r="R690">
        <f>MONTH(order_data[[#This Row],[Order_Date]])</f>
        <v>2</v>
      </c>
    </row>
    <row r="691" spans="1:18" x14ac:dyDescent="0.35">
      <c r="A691" t="s">
        <v>1257</v>
      </c>
      <c r="B691" t="s">
        <v>449</v>
      </c>
      <c r="C691" t="s">
        <v>886</v>
      </c>
      <c r="D691" t="s">
        <v>53</v>
      </c>
      <c r="E691" t="s">
        <v>152</v>
      </c>
      <c r="F691" t="s">
        <v>18</v>
      </c>
      <c r="G691" t="s">
        <v>74</v>
      </c>
      <c r="H691">
        <v>767</v>
      </c>
      <c r="I691">
        <v>40</v>
      </c>
      <c r="J691">
        <v>20</v>
      </c>
      <c r="K691" t="s">
        <v>29</v>
      </c>
      <c r="L691">
        <v>43</v>
      </c>
      <c r="M691" t="s">
        <v>21</v>
      </c>
      <c r="N691">
        <f>COUNTIF(order_data[Order_ID],order_data[[#This Row],[Order_ID]])</f>
        <v>1</v>
      </c>
      <c r="O691">
        <f>order_data[[#This Row],[Order_Value]]-order_data[[#This Row],[Discount]]</f>
        <v>747</v>
      </c>
      <c r="P691">
        <f>order_data[[#This Row],[Order_Value]]+order_data[[#This Row],[Delivery_Fee]]-order_data[[#This Row],[Discount]]</f>
        <v>787</v>
      </c>
      <c r="Q691" t="str">
        <f>TEXT(order_data[[#This Row],[Order_Date]],"mmm")</f>
        <v>Mar</v>
      </c>
      <c r="R691">
        <f>MONTH(order_data[[#This Row],[Order_Date]])</f>
        <v>3</v>
      </c>
    </row>
    <row r="692" spans="1:18" x14ac:dyDescent="0.35">
      <c r="A692" t="s">
        <v>1258</v>
      </c>
      <c r="B692" t="s">
        <v>207</v>
      </c>
      <c r="C692" t="s">
        <v>928</v>
      </c>
      <c r="D692" t="s">
        <v>16</v>
      </c>
      <c r="E692" t="s">
        <v>89</v>
      </c>
      <c r="F692" t="s">
        <v>18</v>
      </c>
      <c r="G692" t="s">
        <v>176</v>
      </c>
      <c r="H692">
        <v>608</v>
      </c>
      <c r="I692">
        <v>50</v>
      </c>
      <c r="J692">
        <v>50</v>
      </c>
      <c r="K692" t="s">
        <v>29</v>
      </c>
      <c r="L692">
        <v>32</v>
      </c>
      <c r="M692" t="s">
        <v>30</v>
      </c>
      <c r="N692">
        <f>COUNTIF(order_data[Order_ID],order_data[[#This Row],[Order_ID]])</f>
        <v>1</v>
      </c>
      <c r="O692">
        <f>order_data[[#This Row],[Order_Value]]-order_data[[#This Row],[Discount]]</f>
        <v>558</v>
      </c>
      <c r="P692">
        <f>order_data[[#This Row],[Order_Value]]+order_data[[#This Row],[Delivery_Fee]]-order_data[[#This Row],[Discount]]</f>
        <v>608</v>
      </c>
      <c r="Q692" t="str">
        <f>TEXT(order_data[[#This Row],[Order_Date]],"mmm")</f>
        <v>Jan</v>
      </c>
      <c r="R692">
        <f>MONTH(order_data[[#This Row],[Order_Date]])</f>
        <v>1</v>
      </c>
    </row>
    <row r="693" spans="1:18" x14ac:dyDescent="0.35">
      <c r="A693" t="s">
        <v>1259</v>
      </c>
      <c r="B693" t="s">
        <v>61</v>
      </c>
      <c r="C693" t="s">
        <v>363</v>
      </c>
      <c r="D693" t="s">
        <v>25</v>
      </c>
      <c r="E693" t="s">
        <v>78</v>
      </c>
      <c r="F693" t="s">
        <v>48</v>
      </c>
      <c r="G693" t="s">
        <v>49</v>
      </c>
      <c r="H693">
        <v>285</v>
      </c>
      <c r="I693">
        <v>20</v>
      </c>
      <c r="J693">
        <v>0</v>
      </c>
      <c r="K693" t="s">
        <v>29</v>
      </c>
      <c r="L693">
        <v>52</v>
      </c>
      <c r="M693" t="s">
        <v>21</v>
      </c>
      <c r="N693">
        <f>COUNTIF(order_data[Order_ID],order_data[[#This Row],[Order_ID]])</f>
        <v>1</v>
      </c>
      <c r="O693">
        <f>order_data[[#This Row],[Order_Value]]-order_data[[#This Row],[Discount]]</f>
        <v>285</v>
      </c>
      <c r="P693">
        <f>order_data[[#This Row],[Order_Value]]+order_data[[#This Row],[Delivery_Fee]]-order_data[[#This Row],[Discount]]</f>
        <v>305</v>
      </c>
      <c r="Q693" t="str">
        <f>TEXT(order_data[[#This Row],[Order_Date]],"mmm")</f>
        <v>Jan</v>
      </c>
      <c r="R693">
        <f>MONTH(order_data[[#This Row],[Order_Date]])</f>
        <v>1</v>
      </c>
    </row>
    <row r="694" spans="1:18" x14ac:dyDescent="0.35">
      <c r="A694" t="s">
        <v>1260</v>
      </c>
      <c r="B694" t="s">
        <v>23</v>
      </c>
      <c r="C694" t="s">
        <v>289</v>
      </c>
      <c r="D694" t="s">
        <v>25</v>
      </c>
      <c r="E694" t="s">
        <v>26</v>
      </c>
      <c r="F694" t="s">
        <v>27</v>
      </c>
      <c r="G694" t="s">
        <v>59</v>
      </c>
      <c r="H694">
        <v>527</v>
      </c>
      <c r="I694">
        <v>40</v>
      </c>
      <c r="J694">
        <v>50</v>
      </c>
      <c r="K694" t="s">
        <v>29</v>
      </c>
      <c r="L694">
        <v>22</v>
      </c>
      <c r="M694" t="s">
        <v>21</v>
      </c>
      <c r="N694">
        <f>COUNTIF(order_data[Order_ID],order_data[[#This Row],[Order_ID]])</f>
        <v>1</v>
      </c>
      <c r="O694">
        <f>order_data[[#This Row],[Order_Value]]-order_data[[#This Row],[Discount]]</f>
        <v>477</v>
      </c>
      <c r="P694">
        <f>order_data[[#This Row],[Order_Value]]+order_data[[#This Row],[Delivery_Fee]]-order_data[[#This Row],[Discount]]</f>
        <v>517</v>
      </c>
      <c r="Q694" t="str">
        <f>TEXT(order_data[[#This Row],[Order_Date]],"mmm")</f>
        <v>Mar</v>
      </c>
      <c r="R694">
        <f>MONTH(order_data[[#This Row],[Order_Date]])</f>
        <v>3</v>
      </c>
    </row>
    <row r="695" spans="1:18" x14ac:dyDescent="0.35">
      <c r="A695" t="s">
        <v>1261</v>
      </c>
      <c r="B695" t="s">
        <v>368</v>
      </c>
      <c r="C695" t="s">
        <v>608</v>
      </c>
      <c r="D695" t="s">
        <v>16</v>
      </c>
      <c r="E695" t="s">
        <v>17</v>
      </c>
      <c r="F695" t="s">
        <v>18</v>
      </c>
      <c r="G695" t="s">
        <v>59</v>
      </c>
      <c r="H695">
        <v>534</v>
      </c>
      <c r="I695">
        <v>50</v>
      </c>
      <c r="J695">
        <v>0</v>
      </c>
      <c r="K695" t="s">
        <v>29</v>
      </c>
      <c r="L695">
        <v>51</v>
      </c>
      <c r="M695" t="s">
        <v>21</v>
      </c>
      <c r="N695">
        <f>COUNTIF(order_data[Order_ID],order_data[[#This Row],[Order_ID]])</f>
        <v>1</v>
      </c>
      <c r="O695">
        <f>order_data[[#This Row],[Order_Value]]-order_data[[#This Row],[Discount]]</f>
        <v>534</v>
      </c>
      <c r="P695">
        <f>order_data[[#This Row],[Order_Value]]+order_data[[#This Row],[Delivery_Fee]]-order_data[[#This Row],[Discount]]</f>
        <v>584</v>
      </c>
      <c r="Q695" t="str">
        <f>TEXT(order_data[[#This Row],[Order_Date]],"mmm")</f>
        <v>Feb</v>
      </c>
      <c r="R695">
        <f>MONTH(order_data[[#This Row],[Order_Date]])</f>
        <v>2</v>
      </c>
    </row>
    <row r="696" spans="1:18" x14ac:dyDescent="0.35">
      <c r="A696" t="s">
        <v>1262</v>
      </c>
      <c r="B696" t="s">
        <v>199</v>
      </c>
      <c r="C696" t="s">
        <v>692</v>
      </c>
      <c r="D696" t="s">
        <v>25</v>
      </c>
      <c r="E696" t="s">
        <v>26</v>
      </c>
      <c r="F696" t="s">
        <v>27</v>
      </c>
      <c r="G696" t="s">
        <v>176</v>
      </c>
      <c r="H696">
        <v>191</v>
      </c>
      <c r="I696">
        <v>20</v>
      </c>
      <c r="J696">
        <v>20</v>
      </c>
      <c r="K696" t="s">
        <v>36</v>
      </c>
      <c r="L696">
        <v>25</v>
      </c>
      <c r="M696" t="s">
        <v>21</v>
      </c>
      <c r="N696">
        <f>COUNTIF(order_data[Order_ID],order_data[[#This Row],[Order_ID]])</f>
        <v>1</v>
      </c>
      <c r="O696">
        <f>order_data[[#This Row],[Order_Value]]-order_data[[#This Row],[Discount]]</f>
        <v>171</v>
      </c>
      <c r="P696">
        <f>order_data[[#This Row],[Order_Value]]+order_data[[#This Row],[Delivery_Fee]]-order_data[[#This Row],[Discount]]</f>
        <v>191</v>
      </c>
      <c r="Q696" t="str">
        <f>TEXT(order_data[[#This Row],[Order_Date]],"mmm")</f>
        <v>Jan</v>
      </c>
      <c r="R696">
        <f>MONTH(order_data[[#This Row],[Order_Date]])</f>
        <v>1</v>
      </c>
    </row>
    <row r="697" spans="1:18" x14ac:dyDescent="0.35">
      <c r="A697" t="s">
        <v>1263</v>
      </c>
      <c r="B697" t="s">
        <v>189</v>
      </c>
      <c r="C697" t="s">
        <v>1264</v>
      </c>
      <c r="D697" t="s">
        <v>46</v>
      </c>
      <c r="E697" t="s">
        <v>47</v>
      </c>
      <c r="F697" t="s">
        <v>48</v>
      </c>
      <c r="G697" t="s">
        <v>28</v>
      </c>
      <c r="H697">
        <v>261</v>
      </c>
      <c r="I697">
        <v>20</v>
      </c>
      <c r="J697">
        <v>30</v>
      </c>
      <c r="K697" t="s">
        <v>36</v>
      </c>
      <c r="L697">
        <v>48</v>
      </c>
      <c r="M697" t="s">
        <v>21</v>
      </c>
      <c r="N697">
        <f>COUNTIF(order_data[Order_ID],order_data[[#This Row],[Order_ID]])</f>
        <v>1</v>
      </c>
      <c r="O697">
        <f>order_data[[#This Row],[Order_Value]]-order_data[[#This Row],[Discount]]</f>
        <v>231</v>
      </c>
      <c r="P697">
        <f>order_data[[#This Row],[Order_Value]]+order_data[[#This Row],[Delivery_Fee]]-order_data[[#This Row],[Discount]]</f>
        <v>251</v>
      </c>
      <c r="Q697" t="str">
        <f>TEXT(order_data[[#This Row],[Order_Date]],"mmm")</f>
        <v>Feb</v>
      </c>
      <c r="R697">
        <f>MONTH(order_data[[#This Row],[Order_Date]])</f>
        <v>2</v>
      </c>
    </row>
    <row r="698" spans="1:18" x14ac:dyDescent="0.35">
      <c r="A698" t="s">
        <v>1265</v>
      </c>
      <c r="B698" t="s">
        <v>244</v>
      </c>
      <c r="C698" t="s">
        <v>907</v>
      </c>
      <c r="D698" t="s">
        <v>40</v>
      </c>
      <c r="E698" t="s">
        <v>41</v>
      </c>
      <c r="F698" t="s">
        <v>27</v>
      </c>
      <c r="G698" t="s">
        <v>42</v>
      </c>
      <c r="H698">
        <v>422</v>
      </c>
      <c r="I698">
        <v>30</v>
      </c>
      <c r="J698">
        <v>0</v>
      </c>
      <c r="K698" t="s">
        <v>20</v>
      </c>
      <c r="L698">
        <v>51</v>
      </c>
      <c r="M698" t="s">
        <v>21</v>
      </c>
      <c r="N698">
        <f>COUNTIF(order_data[Order_ID],order_data[[#This Row],[Order_ID]])</f>
        <v>1</v>
      </c>
      <c r="O698">
        <f>order_data[[#This Row],[Order_Value]]-order_data[[#This Row],[Discount]]</f>
        <v>422</v>
      </c>
      <c r="P698">
        <f>order_data[[#This Row],[Order_Value]]+order_data[[#This Row],[Delivery_Fee]]-order_data[[#This Row],[Discount]]</f>
        <v>452</v>
      </c>
      <c r="Q698" t="str">
        <f>TEXT(order_data[[#This Row],[Order_Date]],"mmm")</f>
        <v>Feb</v>
      </c>
      <c r="R698">
        <f>MONTH(order_data[[#This Row],[Order_Date]])</f>
        <v>2</v>
      </c>
    </row>
    <row r="699" spans="1:18" x14ac:dyDescent="0.35">
      <c r="A699" t="s">
        <v>1266</v>
      </c>
      <c r="B699" t="s">
        <v>398</v>
      </c>
      <c r="C699" t="s">
        <v>1267</v>
      </c>
      <c r="D699" t="s">
        <v>16</v>
      </c>
      <c r="E699" t="s">
        <v>17</v>
      </c>
      <c r="F699" t="s">
        <v>18</v>
      </c>
      <c r="G699" t="s">
        <v>35</v>
      </c>
      <c r="H699">
        <v>512</v>
      </c>
      <c r="I699">
        <v>40</v>
      </c>
      <c r="J699">
        <v>30</v>
      </c>
      <c r="K699" t="s">
        <v>36</v>
      </c>
      <c r="L699">
        <v>59</v>
      </c>
      <c r="M699" t="s">
        <v>21</v>
      </c>
      <c r="N699">
        <f>COUNTIF(order_data[Order_ID],order_data[[#This Row],[Order_ID]])</f>
        <v>1</v>
      </c>
      <c r="O699">
        <f>order_data[[#This Row],[Order_Value]]-order_data[[#This Row],[Discount]]</f>
        <v>482</v>
      </c>
      <c r="P699">
        <f>order_data[[#This Row],[Order_Value]]+order_data[[#This Row],[Delivery_Fee]]-order_data[[#This Row],[Discount]]</f>
        <v>522</v>
      </c>
      <c r="Q699" t="str">
        <f>TEXT(order_data[[#This Row],[Order_Date]],"mmm")</f>
        <v>Feb</v>
      </c>
      <c r="R699">
        <f>MONTH(order_data[[#This Row],[Order_Date]])</f>
        <v>2</v>
      </c>
    </row>
    <row r="700" spans="1:18" x14ac:dyDescent="0.35">
      <c r="A700" t="s">
        <v>1268</v>
      </c>
      <c r="B700" t="s">
        <v>223</v>
      </c>
      <c r="C700" t="s">
        <v>1269</v>
      </c>
      <c r="D700" t="s">
        <v>16</v>
      </c>
      <c r="E700" t="s">
        <v>89</v>
      </c>
      <c r="F700" t="s">
        <v>18</v>
      </c>
      <c r="G700" t="s">
        <v>35</v>
      </c>
      <c r="H700">
        <v>616</v>
      </c>
      <c r="I700">
        <v>40</v>
      </c>
      <c r="J700">
        <v>30</v>
      </c>
      <c r="K700" t="s">
        <v>29</v>
      </c>
      <c r="L700">
        <v>45</v>
      </c>
      <c r="M700" t="s">
        <v>21</v>
      </c>
      <c r="N700">
        <f>COUNTIF(order_data[Order_ID],order_data[[#This Row],[Order_ID]])</f>
        <v>1</v>
      </c>
      <c r="O700">
        <f>order_data[[#This Row],[Order_Value]]-order_data[[#This Row],[Discount]]</f>
        <v>586</v>
      </c>
      <c r="P700">
        <f>order_data[[#This Row],[Order_Value]]+order_data[[#This Row],[Delivery_Fee]]-order_data[[#This Row],[Discount]]</f>
        <v>626</v>
      </c>
      <c r="Q700" t="str">
        <f>TEXT(order_data[[#This Row],[Order_Date]],"mmm")</f>
        <v>Mar</v>
      </c>
      <c r="R700">
        <f>MONTH(order_data[[#This Row],[Order_Date]])</f>
        <v>3</v>
      </c>
    </row>
    <row r="701" spans="1:18" x14ac:dyDescent="0.35">
      <c r="A701" t="s">
        <v>1270</v>
      </c>
      <c r="B701" t="s">
        <v>146</v>
      </c>
      <c r="C701" t="s">
        <v>1271</v>
      </c>
      <c r="D701" t="s">
        <v>53</v>
      </c>
      <c r="E701" t="s">
        <v>152</v>
      </c>
      <c r="F701" t="s">
        <v>18</v>
      </c>
      <c r="G701" t="s">
        <v>176</v>
      </c>
      <c r="H701">
        <v>524</v>
      </c>
      <c r="I701">
        <v>40</v>
      </c>
      <c r="J701">
        <v>20</v>
      </c>
      <c r="K701" t="s">
        <v>29</v>
      </c>
      <c r="L701">
        <v>51</v>
      </c>
      <c r="M701" t="s">
        <v>21</v>
      </c>
      <c r="N701">
        <f>COUNTIF(order_data[Order_ID],order_data[[#This Row],[Order_ID]])</f>
        <v>1</v>
      </c>
      <c r="O701">
        <f>order_data[[#This Row],[Order_Value]]-order_data[[#This Row],[Discount]]</f>
        <v>504</v>
      </c>
      <c r="P701">
        <f>order_data[[#This Row],[Order_Value]]+order_data[[#This Row],[Delivery_Fee]]-order_data[[#This Row],[Discount]]</f>
        <v>544</v>
      </c>
      <c r="Q701" t="str">
        <f>TEXT(order_data[[#This Row],[Order_Date]],"mmm")</f>
        <v>Feb</v>
      </c>
      <c r="R701">
        <f>MONTH(order_data[[#This Row],[Order_Date]])</f>
        <v>2</v>
      </c>
    </row>
    <row r="702" spans="1:18" x14ac:dyDescent="0.35">
      <c r="A702" t="s">
        <v>1272</v>
      </c>
      <c r="B702" t="s">
        <v>96</v>
      </c>
      <c r="C702" t="s">
        <v>1273</v>
      </c>
      <c r="D702" t="s">
        <v>53</v>
      </c>
      <c r="E702" t="s">
        <v>54</v>
      </c>
      <c r="F702" t="s">
        <v>55</v>
      </c>
      <c r="G702" t="s">
        <v>42</v>
      </c>
      <c r="H702">
        <v>154</v>
      </c>
      <c r="I702">
        <v>50</v>
      </c>
      <c r="J702">
        <v>0</v>
      </c>
      <c r="K702" t="s">
        <v>29</v>
      </c>
      <c r="L702">
        <v>25</v>
      </c>
      <c r="M702" t="s">
        <v>21</v>
      </c>
      <c r="N702">
        <f>COUNTIF(order_data[Order_ID],order_data[[#This Row],[Order_ID]])</f>
        <v>1</v>
      </c>
      <c r="O702">
        <f>order_data[[#This Row],[Order_Value]]-order_data[[#This Row],[Discount]]</f>
        <v>154</v>
      </c>
      <c r="P702">
        <f>order_data[[#This Row],[Order_Value]]+order_data[[#This Row],[Delivery_Fee]]-order_data[[#This Row],[Discount]]</f>
        <v>204</v>
      </c>
      <c r="Q702" t="str">
        <f>TEXT(order_data[[#This Row],[Order_Date]],"mmm")</f>
        <v>Mar</v>
      </c>
      <c r="R702">
        <f>MONTH(order_data[[#This Row],[Order_Date]])</f>
        <v>3</v>
      </c>
    </row>
    <row r="703" spans="1:18" x14ac:dyDescent="0.35">
      <c r="A703" t="s">
        <v>1274</v>
      </c>
      <c r="B703" t="s">
        <v>167</v>
      </c>
      <c r="C703" t="s">
        <v>1275</v>
      </c>
      <c r="D703" t="s">
        <v>40</v>
      </c>
      <c r="E703" t="s">
        <v>67</v>
      </c>
      <c r="F703" t="s">
        <v>48</v>
      </c>
      <c r="G703" t="s">
        <v>176</v>
      </c>
      <c r="H703">
        <v>342</v>
      </c>
      <c r="I703">
        <v>30</v>
      </c>
      <c r="J703">
        <v>30</v>
      </c>
      <c r="K703" t="s">
        <v>36</v>
      </c>
      <c r="L703">
        <v>26</v>
      </c>
      <c r="M703" t="s">
        <v>21</v>
      </c>
      <c r="N703">
        <f>COUNTIF(order_data[Order_ID],order_data[[#This Row],[Order_ID]])</f>
        <v>1</v>
      </c>
      <c r="O703">
        <f>order_data[[#This Row],[Order_Value]]-order_data[[#This Row],[Discount]]</f>
        <v>312</v>
      </c>
      <c r="P703">
        <f>order_data[[#This Row],[Order_Value]]+order_data[[#This Row],[Delivery_Fee]]-order_data[[#This Row],[Discount]]</f>
        <v>342</v>
      </c>
      <c r="Q703" t="str">
        <f>TEXT(order_data[[#This Row],[Order_Date]],"mmm")</f>
        <v>Feb</v>
      </c>
      <c r="R703">
        <f>MONTH(order_data[[#This Row],[Order_Date]])</f>
        <v>2</v>
      </c>
    </row>
    <row r="704" spans="1:18" x14ac:dyDescent="0.35">
      <c r="A704" t="s">
        <v>1276</v>
      </c>
      <c r="B704" t="s">
        <v>280</v>
      </c>
      <c r="C704" t="s">
        <v>708</v>
      </c>
      <c r="D704" t="s">
        <v>16</v>
      </c>
      <c r="E704" t="s">
        <v>17</v>
      </c>
      <c r="F704" t="s">
        <v>18</v>
      </c>
      <c r="G704" t="s">
        <v>63</v>
      </c>
      <c r="H704">
        <v>192</v>
      </c>
      <c r="I704">
        <v>30</v>
      </c>
      <c r="J704">
        <v>30</v>
      </c>
      <c r="K704" t="s">
        <v>29</v>
      </c>
      <c r="L704">
        <v>59</v>
      </c>
      <c r="M704" t="s">
        <v>21</v>
      </c>
      <c r="N704">
        <f>COUNTIF(order_data[Order_ID],order_data[[#This Row],[Order_ID]])</f>
        <v>1</v>
      </c>
      <c r="O704">
        <f>order_data[[#This Row],[Order_Value]]-order_data[[#This Row],[Discount]]</f>
        <v>162</v>
      </c>
      <c r="P704">
        <f>order_data[[#This Row],[Order_Value]]+order_data[[#This Row],[Delivery_Fee]]-order_data[[#This Row],[Discount]]</f>
        <v>192</v>
      </c>
      <c r="Q704" t="str">
        <f>TEXT(order_data[[#This Row],[Order_Date]],"mmm")</f>
        <v>Jan</v>
      </c>
      <c r="R704">
        <f>MONTH(order_data[[#This Row],[Order_Date]])</f>
        <v>1</v>
      </c>
    </row>
    <row r="705" spans="1:18" x14ac:dyDescent="0.35">
      <c r="A705" t="s">
        <v>1277</v>
      </c>
      <c r="B705" t="s">
        <v>105</v>
      </c>
      <c r="C705" t="s">
        <v>1168</v>
      </c>
      <c r="D705" t="s">
        <v>53</v>
      </c>
      <c r="E705" t="s">
        <v>54</v>
      </c>
      <c r="F705" t="s">
        <v>55</v>
      </c>
      <c r="G705" t="s">
        <v>59</v>
      </c>
      <c r="H705">
        <v>692</v>
      </c>
      <c r="I705">
        <v>40</v>
      </c>
      <c r="J705">
        <v>30</v>
      </c>
      <c r="K705" t="s">
        <v>20</v>
      </c>
      <c r="L705">
        <v>38</v>
      </c>
      <c r="M705" t="s">
        <v>21</v>
      </c>
      <c r="N705">
        <f>COUNTIF(order_data[Order_ID],order_data[[#This Row],[Order_ID]])</f>
        <v>1</v>
      </c>
      <c r="O705">
        <f>order_data[[#This Row],[Order_Value]]-order_data[[#This Row],[Discount]]</f>
        <v>662</v>
      </c>
      <c r="P705">
        <f>order_data[[#This Row],[Order_Value]]+order_data[[#This Row],[Delivery_Fee]]-order_data[[#This Row],[Discount]]</f>
        <v>702</v>
      </c>
      <c r="Q705" t="str">
        <f>TEXT(order_data[[#This Row],[Order_Date]],"mmm")</f>
        <v>Mar</v>
      </c>
      <c r="R705">
        <f>MONTH(order_data[[#This Row],[Order_Date]])</f>
        <v>3</v>
      </c>
    </row>
    <row r="706" spans="1:18" x14ac:dyDescent="0.35">
      <c r="A706" t="s">
        <v>1278</v>
      </c>
      <c r="B706" t="s">
        <v>174</v>
      </c>
      <c r="C706" t="s">
        <v>700</v>
      </c>
      <c r="D706" t="s">
        <v>25</v>
      </c>
      <c r="E706" t="s">
        <v>26</v>
      </c>
      <c r="F706" t="s">
        <v>27</v>
      </c>
      <c r="G706" t="s">
        <v>19</v>
      </c>
      <c r="H706">
        <v>439</v>
      </c>
      <c r="I706">
        <v>30</v>
      </c>
      <c r="J706">
        <v>30</v>
      </c>
      <c r="K706" t="s">
        <v>29</v>
      </c>
      <c r="L706">
        <v>47</v>
      </c>
      <c r="M706" t="s">
        <v>21</v>
      </c>
      <c r="N706">
        <f>COUNTIF(order_data[Order_ID],order_data[[#This Row],[Order_ID]])</f>
        <v>1</v>
      </c>
      <c r="O706">
        <f>order_data[[#This Row],[Order_Value]]-order_data[[#This Row],[Discount]]</f>
        <v>409</v>
      </c>
      <c r="P706">
        <f>order_data[[#This Row],[Order_Value]]+order_data[[#This Row],[Delivery_Fee]]-order_data[[#This Row],[Discount]]</f>
        <v>439</v>
      </c>
      <c r="Q706" t="str">
        <f>TEXT(order_data[[#This Row],[Order_Date]],"mmm")</f>
        <v>Feb</v>
      </c>
      <c r="R706">
        <f>MONTH(order_data[[#This Row],[Order_Date]])</f>
        <v>2</v>
      </c>
    </row>
    <row r="707" spans="1:18" x14ac:dyDescent="0.35">
      <c r="A707" t="s">
        <v>1279</v>
      </c>
      <c r="B707" t="s">
        <v>223</v>
      </c>
      <c r="C707" t="s">
        <v>1280</v>
      </c>
      <c r="D707" t="s">
        <v>40</v>
      </c>
      <c r="E707" t="s">
        <v>41</v>
      </c>
      <c r="F707" t="s">
        <v>27</v>
      </c>
      <c r="G707" t="s">
        <v>74</v>
      </c>
      <c r="H707">
        <v>186</v>
      </c>
      <c r="I707">
        <v>20</v>
      </c>
      <c r="J707">
        <v>30</v>
      </c>
      <c r="K707" t="s">
        <v>36</v>
      </c>
      <c r="L707">
        <v>38</v>
      </c>
      <c r="M707" t="s">
        <v>21</v>
      </c>
      <c r="N707">
        <f>COUNTIF(order_data[Order_ID],order_data[[#This Row],[Order_ID]])</f>
        <v>1</v>
      </c>
      <c r="O707">
        <f>order_data[[#This Row],[Order_Value]]-order_data[[#This Row],[Discount]]</f>
        <v>156</v>
      </c>
      <c r="P707">
        <f>order_data[[#This Row],[Order_Value]]+order_data[[#This Row],[Delivery_Fee]]-order_data[[#This Row],[Discount]]</f>
        <v>176</v>
      </c>
      <c r="Q707" t="str">
        <f>TEXT(order_data[[#This Row],[Order_Date]],"mmm")</f>
        <v>Mar</v>
      </c>
      <c r="R707">
        <f>MONTH(order_data[[#This Row],[Order_Date]])</f>
        <v>3</v>
      </c>
    </row>
    <row r="708" spans="1:18" x14ac:dyDescent="0.35">
      <c r="A708" t="s">
        <v>1281</v>
      </c>
      <c r="B708" t="s">
        <v>379</v>
      </c>
      <c r="C708" t="s">
        <v>1073</v>
      </c>
      <c r="D708" t="s">
        <v>46</v>
      </c>
      <c r="E708" t="s">
        <v>47</v>
      </c>
      <c r="F708" t="s">
        <v>48</v>
      </c>
      <c r="G708" t="s">
        <v>74</v>
      </c>
      <c r="H708">
        <v>697</v>
      </c>
      <c r="I708">
        <v>50</v>
      </c>
      <c r="J708">
        <v>50</v>
      </c>
      <c r="K708" t="s">
        <v>20</v>
      </c>
      <c r="L708">
        <v>57</v>
      </c>
      <c r="M708" t="s">
        <v>21</v>
      </c>
      <c r="N708">
        <f>COUNTIF(order_data[Order_ID],order_data[[#This Row],[Order_ID]])</f>
        <v>1</v>
      </c>
      <c r="O708">
        <f>order_data[[#This Row],[Order_Value]]-order_data[[#This Row],[Discount]]</f>
        <v>647</v>
      </c>
      <c r="P708">
        <f>order_data[[#This Row],[Order_Value]]+order_data[[#This Row],[Delivery_Fee]]-order_data[[#This Row],[Discount]]</f>
        <v>697</v>
      </c>
      <c r="Q708" t="str">
        <f>TEXT(order_data[[#This Row],[Order_Date]],"mmm")</f>
        <v>Mar</v>
      </c>
      <c r="R708">
        <f>MONTH(order_data[[#This Row],[Order_Date]])</f>
        <v>3</v>
      </c>
    </row>
    <row r="709" spans="1:18" x14ac:dyDescent="0.35">
      <c r="A709" t="s">
        <v>1282</v>
      </c>
      <c r="B709" t="s">
        <v>61</v>
      </c>
      <c r="C709" t="s">
        <v>179</v>
      </c>
      <c r="D709" t="s">
        <v>40</v>
      </c>
      <c r="E709" t="s">
        <v>41</v>
      </c>
      <c r="F709" t="s">
        <v>27</v>
      </c>
      <c r="G709" t="s">
        <v>63</v>
      </c>
      <c r="H709">
        <v>755</v>
      </c>
      <c r="I709">
        <v>20</v>
      </c>
      <c r="J709">
        <v>20</v>
      </c>
      <c r="K709" t="s">
        <v>36</v>
      </c>
      <c r="L709">
        <v>45</v>
      </c>
      <c r="M709" t="s">
        <v>21</v>
      </c>
      <c r="N709">
        <f>COUNTIF(order_data[Order_ID],order_data[[#This Row],[Order_ID]])</f>
        <v>1</v>
      </c>
      <c r="O709">
        <f>order_data[[#This Row],[Order_Value]]-order_data[[#This Row],[Discount]]</f>
        <v>735</v>
      </c>
      <c r="P709">
        <f>order_data[[#This Row],[Order_Value]]+order_data[[#This Row],[Delivery_Fee]]-order_data[[#This Row],[Discount]]</f>
        <v>755</v>
      </c>
      <c r="Q709" t="str">
        <f>TEXT(order_data[[#This Row],[Order_Date]],"mmm")</f>
        <v>Jan</v>
      </c>
      <c r="R709">
        <f>MONTH(order_data[[#This Row],[Order_Date]])</f>
        <v>1</v>
      </c>
    </row>
    <row r="710" spans="1:18" x14ac:dyDescent="0.35">
      <c r="A710" t="s">
        <v>1283</v>
      </c>
      <c r="B710" t="s">
        <v>167</v>
      </c>
      <c r="C710" t="s">
        <v>808</v>
      </c>
      <c r="D710" t="s">
        <v>46</v>
      </c>
      <c r="E710" t="s">
        <v>70</v>
      </c>
      <c r="F710" t="s">
        <v>18</v>
      </c>
      <c r="G710" t="s">
        <v>28</v>
      </c>
      <c r="H710">
        <v>383</v>
      </c>
      <c r="I710">
        <v>20</v>
      </c>
      <c r="J710">
        <v>20</v>
      </c>
      <c r="K710" t="s">
        <v>36</v>
      </c>
      <c r="L710">
        <v>58</v>
      </c>
      <c r="M710" t="s">
        <v>21</v>
      </c>
      <c r="N710">
        <f>COUNTIF(order_data[Order_ID],order_data[[#This Row],[Order_ID]])</f>
        <v>1</v>
      </c>
      <c r="O710">
        <f>order_data[[#This Row],[Order_Value]]-order_data[[#This Row],[Discount]]</f>
        <v>363</v>
      </c>
      <c r="P710">
        <f>order_data[[#This Row],[Order_Value]]+order_data[[#This Row],[Delivery_Fee]]-order_data[[#This Row],[Discount]]</f>
        <v>383</v>
      </c>
      <c r="Q710" t="str">
        <f>TEXT(order_data[[#This Row],[Order_Date]],"mmm")</f>
        <v>Feb</v>
      </c>
      <c r="R710">
        <f>MONTH(order_data[[#This Row],[Order_Date]])</f>
        <v>2</v>
      </c>
    </row>
    <row r="711" spans="1:18" x14ac:dyDescent="0.35">
      <c r="A711" t="s">
        <v>1284</v>
      </c>
      <c r="B711" t="s">
        <v>72</v>
      </c>
      <c r="C711" t="s">
        <v>73</v>
      </c>
      <c r="D711" t="s">
        <v>16</v>
      </c>
      <c r="E711" t="s">
        <v>131</v>
      </c>
      <c r="F711" t="s">
        <v>55</v>
      </c>
      <c r="G711" t="s">
        <v>35</v>
      </c>
      <c r="H711">
        <v>293</v>
      </c>
      <c r="I711">
        <v>30</v>
      </c>
      <c r="J711">
        <v>100</v>
      </c>
      <c r="K711" t="s">
        <v>36</v>
      </c>
      <c r="L711">
        <v>25</v>
      </c>
      <c r="M711" t="s">
        <v>21</v>
      </c>
      <c r="N711">
        <f>COUNTIF(order_data[Order_ID],order_data[[#This Row],[Order_ID]])</f>
        <v>1</v>
      </c>
      <c r="O711">
        <f>order_data[[#This Row],[Order_Value]]-order_data[[#This Row],[Discount]]</f>
        <v>193</v>
      </c>
      <c r="P711">
        <f>order_data[[#This Row],[Order_Value]]+order_data[[#This Row],[Delivery_Fee]]-order_data[[#This Row],[Discount]]</f>
        <v>223</v>
      </c>
      <c r="Q711" t="str">
        <f>TEXT(order_data[[#This Row],[Order_Date]],"mmm")</f>
        <v>Jan</v>
      </c>
      <c r="R711">
        <f>MONTH(order_data[[#This Row],[Order_Date]])</f>
        <v>1</v>
      </c>
    </row>
    <row r="712" spans="1:18" x14ac:dyDescent="0.35">
      <c r="A712" t="s">
        <v>1285</v>
      </c>
      <c r="B712" t="s">
        <v>213</v>
      </c>
      <c r="C712" t="s">
        <v>116</v>
      </c>
      <c r="D712" t="s">
        <v>53</v>
      </c>
      <c r="E712" t="s">
        <v>152</v>
      </c>
      <c r="F712" t="s">
        <v>18</v>
      </c>
      <c r="G712" t="s">
        <v>42</v>
      </c>
      <c r="H712">
        <v>184</v>
      </c>
      <c r="I712">
        <v>30</v>
      </c>
      <c r="J712">
        <v>20</v>
      </c>
      <c r="K712" t="s">
        <v>36</v>
      </c>
      <c r="L712">
        <v>28</v>
      </c>
      <c r="M712" t="s">
        <v>21</v>
      </c>
      <c r="N712">
        <f>COUNTIF(order_data[Order_ID],order_data[[#This Row],[Order_ID]])</f>
        <v>1</v>
      </c>
      <c r="O712">
        <f>order_data[[#This Row],[Order_Value]]-order_data[[#This Row],[Discount]]</f>
        <v>164</v>
      </c>
      <c r="P712">
        <f>order_data[[#This Row],[Order_Value]]+order_data[[#This Row],[Delivery_Fee]]-order_data[[#This Row],[Discount]]</f>
        <v>194</v>
      </c>
      <c r="Q712" t="str">
        <f>TEXT(order_data[[#This Row],[Order_Date]],"mmm")</f>
        <v>Jan</v>
      </c>
      <c r="R712">
        <f>MONTH(order_data[[#This Row],[Order_Date]])</f>
        <v>1</v>
      </c>
    </row>
    <row r="713" spans="1:18" x14ac:dyDescent="0.35">
      <c r="A713" t="s">
        <v>1286</v>
      </c>
      <c r="B713" t="s">
        <v>476</v>
      </c>
      <c r="C713" t="s">
        <v>255</v>
      </c>
      <c r="D713" t="s">
        <v>46</v>
      </c>
      <c r="E713" t="s">
        <v>47</v>
      </c>
      <c r="F713" t="s">
        <v>48</v>
      </c>
      <c r="G713" t="s">
        <v>49</v>
      </c>
      <c r="H713">
        <v>506</v>
      </c>
      <c r="I713">
        <v>50</v>
      </c>
      <c r="J713">
        <v>50</v>
      </c>
      <c r="K713" t="s">
        <v>20</v>
      </c>
      <c r="L713">
        <v>37</v>
      </c>
      <c r="M713" t="s">
        <v>21</v>
      </c>
      <c r="N713">
        <f>COUNTIF(order_data[Order_ID],order_data[[#This Row],[Order_ID]])</f>
        <v>1</v>
      </c>
      <c r="O713">
        <f>order_data[[#This Row],[Order_Value]]-order_data[[#This Row],[Discount]]</f>
        <v>456</v>
      </c>
      <c r="P713">
        <f>order_data[[#This Row],[Order_Value]]+order_data[[#This Row],[Delivery_Fee]]-order_data[[#This Row],[Discount]]</f>
        <v>506</v>
      </c>
      <c r="Q713" t="str">
        <f>TEXT(order_data[[#This Row],[Order_Date]],"mmm")</f>
        <v>Jan</v>
      </c>
      <c r="R713">
        <f>MONTH(order_data[[#This Row],[Order_Date]])</f>
        <v>1</v>
      </c>
    </row>
    <row r="714" spans="1:18" x14ac:dyDescent="0.35">
      <c r="A714" t="s">
        <v>1287</v>
      </c>
      <c r="B714" t="s">
        <v>526</v>
      </c>
      <c r="C714" t="s">
        <v>219</v>
      </c>
      <c r="D714" t="s">
        <v>40</v>
      </c>
      <c r="E714" t="s">
        <v>111</v>
      </c>
      <c r="F714" t="s">
        <v>18</v>
      </c>
      <c r="G714" t="s">
        <v>176</v>
      </c>
      <c r="H714">
        <v>687</v>
      </c>
      <c r="I714">
        <v>30</v>
      </c>
      <c r="J714">
        <v>30</v>
      </c>
      <c r="K714" t="s">
        <v>20</v>
      </c>
      <c r="L714">
        <v>49</v>
      </c>
      <c r="M714" t="s">
        <v>21</v>
      </c>
      <c r="N714">
        <f>COUNTIF(order_data[Order_ID],order_data[[#This Row],[Order_ID]])</f>
        <v>1</v>
      </c>
      <c r="O714">
        <f>order_data[[#This Row],[Order_Value]]-order_data[[#This Row],[Discount]]</f>
        <v>657</v>
      </c>
      <c r="P714">
        <f>order_data[[#This Row],[Order_Value]]+order_data[[#This Row],[Delivery_Fee]]-order_data[[#This Row],[Discount]]</f>
        <v>687</v>
      </c>
      <c r="Q714" t="str">
        <f>TEXT(order_data[[#This Row],[Order_Date]],"mmm")</f>
        <v>Jan</v>
      </c>
      <c r="R714">
        <f>MONTH(order_data[[#This Row],[Order_Date]])</f>
        <v>1</v>
      </c>
    </row>
    <row r="715" spans="1:18" x14ac:dyDescent="0.35">
      <c r="A715" t="s">
        <v>1288</v>
      </c>
      <c r="B715" t="s">
        <v>126</v>
      </c>
      <c r="C715" t="s">
        <v>745</v>
      </c>
      <c r="D715" t="s">
        <v>25</v>
      </c>
      <c r="E715" t="s">
        <v>26</v>
      </c>
      <c r="F715" t="s">
        <v>27</v>
      </c>
      <c r="G715" t="s">
        <v>176</v>
      </c>
      <c r="H715">
        <v>732</v>
      </c>
      <c r="I715">
        <v>40</v>
      </c>
      <c r="J715">
        <v>50</v>
      </c>
      <c r="K715" t="s">
        <v>20</v>
      </c>
      <c r="L715">
        <v>21</v>
      </c>
      <c r="M715" t="s">
        <v>21</v>
      </c>
      <c r="N715">
        <f>COUNTIF(order_data[Order_ID],order_data[[#This Row],[Order_ID]])</f>
        <v>1</v>
      </c>
      <c r="O715">
        <f>order_data[[#This Row],[Order_Value]]-order_data[[#This Row],[Discount]]</f>
        <v>682</v>
      </c>
      <c r="P715">
        <f>order_data[[#This Row],[Order_Value]]+order_data[[#This Row],[Delivery_Fee]]-order_data[[#This Row],[Discount]]</f>
        <v>722</v>
      </c>
      <c r="Q715" t="str">
        <f>TEXT(order_data[[#This Row],[Order_Date]],"mmm")</f>
        <v>Mar</v>
      </c>
      <c r="R715">
        <f>MONTH(order_data[[#This Row],[Order_Date]])</f>
        <v>3</v>
      </c>
    </row>
    <row r="716" spans="1:18" x14ac:dyDescent="0.35">
      <c r="A716" t="s">
        <v>1289</v>
      </c>
      <c r="B716" t="s">
        <v>192</v>
      </c>
      <c r="C716" t="s">
        <v>1290</v>
      </c>
      <c r="D716" t="s">
        <v>16</v>
      </c>
      <c r="E716" t="s">
        <v>89</v>
      </c>
      <c r="F716" t="s">
        <v>18</v>
      </c>
      <c r="G716" t="s">
        <v>28</v>
      </c>
      <c r="H716">
        <v>591</v>
      </c>
      <c r="I716">
        <v>50</v>
      </c>
      <c r="J716">
        <v>100</v>
      </c>
      <c r="K716" t="s">
        <v>36</v>
      </c>
      <c r="L716">
        <v>55</v>
      </c>
      <c r="M716" t="s">
        <v>21</v>
      </c>
      <c r="N716">
        <f>COUNTIF(order_data[Order_ID],order_data[[#This Row],[Order_ID]])</f>
        <v>1</v>
      </c>
      <c r="O716">
        <f>order_data[[#This Row],[Order_Value]]-order_data[[#This Row],[Discount]]</f>
        <v>491</v>
      </c>
      <c r="P716">
        <f>order_data[[#This Row],[Order_Value]]+order_data[[#This Row],[Delivery_Fee]]-order_data[[#This Row],[Discount]]</f>
        <v>541</v>
      </c>
      <c r="Q716" t="str">
        <f>TEXT(order_data[[#This Row],[Order_Date]],"mmm")</f>
        <v>Mar</v>
      </c>
      <c r="R716">
        <f>MONTH(order_data[[#This Row],[Order_Date]])</f>
        <v>3</v>
      </c>
    </row>
    <row r="717" spans="1:18" x14ac:dyDescent="0.35">
      <c r="A717" t="s">
        <v>1291</v>
      </c>
      <c r="B717" t="s">
        <v>273</v>
      </c>
      <c r="C717" t="s">
        <v>77</v>
      </c>
      <c r="D717" t="s">
        <v>16</v>
      </c>
      <c r="E717" t="s">
        <v>17</v>
      </c>
      <c r="F717" t="s">
        <v>18</v>
      </c>
      <c r="G717" t="s">
        <v>42</v>
      </c>
      <c r="H717">
        <v>795</v>
      </c>
      <c r="I717">
        <v>30</v>
      </c>
      <c r="J717">
        <v>0</v>
      </c>
      <c r="K717" t="s">
        <v>20</v>
      </c>
      <c r="L717">
        <v>49</v>
      </c>
      <c r="M717" t="s">
        <v>21</v>
      </c>
      <c r="N717">
        <f>COUNTIF(order_data[Order_ID],order_data[[#This Row],[Order_ID]])</f>
        <v>1</v>
      </c>
      <c r="O717">
        <f>order_data[[#This Row],[Order_Value]]-order_data[[#This Row],[Discount]]</f>
        <v>795</v>
      </c>
      <c r="P717">
        <f>order_data[[#This Row],[Order_Value]]+order_data[[#This Row],[Delivery_Fee]]-order_data[[#This Row],[Discount]]</f>
        <v>825</v>
      </c>
      <c r="Q717" t="str">
        <f>TEXT(order_data[[#This Row],[Order_Date]],"mmm")</f>
        <v>Mar</v>
      </c>
      <c r="R717">
        <f>MONTH(order_data[[#This Row],[Order_Date]])</f>
        <v>3</v>
      </c>
    </row>
    <row r="718" spans="1:18" x14ac:dyDescent="0.35">
      <c r="A718" t="s">
        <v>1292</v>
      </c>
      <c r="B718" t="s">
        <v>568</v>
      </c>
      <c r="C718" t="s">
        <v>1194</v>
      </c>
      <c r="D718" t="s">
        <v>16</v>
      </c>
      <c r="E718" t="s">
        <v>131</v>
      </c>
      <c r="F718" t="s">
        <v>55</v>
      </c>
      <c r="G718" t="s">
        <v>19</v>
      </c>
      <c r="H718">
        <v>521</v>
      </c>
      <c r="I718">
        <v>30</v>
      </c>
      <c r="J718">
        <v>100</v>
      </c>
      <c r="K718" t="s">
        <v>29</v>
      </c>
      <c r="L718">
        <v>37</v>
      </c>
      <c r="M718" t="s">
        <v>21</v>
      </c>
      <c r="N718">
        <f>COUNTIF(order_data[Order_ID],order_data[[#This Row],[Order_ID]])</f>
        <v>1</v>
      </c>
      <c r="O718">
        <f>order_data[[#This Row],[Order_Value]]-order_data[[#This Row],[Discount]]</f>
        <v>421</v>
      </c>
      <c r="P718">
        <f>order_data[[#This Row],[Order_Value]]+order_data[[#This Row],[Delivery_Fee]]-order_data[[#This Row],[Discount]]</f>
        <v>451</v>
      </c>
      <c r="Q718" t="str">
        <f>TEXT(order_data[[#This Row],[Order_Date]],"mmm")</f>
        <v>Mar</v>
      </c>
      <c r="R718">
        <f>MONTH(order_data[[#This Row],[Order_Date]])</f>
        <v>3</v>
      </c>
    </row>
    <row r="719" spans="1:18" x14ac:dyDescent="0.35">
      <c r="A719" t="s">
        <v>1293</v>
      </c>
      <c r="B719" t="s">
        <v>146</v>
      </c>
      <c r="C719" t="s">
        <v>1199</v>
      </c>
      <c r="D719" t="s">
        <v>16</v>
      </c>
      <c r="E719" t="s">
        <v>131</v>
      </c>
      <c r="F719" t="s">
        <v>55</v>
      </c>
      <c r="G719" t="s">
        <v>63</v>
      </c>
      <c r="H719">
        <v>213</v>
      </c>
      <c r="I719">
        <v>40</v>
      </c>
      <c r="J719">
        <v>50</v>
      </c>
      <c r="K719" t="s">
        <v>20</v>
      </c>
      <c r="L719">
        <v>38</v>
      </c>
      <c r="M719" t="s">
        <v>21</v>
      </c>
      <c r="N719">
        <f>COUNTIF(order_data[Order_ID],order_data[[#This Row],[Order_ID]])</f>
        <v>1</v>
      </c>
      <c r="O719">
        <f>order_data[[#This Row],[Order_Value]]-order_data[[#This Row],[Discount]]</f>
        <v>163</v>
      </c>
      <c r="P719">
        <f>order_data[[#This Row],[Order_Value]]+order_data[[#This Row],[Delivery_Fee]]-order_data[[#This Row],[Discount]]</f>
        <v>203</v>
      </c>
      <c r="Q719" t="str">
        <f>TEXT(order_data[[#This Row],[Order_Date]],"mmm")</f>
        <v>Feb</v>
      </c>
      <c r="R719">
        <f>MONTH(order_data[[#This Row],[Order_Date]])</f>
        <v>2</v>
      </c>
    </row>
    <row r="720" spans="1:18" x14ac:dyDescent="0.35">
      <c r="A720" t="s">
        <v>1294</v>
      </c>
      <c r="B720" t="s">
        <v>398</v>
      </c>
      <c r="C720" t="s">
        <v>1295</v>
      </c>
      <c r="D720" t="s">
        <v>53</v>
      </c>
      <c r="E720" t="s">
        <v>54</v>
      </c>
      <c r="F720" t="s">
        <v>55</v>
      </c>
      <c r="G720" t="s">
        <v>19</v>
      </c>
      <c r="H720">
        <v>294</v>
      </c>
      <c r="I720">
        <v>30</v>
      </c>
      <c r="J720">
        <v>30</v>
      </c>
      <c r="K720" t="s">
        <v>29</v>
      </c>
      <c r="L720">
        <v>45</v>
      </c>
      <c r="M720" t="s">
        <v>21</v>
      </c>
      <c r="N720">
        <f>COUNTIF(order_data[Order_ID],order_data[[#This Row],[Order_ID]])</f>
        <v>1</v>
      </c>
      <c r="O720">
        <f>order_data[[#This Row],[Order_Value]]-order_data[[#This Row],[Discount]]</f>
        <v>264</v>
      </c>
      <c r="P720">
        <f>order_data[[#This Row],[Order_Value]]+order_data[[#This Row],[Delivery_Fee]]-order_data[[#This Row],[Discount]]</f>
        <v>294</v>
      </c>
      <c r="Q720" t="str">
        <f>TEXT(order_data[[#This Row],[Order_Date]],"mmm")</f>
        <v>Feb</v>
      </c>
      <c r="R720">
        <f>MONTH(order_data[[#This Row],[Order_Date]])</f>
        <v>2</v>
      </c>
    </row>
    <row r="721" spans="1:18" x14ac:dyDescent="0.35">
      <c r="A721" t="s">
        <v>1296</v>
      </c>
      <c r="B721" t="s">
        <v>291</v>
      </c>
      <c r="C721" t="s">
        <v>1297</v>
      </c>
      <c r="D721" t="s">
        <v>16</v>
      </c>
      <c r="E721" t="s">
        <v>89</v>
      </c>
      <c r="F721" t="s">
        <v>18</v>
      </c>
      <c r="G721" t="s">
        <v>74</v>
      </c>
      <c r="H721">
        <v>352</v>
      </c>
      <c r="I721">
        <v>30</v>
      </c>
      <c r="J721">
        <v>0</v>
      </c>
      <c r="K721" t="s">
        <v>20</v>
      </c>
      <c r="L721">
        <v>46</v>
      </c>
      <c r="M721" t="s">
        <v>21</v>
      </c>
      <c r="N721">
        <f>COUNTIF(order_data[Order_ID],order_data[[#This Row],[Order_ID]])</f>
        <v>1</v>
      </c>
      <c r="O721">
        <f>order_data[[#This Row],[Order_Value]]-order_data[[#This Row],[Discount]]</f>
        <v>352</v>
      </c>
      <c r="P721">
        <f>order_data[[#This Row],[Order_Value]]+order_data[[#This Row],[Delivery_Fee]]-order_data[[#This Row],[Discount]]</f>
        <v>382</v>
      </c>
      <c r="Q721" t="str">
        <f>TEXT(order_data[[#This Row],[Order_Date]],"mmm")</f>
        <v>Feb</v>
      </c>
      <c r="R721">
        <f>MONTH(order_data[[#This Row],[Order_Date]])</f>
        <v>2</v>
      </c>
    </row>
    <row r="722" spans="1:18" x14ac:dyDescent="0.35">
      <c r="A722" t="s">
        <v>1298</v>
      </c>
      <c r="B722" t="s">
        <v>297</v>
      </c>
      <c r="C722" t="s">
        <v>1241</v>
      </c>
      <c r="D722" t="s">
        <v>40</v>
      </c>
      <c r="E722" t="s">
        <v>67</v>
      </c>
      <c r="F722" t="s">
        <v>48</v>
      </c>
      <c r="G722" t="s">
        <v>49</v>
      </c>
      <c r="H722">
        <v>217</v>
      </c>
      <c r="I722">
        <v>50</v>
      </c>
      <c r="J722">
        <v>100</v>
      </c>
      <c r="K722" t="s">
        <v>36</v>
      </c>
      <c r="L722">
        <v>48</v>
      </c>
      <c r="M722" t="s">
        <v>21</v>
      </c>
      <c r="N722">
        <f>COUNTIF(order_data[Order_ID],order_data[[#This Row],[Order_ID]])</f>
        <v>1</v>
      </c>
      <c r="O722">
        <f>order_data[[#This Row],[Order_Value]]-order_data[[#This Row],[Discount]]</f>
        <v>117</v>
      </c>
      <c r="P722">
        <f>order_data[[#This Row],[Order_Value]]+order_data[[#This Row],[Delivery_Fee]]-order_data[[#This Row],[Discount]]</f>
        <v>167</v>
      </c>
      <c r="Q722" t="str">
        <f>TEXT(order_data[[#This Row],[Order_Date]],"mmm")</f>
        <v>Feb</v>
      </c>
      <c r="R722">
        <f>MONTH(order_data[[#This Row],[Order_Date]])</f>
        <v>2</v>
      </c>
    </row>
    <row r="723" spans="1:18" x14ac:dyDescent="0.35">
      <c r="A723" t="s">
        <v>1299</v>
      </c>
      <c r="B723" t="s">
        <v>562</v>
      </c>
      <c r="C723" t="s">
        <v>1300</v>
      </c>
      <c r="D723" t="s">
        <v>40</v>
      </c>
      <c r="E723" t="s">
        <v>111</v>
      </c>
      <c r="F723" t="s">
        <v>18</v>
      </c>
      <c r="G723" t="s">
        <v>63</v>
      </c>
      <c r="H723">
        <v>433</v>
      </c>
      <c r="I723">
        <v>40</v>
      </c>
      <c r="J723">
        <v>20</v>
      </c>
      <c r="K723" t="s">
        <v>36</v>
      </c>
      <c r="L723">
        <v>31</v>
      </c>
      <c r="M723" t="s">
        <v>21</v>
      </c>
      <c r="N723">
        <f>COUNTIF(order_data[Order_ID],order_data[[#This Row],[Order_ID]])</f>
        <v>1</v>
      </c>
      <c r="O723">
        <f>order_data[[#This Row],[Order_Value]]-order_data[[#This Row],[Discount]]</f>
        <v>413</v>
      </c>
      <c r="P723">
        <f>order_data[[#This Row],[Order_Value]]+order_data[[#This Row],[Delivery_Fee]]-order_data[[#This Row],[Discount]]</f>
        <v>453</v>
      </c>
      <c r="Q723" t="str">
        <f>TEXT(order_data[[#This Row],[Order_Date]],"mmm")</f>
        <v>Feb</v>
      </c>
      <c r="R723">
        <f>MONTH(order_data[[#This Row],[Order_Date]])</f>
        <v>2</v>
      </c>
    </row>
    <row r="724" spans="1:18" x14ac:dyDescent="0.35">
      <c r="A724" t="s">
        <v>1301</v>
      </c>
      <c r="B724" t="s">
        <v>65</v>
      </c>
      <c r="C724" t="s">
        <v>1067</v>
      </c>
      <c r="D724" t="s">
        <v>25</v>
      </c>
      <c r="E724" t="s">
        <v>78</v>
      </c>
      <c r="F724" t="s">
        <v>48</v>
      </c>
      <c r="G724" t="s">
        <v>63</v>
      </c>
      <c r="H724">
        <v>332</v>
      </c>
      <c r="I724">
        <v>40</v>
      </c>
      <c r="J724">
        <v>100</v>
      </c>
      <c r="K724" t="s">
        <v>20</v>
      </c>
      <c r="L724">
        <v>35</v>
      </c>
      <c r="M724" t="s">
        <v>21</v>
      </c>
      <c r="N724">
        <f>COUNTIF(order_data[Order_ID],order_data[[#This Row],[Order_ID]])</f>
        <v>1</v>
      </c>
      <c r="O724">
        <f>order_data[[#This Row],[Order_Value]]-order_data[[#This Row],[Discount]]</f>
        <v>232</v>
      </c>
      <c r="P724">
        <f>order_data[[#This Row],[Order_Value]]+order_data[[#This Row],[Delivery_Fee]]-order_data[[#This Row],[Discount]]</f>
        <v>272</v>
      </c>
      <c r="Q724" t="str">
        <f>TEXT(order_data[[#This Row],[Order_Date]],"mmm")</f>
        <v>Mar</v>
      </c>
      <c r="R724">
        <f>MONTH(order_data[[#This Row],[Order_Date]])</f>
        <v>3</v>
      </c>
    </row>
    <row r="725" spans="1:18" x14ac:dyDescent="0.35">
      <c r="A725" t="s">
        <v>1302</v>
      </c>
      <c r="B725" t="s">
        <v>65</v>
      </c>
      <c r="C725" t="s">
        <v>1303</v>
      </c>
      <c r="D725" t="s">
        <v>40</v>
      </c>
      <c r="E725" t="s">
        <v>67</v>
      </c>
      <c r="F725" t="s">
        <v>48</v>
      </c>
      <c r="G725" t="s">
        <v>59</v>
      </c>
      <c r="H725">
        <v>439</v>
      </c>
      <c r="I725">
        <v>20</v>
      </c>
      <c r="J725">
        <v>30</v>
      </c>
      <c r="K725" t="s">
        <v>36</v>
      </c>
      <c r="L725">
        <v>53</v>
      </c>
      <c r="M725" t="s">
        <v>21</v>
      </c>
      <c r="N725">
        <f>COUNTIF(order_data[Order_ID],order_data[[#This Row],[Order_ID]])</f>
        <v>1</v>
      </c>
      <c r="O725">
        <f>order_data[[#This Row],[Order_Value]]-order_data[[#This Row],[Discount]]</f>
        <v>409</v>
      </c>
      <c r="P725">
        <f>order_data[[#This Row],[Order_Value]]+order_data[[#This Row],[Delivery_Fee]]-order_data[[#This Row],[Discount]]</f>
        <v>429</v>
      </c>
      <c r="Q725" t="str">
        <f>TEXT(order_data[[#This Row],[Order_Date]],"mmm")</f>
        <v>Mar</v>
      </c>
      <c r="R725">
        <f>MONTH(order_data[[#This Row],[Order_Date]])</f>
        <v>3</v>
      </c>
    </row>
    <row r="726" spans="1:18" x14ac:dyDescent="0.35">
      <c r="A726" t="s">
        <v>1304</v>
      </c>
      <c r="B726" t="s">
        <v>38</v>
      </c>
      <c r="C726" t="s">
        <v>521</v>
      </c>
      <c r="D726" t="s">
        <v>40</v>
      </c>
      <c r="E726" t="s">
        <v>41</v>
      </c>
      <c r="F726" t="s">
        <v>27</v>
      </c>
      <c r="G726" t="s">
        <v>42</v>
      </c>
      <c r="H726">
        <v>528</v>
      </c>
      <c r="I726">
        <v>50</v>
      </c>
      <c r="J726">
        <v>20</v>
      </c>
      <c r="K726" t="s">
        <v>20</v>
      </c>
      <c r="L726">
        <v>20</v>
      </c>
      <c r="M726" t="s">
        <v>21</v>
      </c>
      <c r="N726">
        <f>COUNTIF(order_data[Order_ID],order_data[[#This Row],[Order_ID]])</f>
        <v>1</v>
      </c>
      <c r="O726">
        <f>order_data[[#This Row],[Order_Value]]-order_data[[#This Row],[Discount]]</f>
        <v>508</v>
      </c>
      <c r="P726">
        <f>order_data[[#This Row],[Order_Value]]+order_data[[#This Row],[Delivery_Fee]]-order_data[[#This Row],[Discount]]</f>
        <v>558</v>
      </c>
      <c r="Q726" t="str">
        <f>TEXT(order_data[[#This Row],[Order_Date]],"mmm")</f>
        <v>Jan</v>
      </c>
      <c r="R726">
        <f>MONTH(order_data[[#This Row],[Order_Date]])</f>
        <v>1</v>
      </c>
    </row>
    <row r="727" spans="1:18" x14ac:dyDescent="0.35">
      <c r="A727" t="s">
        <v>1305</v>
      </c>
      <c r="B727" t="s">
        <v>295</v>
      </c>
      <c r="C727" t="s">
        <v>954</v>
      </c>
      <c r="D727" t="s">
        <v>16</v>
      </c>
      <c r="E727" t="s">
        <v>131</v>
      </c>
      <c r="F727" t="s">
        <v>55</v>
      </c>
      <c r="G727" t="s">
        <v>176</v>
      </c>
      <c r="H727">
        <v>662</v>
      </c>
      <c r="I727">
        <v>40</v>
      </c>
      <c r="J727">
        <v>20</v>
      </c>
      <c r="K727" t="s">
        <v>20</v>
      </c>
      <c r="L727">
        <v>21</v>
      </c>
      <c r="M727" t="s">
        <v>21</v>
      </c>
      <c r="N727">
        <f>COUNTIF(order_data[Order_ID],order_data[[#This Row],[Order_ID]])</f>
        <v>1</v>
      </c>
      <c r="O727">
        <f>order_data[[#This Row],[Order_Value]]-order_data[[#This Row],[Discount]]</f>
        <v>642</v>
      </c>
      <c r="P727">
        <f>order_data[[#This Row],[Order_Value]]+order_data[[#This Row],[Delivery_Fee]]-order_data[[#This Row],[Discount]]</f>
        <v>682</v>
      </c>
      <c r="Q727" t="str">
        <f>TEXT(order_data[[#This Row],[Order_Date]],"mmm")</f>
        <v>Jan</v>
      </c>
      <c r="R727">
        <f>MONTH(order_data[[#This Row],[Order_Date]])</f>
        <v>1</v>
      </c>
    </row>
    <row r="728" spans="1:18" x14ac:dyDescent="0.35">
      <c r="A728" t="s">
        <v>1306</v>
      </c>
      <c r="B728" t="s">
        <v>113</v>
      </c>
      <c r="C728" t="s">
        <v>1031</v>
      </c>
      <c r="D728" t="s">
        <v>16</v>
      </c>
      <c r="E728" t="s">
        <v>89</v>
      </c>
      <c r="F728" t="s">
        <v>18</v>
      </c>
      <c r="G728" t="s">
        <v>63</v>
      </c>
      <c r="H728">
        <v>652</v>
      </c>
      <c r="I728">
        <v>40</v>
      </c>
      <c r="J728">
        <v>30</v>
      </c>
      <c r="K728" t="s">
        <v>20</v>
      </c>
      <c r="L728">
        <v>50</v>
      </c>
      <c r="M728" t="s">
        <v>21</v>
      </c>
      <c r="N728">
        <f>COUNTIF(order_data[Order_ID],order_data[[#This Row],[Order_ID]])</f>
        <v>1</v>
      </c>
      <c r="O728">
        <f>order_data[[#This Row],[Order_Value]]-order_data[[#This Row],[Discount]]</f>
        <v>622</v>
      </c>
      <c r="P728">
        <f>order_data[[#This Row],[Order_Value]]+order_data[[#This Row],[Delivery_Fee]]-order_data[[#This Row],[Discount]]</f>
        <v>662</v>
      </c>
      <c r="Q728" t="str">
        <f>TEXT(order_data[[#This Row],[Order_Date]],"mmm")</f>
        <v>Mar</v>
      </c>
      <c r="R728">
        <f>MONTH(order_data[[#This Row],[Order_Date]])</f>
        <v>3</v>
      </c>
    </row>
    <row r="729" spans="1:18" x14ac:dyDescent="0.35">
      <c r="A729" t="s">
        <v>1307</v>
      </c>
      <c r="B729" t="s">
        <v>562</v>
      </c>
      <c r="C729" t="s">
        <v>1016</v>
      </c>
      <c r="D729" t="s">
        <v>40</v>
      </c>
      <c r="E729" t="s">
        <v>67</v>
      </c>
      <c r="F729" t="s">
        <v>48</v>
      </c>
      <c r="G729" t="s">
        <v>74</v>
      </c>
      <c r="H729">
        <v>755</v>
      </c>
      <c r="I729">
        <v>20</v>
      </c>
      <c r="J729">
        <v>0</v>
      </c>
      <c r="K729" t="s">
        <v>36</v>
      </c>
      <c r="L729">
        <v>53</v>
      </c>
      <c r="M729" t="s">
        <v>21</v>
      </c>
      <c r="N729">
        <f>COUNTIF(order_data[Order_ID],order_data[[#This Row],[Order_ID]])</f>
        <v>1</v>
      </c>
      <c r="O729">
        <f>order_data[[#This Row],[Order_Value]]-order_data[[#This Row],[Discount]]</f>
        <v>755</v>
      </c>
      <c r="P729">
        <f>order_data[[#This Row],[Order_Value]]+order_data[[#This Row],[Delivery_Fee]]-order_data[[#This Row],[Discount]]</f>
        <v>775</v>
      </c>
      <c r="Q729" t="str">
        <f>TEXT(order_data[[#This Row],[Order_Date]],"mmm")</f>
        <v>Feb</v>
      </c>
      <c r="R729">
        <f>MONTH(order_data[[#This Row],[Order_Date]])</f>
        <v>2</v>
      </c>
    </row>
    <row r="730" spans="1:18" x14ac:dyDescent="0.35">
      <c r="A730" t="s">
        <v>1308</v>
      </c>
      <c r="B730" t="s">
        <v>310</v>
      </c>
      <c r="C730" t="s">
        <v>1309</v>
      </c>
      <c r="D730" t="s">
        <v>46</v>
      </c>
      <c r="E730" t="s">
        <v>47</v>
      </c>
      <c r="F730" t="s">
        <v>48</v>
      </c>
      <c r="G730" t="s">
        <v>63</v>
      </c>
      <c r="H730">
        <v>702</v>
      </c>
      <c r="I730">
        <v>50</v>
      </c>
      <c r="J730">
        <v>50</v>
      </c>
      <c r="K730" t="s">
        <v>29</v>
      </c>
      <c r="L730">
        <v>52</v>
      </c>
      <c r="M730" t="s">
        <v>21</v>
      </c>
      <c r="N730">
        <f>COUNTIF(order_data[Order_ID],order_data[[#This Row],[Order_ID]])</f>
        <v>1</v>
      </c>
      <c r="O730">
        <f>order_data[[#This Row],[Order_Value]]-order_data[[#This Row],[Discount]]</f>
        <v>652</v>
      </c>
      <c r="P730">
        <f>order_data[[#This Row],[Order_Value]]+order_data[[#This Row],[Delivery_Fee]]-order_data[[#This Row],[Discount]]</f>
        <v>702</v>
      </c>
      <c r="Q730" t="str">
        <f>TEXT(order_data[[#This Row],[Order_Date]],"mmm")</f>
        <v>Feb</v>
      </c>
      <c r="R730">
        <f>MONTH(order_data[[#This Row],[Order_Date]])</f>
        <v>2</v>
      </c>
    </row>
    <row r="731" spans="1:18" x14ac:dyDescent="0.35">
      <c r="A731" t="s">
        <v>1310</v>
      </c>
      <c r="B731" t="s">
        <v>69</v>
      </c>
      <c r="C731" t="s">
        <v>1311</v>
      </c>
      <c r="D731" t="s">
        <v>53</v>
      </c>
      <c r="E731" t="s">
        <v>54</v>
      </c>
      <c r="F731" t="s">
        <v>55</v>
      </c>
      <c r="G731" t="s">
        <v>59</v>
      </c>
      <c r="H731">
        <v>571</v>
      </c>
      <c r="I731">
        <v>40</v>
      </c>
      <c r="J731">
        <v>100</v>
      </c>
      <c r="K731" t="s">
        <v>36</v>
      </c>
      <c r="L731">
        <v>26</v>
      </c>
      <c r="M731" t="s">
        <v>21</v>
      </c>
      <c r="N731">
        <f>COUNTIF(order_data[Order_ID],order_data[[#This Row],[Order_ID]])</f>
        <v>1</v>
      </c>
      <c r="O731">
        <f>order_data[[#This Row],[Order_Value]]-order_data[[#This Row],[Discount]]</f>
        <v>471</v>
      </c>
      <c r="P731">
        <f>order_data[[#This Row],[Order_Value]]+order_data[[#This Row],[Delivery_Fee]]-order_data[[#This Row],[Discount]]</f>
        <v>511</v>
      </c>
      <c r="Q731" t="str">
        <f>TEXT(order_data[[#This Row],[Order_Date]],"mmm")</f>
        <v>Feb</v>
      </c>
      <c r="R731">
        <f>MONTH(order_data[[#This Row],[Order_Date]])</f>
        <v>2</v>
      </c>
    </row>
    <row r="732" spans="1:18" x14ac:dyDescent="0.35">
      <c r="A732" t="s">
        <v>1312</v>
      </c>
      <c r="B732" t="s">
        <v>541</v>
      </c>
      <c r="C732" t="s">
        <v>1313</v>
      </c>
      <c r="D732" t="s">
        <v>40</v>
      </c>
      <c r="E732" t="s">
        <v>67</v>
      </c>
      <c r="F732" t="s">
        <v>48</v>
      </c>
      <c r="G732" t="s">
        <v>59</v>
      </c>
      <c r="H732">
        <v>576</v>
      </c>
      <c r="I732">
        <v>40</v>
      </c>
      <c r="J732">
        <v>20</v>
      </c>
      <c r="K732" t="s">
        <v>20</v>
      </c>
      <c r="L732">
        <v>51</v>
      </c>
      <c r="M732" t="s">
        <v>21</v>
      </c>
      <c r="N732">
        <f>COUNTIF(order_data[Order_ID],order_data[[#This Row],[Order_ID]])</f>
        <v>1</v>
      </c>
      <c r="O732">
        <f>order_data[[#This Row],[Order_Value]]-order_data[[#This Row],[Discount]]</f>
        <v>556</v>
      </c>
      <c r="P732">
        <f>order_data[[#This Row],[Order_Value]]+order_data[[#This Row],[Delivery_Fee]]-order_data[[#This Row],[Discount]]</f>
        <v>596</v>
      </c>
      <c r="Q732" t="str">
        <f>TEXT(order_data[[#This Row],[Order_Date]],"mmm")</f>
        <v>Jan</v>
      </c>
      <c r="R732">
        <f>MONTH(order_data[[#This Row],[Order_Date]])</f>
        <v>1</v>
      </c>
    </row>
    <row r="733" spans="1:18" x14ac:dyDescent="0.35">
      <c r="A733" t="s">
        <v>1314</v>
      </c>
      <c r="B733" t="s">
        <v>14</v>
      </c>
      <c r="C733" t="s">
        <v>1126</v>
      </c>
      <c r="D733" t="s">
        <v>25</v>
      </c>
      <c r="E733" t="s">
        <v>78</v>
      </c>
      <c r="F733" t="s">
        <v>48</v>
      </c>
      <c r="G733" t="s">
        <v>42</v>
      </c>
      <c r="H733">
        <v>376</v>
      </c>
      <c r="I733">
        <v>40</v>
      </c>
      <c r="J733">
        <v>0</v>
      </c>
      <c r="K733" t="s">
        <v>29</v>
      </c>
      <c r="L733">
        <v>32</v>
      </c>
      <c r="M733" t="s">
        <v>21</v>
      </c>
      <c r="N733">
        <f>COUNTIF(order_data[Order_ID],order_data[[#This Row],[Order_ID]])</f>
        <v>1</v>
      </c>
      <c r="O733">
        <f>order_data[[#This Row],[Order_Value]]-order_data[[#This Row],[Discount]]</f>
        <v>376</v>
      </c>
      <c r="P733">
        <f>order_data[[#This Row],[Order_Value]]+order_data[[#This Row],[Delivery_Fee]]-order_data[[#This Row],[Discount]]</f>
        <v>416</v>
      </c>
      <c r="Q733" t="str">
        <f>TEXT(order_data[[#This Row],[Order_Date]],"mmm")</f>
        <v>Mar</v>
      </c>
      <c r="R733">
        <f>MONTH(order_data[[#This Row],[Order_Date]])</f>
        <v>3</v>
      </c>
    </row>
    <row r="734" spans="1:18" x14ac:dyDescent="0.35">
      <c r="A734" t="s">
        <v>1315</v>
      </c>
      <c r="B734" t="s">
        <v>213</v>
      </c>
      <c r="C734" t="s">
        <v>767</v>
      </c>
      <c r="D734" t="s">
        <v>25</v>
      </c>
      <c r="E734" t="s">
        <v>26</v>
      </c>
      <c r="F734" t="s">
        <v>27</v>
      </c>
      <c r="G734" t="s">
        <v>74</v>
      </c>
      <c r="H734">
        <v>554</v>
      </c>
      <c r="I734">
        <v>30</v>
      </c>
      <c r="J734">
        <v>0</v>
      </c>
      <c r="K734" t="s">
        <v>20</v>
      </c>
      <c r="L734">
        <v>25</v>
      </c>
      <c r="M734" t="s">
        <v>21</v>
      </c>
      <c r="N734">
        <f>COUNTIF(order_data[Order_ID],order_data[[#This Row],[Order_ID]])</f>
        <v>1</v>
      </c>
      <c r="O734">
        <f>order_data[[#This Row],[Order_Value]]-order_data[[#This Row],[Discount]]</f>
        <v>554</v>
      </c>
      <c r="P734">
        <f>order_data[[#This Row],[Order_Value]]+order_data[[#This Row],[Delivery_Fee]]-order_data[[#This Row],[Discount]]</f>
        <v>584</v>
      </c>
      <c r="Q734" t="str">
        <f>TEXT(order_data[[#This Row],[Order_Date]],"mmm")</f>
        <v>Jan</v>
      </c>
      <c r="R734">
        <f>MONTH(order_data[[#This Row],[Order_Date]])</f>
        <v>1</v>
      </c>
    </row>
    <row r="735" spans="1:18" x14ac:dyDescent="0.35">
      <c r="A735" t="s">
        <v>1316</v>
      </c>
      <c r="B735" t="s">
        <v>300</v>
      </c>
      <c r="C735" t="s">
        <v>533</v>
      </c>
      <c r="D735" t="s">
        <v>25</v>
      </c>
      <c r="E735" t="s">
        <v>34</v>
      </c>
      <c r="F735" t="s">
        <v>27</v>
      </c>
      <c r="G735" t="s">
        <v>42</v>
      </c>
      <c r="H735">
        <v>409</v>
      </c>
      <c r="I735">
        <v>40</v>
      </c>
      <c r="J735">
        <v>0</v>
      </c>
      <c r="K735" t="s">
        <v>29</v>
      </c>
      <c r="L735">
        <v>26</v>
      </c>
      <c r="M735" t="s">
        <v>21</v>
      </c>
      <c r="N735">
        <f>COUNTIF(order_data[Order_ID],order_data[[#This Row],[Order_ID]])</f>
        <v>1</v>
      </c>
      <c r="O735">
        <f>order_data[[#This Row],[Order_Value]]-order_data[[#This Row],[Discount]]</f>
        <v>409</v>
      </c>
      <c r="P735">
        <f>order_data[[#This Row],[Order_Value]]+order_data[[#This Row],[Delivery_Fee]]-order_data[[#This Row],[Discount]]</f>
        <v>449</v>
      </c>
      <c r="Q735" t="str">
        <f>TEXT(order_data[[#This Row],[Order_Date]],"mmm")</f>
        <v>Mar</v>
      </c>
      <c r="R735">
        <f>MONTH(order_data[[#This Row],[Order_Date]])</f>
        <v>3</v>
      </c>
    </row>
    <row r="736" spans="1:18" x14ac:dyDescent="0.35">
      <c r="A736" t="s">
        <v>1317</v>
      </c>
      <c r="B736" t="s">
        <v>300</v>
      </c>
      <c r="C736" t="s">
        <v>1318</v>
      </c>
      <c r="D736" t="s">
        <v>16</v>
      </c>
      <c r="E736" t="s">
        <v>131</v>
      </c>
      <c r="F736" t="s">
        <v>55</v>
      </c>
      <c r="G736" t="s">
        <v>28</v>
      </c>
      <c r="H736">
        <v>336</v>
      </c>
      <c r="I736">
        <v>50</v>
      </c>
      <c r="J736">
        <v>50</v>
      </c>
      <c r="K736" t="s">
        <v>20</v>
      </c>
      <c r="L736">
        <v>48</v>
      </c>
      <c r="M736" t="s">
        <v>21</v>
      </c>
      <c r="N736">
        <f>COUNTIF(order_data[Order_ID],order_data[[#This Row],[Order_ID]])</f>
        <v>1</v>
      </c>
      <c r="O736">
        <f>order_data[[#This Row],[Order_Value]]-order_data[[#This Row],[Discount]]</f>
        <v>286</v>
      </c>
      <c r="P736">
        <f>order_data[[#This Row],[Order_Value]]+order_data[[#This Row],[Delivery_Fee]]-order_data[[#This Row],[Discount]]</f>
        <v>336</v>
      </c>
      <c r="Q736" t="str">
        <f>TEXT(order_data[[#This Row],[Order_Date]],"mmm")</f>
        <v>Mar</v>
      </c>
      <c r="R736">
        <f>MONTH(order_data[[#This Row],[Order_Date]])</f>
        <v>3</v>
      </c>
    </row>
    <row r="737" spans="1:18" x14ac:dyDescent="0.35">
      <c r="A737" t="s">
        <v>1319</v>
      </c>
      <c r="B737" t="s">
        <v>393</v>
      </c>
      <c r="C737" t="s">
        <v>1081</v>
      </c>
      <c r="D737" t="s">
        <v>25</v>
      </c>
      <c r="E737" t="s">
        <v>34</v>
      </c>
      <c r="F737" t="s">
        <v>27</v>
      </c>
      <c r="G737" t="s">
        <v>19</v>
      </c>
      <c r="H737">
        <v>354</v>
      </c>
      <c r="I737">
        <v>40</v>
      </c>
      <c r="J737">
        <v>50</v>
      </c>
      <c r="K737" t="s">
        <v>20</v>
      </c>
      <c r="L737">
        <v>29</v>
      </c>
      <c r="M737" t="s">
        <v>30</v>
      </c>
      <c r="N737">
        <f>COUNTIF(order_data[Order_ID],order_data[[#This Row],[Order_ID]])</f>
        <v>1</v>
      </c>
      <c r="O737">
        <f>order_data[[#This Row],[Order_Value]]-order_data[[#This Row],[Discount]]</f>
        <v>304</v>
      </c>
      <c r="P737">
        <f>order_data[[#This Row],[Order_Value]]+order_data[[#This Row],[Delivery_Fee]]-order_data[[#This Row],[Discount]]</f>
        <v>344</v>
      </c>
      <c r="Q737" t="str">
        <f>TEXT(order_data[[#This Row],[Order_Date]],"mmm")</f>
        <v>Feb</v>
      </c>
      <c r="R737">
        <f>MONTH(order_data[[#This Row],[Order_Date]])</f>
        <v>2</v>
      </c>
    </row>
    <row r="738" spans="1:18" x14ac:dyDescent="0.35">
      <c r="A738" t="s">
        <v>1320</v>
      </c>
      <c r="B738" t="s">
        <v>133</v>
      </c>
      <c r="C738" t="s">
        <v>749</v>
      </c>
      <c r="D738" t="s">
        <v>25</v>
      </c>
      <c r="E738" t="s">
        <v>78</v>
      </c>
      <c r="F738" t="s">
        <v>48</v>
      </c>
      <c r="G738" t="s">
        <v>28</v>
      </c>
      <c r="H738">
        <v>415</v>
      </c>
      <c r="I738">
        <v>30</v>
      </c>
      <c r="J738">
        <v>0</v>
      </c>
      <c r="K738" t="s">
        <v>20</v>
      </c>
      <c r="L738">
        <v>27</v>
      </c>
      <c r="M738" t="s">
        <v>21</v>
      </c>
      <c r="N738">
        <f>COUNTIF(order_data[Order_ID],order_data[[#This Row],[Order_ID]])</f>
        <v>1</v>
      </c>
      <c r="O738">
        <f>order_data[[#This Row],[Order_Value]]-order_data[[#This Row],[Discount]]</f>
        <v>415</v>
      </c>
      <c r="P738">
        <f>order_data[[#This Row],[Order_Value]]+order_data[[#This Row],[Delivery_Fee]]-order_data[[#This Row],[Discount]]</f>
        <v>445</v>
      </c>
      <c r="Q738" t="str">
        <f>TEXT(order_data[[#This Row],[Order_Date]],"mmm")</f>
        <v>Mar</v>
      </c>
      <c r="R738">
        <f>MONTH(order_data[[#This Row],[Order_Date]])</f>
        <v>3</v>
      </c>
    </row>
    <row r="739" spans="1:18" x14ac:dyDescent="0.35">
      <c r="A739" t="s">
        <v>1321</v>
      </c>
      <c r="B739" t="s">
        <v>61</v>
      </c>
      <c r="C739" t="s">
        <v>1322</v>
      </c>
      <c r="D739" t="s">
        <v>16</v>
      </c>
      <c r="E739" t="s">
        <v>89</v>
      </c>
      <c r="F739" t="s">
        <v>18</v>
      </c>
      <c r="G739" t="s">
        <v>19</v>
      </c>
      <c r="H739">
        <v>523</v>
      </c>
      <c r="I739">
        <v>30</v>
      </c>
      <c r="J739">
        <v>30</v>
      </c>
      <c r="K739" t="s">
        <v>29</v>
      </c>
      <c r="L739">
        <v>39</v>
      </c>
      <c r="M739" t="s">
        <v>21</v>
      </c>
      <c r="N739">
        <f>COUNTIF(order_data[Order_ID],order_data[[#This Row],[Order_ID]])</f>
        <v>1</v>
      </c>
      <c r="O739">
        <f>order_data[[#This Row],[Order_Value]]-order_data[[#This Row],[Discount]]</f>
        <v>493</v>
      </c>
      <c r="P739">
        <f>order_data[[#This Row],[Order_Value]]+order_data[[#This Row],[Delivery_Fee]]-order_data[[#This Row],[Discount]]</f>
        <v>523</v>
      </c>
      <c r="Q739" t="str">
        <f>TEXT(order_data[[#This Row],[Order_Date]],"mmm")</f>
        <v>Jan</v>
      </c>
      <c r="R739">
        <f>MONTH(order_data[[#This Row],[Order_Date]])</f>
        <v>1</v>
      </c>
    </row>
    <row r="740" spans="1:18" x14ac:dyDescent="0.35">
      <c r="A740" t="s">
        <v>1323</v>
      </c>
      <c r="B740" t="s">
        <v>247</v>
      </c>
      <c r="C740" t="s">
        <v>396</v>
      </c>
      <c r="D740" t="s">
        <v>25</v>
      </c>
      <c r="E740" t="s">
        <v>78</v>
      </c>
      <c r="F740" t="s">
        <v>48</v>
      </c>
      <c r="G740" t="s">
        <v>74</v>
      </c>
      <c r="H740">
        <v>423</v>
      </c>
      <c r="I740">
        <v>50</v>
      </c>
      <c r="J740">
        <v>20</v>
      </c>
      <c r="K740" t="s">
        <v>29</v>
      </c>
      <c r="L740">
        <v>45</v>
      </c>
      <c r="M740" t="s">
        <v>21</v>
      </c>
      <c r="N740">
        <f>COUNTIF(order_data[Order_ID],order_data[[#This Row],[Order_ID]])</f>
        <v>1</v>
      </c>
      <c r="O740">
        <f>order_data[[#This Row],[Order_Value]]-order_data[[#This Row],[Discount]]</f>
        <v>403</v>
      </c>
      <c r="P740">
        <f>order_data[[#This Row],[Order_Value]]+order_data[[#This Row],[Delivery_Fee]]-order_data[[#This Row],[Discount]]</f>
        <v>453</v>
      </c>
      <c r="Q740" t="str">
        <f>TEXT(order_data[[#This Row],[Order_Date]],"mmm")</f>
        <v>Mar</v>
      </c>
      <c r="R740">
        <f>MONTH(order_data[[#This Row],[Order_Date]])</f>
        <v>3</v>
      </c>
    </row>
    <row r="741" spans="1:18" x14ac:dyDescent="0.35">
      <c r="A741" t="s">
        <v>1324</v>
      </c>
      <c r="B741" t="s">
        <v>57</v>
      </c>
      <c r="C741" t="s">
        <v>930</v>
      </c>
      <c r="D741" t="s">
        <v>16</v>
      </c>
      <c r="E741" t="s">
        <v>17</v>
      </c>
      <c r="F741" t="s">
        <v>18</v>
      </c>
      <c r="G741" t="s">
        <v>176</v>
      </c>
      <c r="H741">
        <v>691</v>
      </c>
      <c r="I741">
        <v>30</v>
      </c>
      <c r="J741">
        <v>50</v>
      </c>
      <c r="K741" t="s">
        <v>36</v>
      </c>
      <c r="L741">
        <v>31</v>
      </c>
      <c r="M741" t="s">
        <v>21</v>
      </c>
      <c r="N741">
        <f>COUNTIF(order_data[Order_ID],order_data[[#This Row],[Order_ID]])</f>
        <v>1</v>
      </c>
      <c r="O741">
        <f>order_data[[#This Row],[Order_Value]]-order_data[[#This Row],[Discount]]</f>
        <v>641</v>
      </c>
      <c r="P741">
        <f>order_data[[#This Row],[Order_Value]]+order_data[[#This Row],[Delivery_Fee]]-order_data[[#This Row],[Discount]]</f>
        <v>671</v>
      </c>
      <c r="Q741" t="str">
        <f>TEXT(order_data[[#This Row],[Order_Date]],"mmm")</f>
        <v>Jan</v>
      </c>
      <c r="R741">
        <f>MONTH(order_data[[#This Row],[Order_Date]])</f>
        <v>1</v>
      </c>
    </row>
    <row r="742" spans="1:18" x14ac:dyDescent="0.35">
      <c r="A742" t="s">
        <v>1325</v>
      </c>
      <c r="B742" t="s">
        <v>189</v>
      </c>
      <c r="C742" t="s">
        <v>1326</v>
      </c>
      <c r="D742" t="s">
        <v>53</v>
      </c>
      <c r="E742" t="s">
        <v>152</v>
      </c>
      <c r="F742" t="s">
        <v>18</v>
      </c>
      <c r="G742" t="s">
        <v>176</v>
      </c>
      <c r="H742">
        <v>307</v>
      </c>
      <c r="I742">
        <v>20</v>
      </c>
      <c r="J742">
        <v>100</v>
      </c>
      <c r="K742" t="s">
        <v>29</v>
      </c>
      <c r="L742">
        <v>48</v>
      </c>
      <c r="M742" t="s">
        <v>21</v>
      </c>
      <c r="N742">
        <f>COUNTIF(order_data[Order_ID],order_data[[#This Row],[Order_ID]])</f>
        <v>1</v>
      </c>
      <c r="O742">
        <f>order_data[[#This Row],[Order_Value]]-order_data[[#This Row],[Discount]]</f>
        <v>207</v>
      </c>
      <c r="P742">
        <f>order_data[[#This Row],[Order_Value]]+order_data[[#This Row],[Delivery_Fee]]-order_data[[#This Row],[Discount]]</f>
        <v>227</v>
      </c>
      <c r="Q742" t="str">
        <f>TEXT(order_data[[#This Row],[Order_Date]],"mmm")</f>
        <v>Feb</v>
      </c>
      <c r="R742">
        <f>MONTH(order_data[[#This Row],[Order_Date]])</f>
        <v>2</v>
      </c>
    </row>
    <row r="743" spans="1:18" x14ac:dyDescent="0.35">
      <c r="A743" t="s">
        <v>1327</v>
      </c>
      <c r="B743" t="s">
        <v>305</v>
      </c>
      <c r="C743" t="s">
        <v>1179</v>
      </c>
      <c r="D743" t="s">
        <v>16</v>
      </c>
      <c r="E743" t="s">
        <v>89</v>
      </c>
      <c r="F743" t="s">
        <v>18</v>
      </c>
      <c r="G743" t="s">
        <v>19</v>
      </c>
      <c r="H743">
        <v>324</v>
      </c>
      <c r="I743">
        <v>30</v>
      </c>
      <c r="J743">
        <v>30</v>
      </c>
      <c r="K743" t="s">
        <v>29</v>
      </c>
      <c r="L743">
        <v>38</v>
      </c>
      <c r="M743" t="s">
        <v>21</v>
      </c>
      <c r="N743">
        <f>COUNTIF(order_data[Order_ID],order_data[[#This Row],[Order_ID]])</f>
        <v>1</v>
      </c>
      <c r="O743">
        <f>order_data[[#This Row],[Order_Value]]-order_data[[#This Row],[Discount]]</f>
        <v>294</v>
      </c>
      <c r="P743">
        <f>order_data[[#This Row],[Order_Value]]+order_data[[#This Row],[Delivery_Fee]]-order_data[[#This Row],[Discount]]</f>
        <v>324</v>
      </c>
      <c r="Q743" t="str">
        <f>TEXT(order_data[[#This Row],[Order_Date]],"mmm")</f>
        <v>Jan</v>
      </c>
      <c r="R743">
        <f>MONTH(order_data[[#This Row],[Order_Date]])</f>
        <v>1</v>
      </c>
    </row>
    <row r="744" spans="1:18" x14ac:dyDescent="0.35">
      <c r="A744" t="s">
        <v>1328</v>
      </c>
      <c r="B744" t="s">
        <v>113</v>
      </c>
      <c r="C744" t="s">
        <v>614</v>
      </c>
      <c r="D744" t="s">
        <v>46</v>
      </c>
      <c r="E744" t="s">
        <v>148</v>
      </c>
      <c r="F744" t="s">
        <v>27</v>
      </c>
      <c r="G744" t="s">
        <v>19</v>
      </c>
      <c r="H744">
        <v>519</v>
      </c>
      <c r="I744">
        <v>50</v>
      </c>
      <c r="J744">
        <v>30</v>
      </c>
      <c r="K744" t="s">
        <v>20</v>
      </c>
      <c r="L744">
        <v>38</v>
      </c>
      <c r="M744" t="s">
        <v>21</v>
      </c>
      <c r="N744">
        <f>COUNTIF(order_data[Order_ID],order_data[[#This Row],[Order_ID]])</f>
        <v>1</v>
      </c>
      <c r="O744">
        <f>order_data[[#This Row],[Order_Value]]-order_data[[#This Row],[Discount]]</f>
        <v>489</v>
      </c>
      <c r="P744">
        <f>order_data[[#This Row],[Order_Value]]+order_data[[#This Row],[Delivery_Fee]]-order_data[[#This Row],[Discount]]</f>
        <v>539</v>
      </c>
      <c r="Q744" t="str">
        <f>TEXT(order_data[[#This Row],[Order_Date]],"mmm")</f>
        <v>Mar</v>
      </c>
      <c r="R744">
        <f>MONTH(order_data[[#This Row],[Order_Date]])</f>
        <v>3</v>
      </c>
    </row>
    <row r="745" spans="1:18" x14ac:dyDescent="0.35">
      <c r="A745" t="s">
        <v>1329</v>
      </c>
      <c r="B745" t="s">
        <v>213</v>
      </c>
      <c r="C745" t="s">
        <v>529</v>
      </c>
      <c r="D745" t="s">
        <v>40</v>
      </c>
      <c r="E745" t="s">
        <v>41</v>
      </c>
      <c r="F745" t="s">
        <v>27</v>
      </c>
      <c r="G745" t="s">
        <v>42</v>
      </c>
      <c r="H745">
        <v>674</v>
      </c>
      <c r="I745">
        <v>50</v>
      </c>
      <c r="J745">
        <v>50</v>
      </c>
      <c r="K745" t="s">
        <v>29</v>
      </c>
      <c r="L745">
        <v>41</v>
      </c>
      <c r="M745" t="s">
        <v>21</v>
      </c>
      <c r="N745">
        <f>COUNTIF(order_data[Order_ID],order_data[[#This Row],[Order_ID]])</f>
        <v>1</v>
      </c>
      <c r="O745">
        <f>order_data[[#This Row],[Order_Value]]-order_data[[#This Row],[Discount]]</f>
        <v>624</v>
      </c>
      <c r="P745">
        <f>order_data[[#This Row],[Order_Value]]+order_data[[#This Row],[Delivery_Fee]]-order_data[[#This Row],[Discount]]</f>
        <v>674</v>
      </c>
      <c r="Q745" t="str">
        <f>TEXT(order_data[[#This Row],[Order_Date]],"mmm")</f>
        <v>Jan</v>
      </c>
      <c r="R745">
        <f>MONTH(order_data[[#This Row],[Order_Date]])</f>
        <v>1</v>
      </c>
    </row>
    <row r="746" spans="1:18" x14ac:dyDescent="0.35">
      <c r="A746" t="s">
        <v>1330</v>
      </c>
      <c r="B746" t="s">
        <v>267</v>
      </c>
      <c r="C746" t="s">
        <v>1228</v>
      </c>
      <c r="D746" t="s">
        <v>40</v>
      </c>
      <c r="E746" t="s">
        <v>41</v>
      </c>
      <c r="F746" t="s">
        <v>27</v>
      </c>
      <c r="G746" t="s">
        <v>35</v>
      </c>
      <c r="H746">
        <v>177</v>
      </c>
      <c r="I746">
        <v>20</v>
      </c>
      <c r="J746">
        <v>100</v>
      </c>
      <c r="K746" t="s">
        <v>29</v>
      </c>
      <c r="L746">
        <v>39</v>
      </c>
      <c r="M746" t="s">
        <v>21</v>
      </c>
      <c r="N746">
        <f>COUNTIF(order_data[Order_ID],order_data[[#This Row],[Order_ID]])</f>
        <v>1</v>
      </c>
      <c r="O746">
        <f>order_data[[#This Row],[Order_Value]]-order_data[[#This Row],[Discount]]</f>
        <v>77</v>
      </c>
      <c r="P746">
        <f>order_data[[#This Row],[Order_Value]]+order_data[[#This Row],[Delivery_Fee]]-order_data[[#This Row],[Discount]]</f>
        <v>97</v>
      </c>
      <c r="Q746" t="str">
        <f>TEXT(order_data[[#This Row],[Order_Date]],"mmm")</f>
        <v>Jan</v>
      </c>
      <c r="R746">
        <f>MONTH(order_data[[#This Row],[Order_Date]])</f>
        <v>1</v>
      </c>
    </row>
    <row r="747" spans="1:18" x14ac:dyDescent="0.35">
      <c r="A747" t="s">
        <v>1331</v>
      </c>
      <c r="B747" t="s">
        <v>583</v>
      </c>
      <c r="C747" t="s">
        <v>315</v>
      </c>
      <c r="D747" t="s">
        <v>25</v>
      </c>
      <c r="E747" t="s">
        <v>34</v>
      </c>
      <c r="F747" t="s">
        <v>27</v>
      </c>
      <c r="G747" t="s">
        <v>49</v>
      </c>
      <c r="H747">
        <v>168</v>
      </c>
      <c r="I747">
        <v>40</v>
      </c>
      <c r="J747">
        <v>30</v>
      </c>
      <c r="K747" t="s">
        <v>20</v>
      </c>
      <c r="L747">
        <v>54</v>
      </c>
      <c r="M747" t="s">
        <v>21</v>
      </c>
      <c r="N747">
        <f>COUNTIF(order_data[Order_ID],order_data[[#This Row],[Order_ID]])</f>
        <v>1</v>
      </c>
      <c r="O747">
        <f>order_data[[#This Row],[Order_Value]]-order_data[[#This Row],[Discount]]</f>
        <v>138</v>
      </c>
      <c r="P747">
        <f>order_data[[#This Row],[Order_Value]]+order_data[[#This Row],[Delivery_Fee]]-order_data[[#This Row],[Discount]]</f>
        <v>178</v>
      </c>
      <c r="Q747" t="str">
        <f>TEXT(order_data[[#This Row],[Order_Date]],"mmm")</f>
        <v>Jan</v>
      </c>
      <c r="R747">
        <f>MONTH(order_data[[#This Row],[Order_Date]])</f>
        <v>1</v>
      </c>
    </row>
    <row r="748" spans="1:18" x14ac:dyDescent="0.35">
      <c r="A748" t="s">
        <v>1332</v>
      </c>
      <c r="B748" t="s">
        <v>199</v>
      </c>
      <c r="C748" t="s">
        <v>1297</v>
      </c>
      <c r="D748" t="s">
        <v>16</v>
      </c>
      <c r="E748" t="s">
        <v>89</v>
      </c>
      <c r="F748" t="s">
        <v>18</v>
      </c>
      <c r="G748" t="s">
        <v>49</v>
      </c>
      <c r="H748">
        <v>212</v>
      </c>
      <c r="I748">
        <v>20</v>
      </c>
      <c r="J748">
        <v>50</v>
      </c>
      <c r="K748" t="s">
        <v>29</v>
      </c>
      <c r="L748">
        <v>28</v>
      </c>
      <c r="M748" t="s">
        <v>21</v>
      </c>
      <c r="N748">
        <f>COUNTIF(order_data[Order_ID],order_data[[#This Row],[Order_ID]])</f>
        <v>1</v>
      </c>
      <c r="O748">
        <f>order_data[[#This Row],[Order_Value]]-order_data[[#This Row],[Discount]]</f>
        <v>162</v>
      </c>
      <c r="P748">
        <f>order_data[[#This Row],[Order_Value]]+order_data[[#This Row],[Delivery_Fee]]-order_data[[#This Row],[Discount]]</f>
        <v>182</v>
      </c>
      <c r="Q748" t="str">
        <f>TEXT(order_data[[#This Row],[Order_Date]],"mmm")</f>
        <v>Jan</v>
      </c>
      <c r="R748">
        <f>MONTH(order_data[[#This Row],[Order_Date]])</f>
        <v>1</v>
      </c>
    </row>
    <row r="749" spans="1:18" x14ac:dyDescent="0.35">
      <c r="A749" t="s">
        <v>1333</v>
      </c>
      <c r="B749" t="s">
        <v>109</v>
      </c>
      <c r="C749" t="s">
        <v>1334</v>
      </c>
      <c r="D749" t="s">
        <v>40</v>
      </c>
      <c r="E749" t="s">
        <v>67</v>
      </c>
      <c r="F749" t="s">
        <v>48</v>
      </c>
      <c r="G749" t="s">
        <v>63</v>
      </c>
      <c r="H749">
        <v>169</v>
      </c>
      <c r="I749">
        <v>50</v>
      </c>
      <c r="J749">
        <v>30</v>
      </c>
      <c r="K749" t="s">
        <v>29</v>
      </c>
      <c r="L749">
        <v>53</v>
      </c>
      <c r="M749" t="s">
        <v>21</v>
      </c>
      <c r="N749">
        <f>COUNTIF(order_data[Order_ID],order_data[[#This Row],[Order_ID]])</f>
        <v>1</v>
      </c>
      <c r="O749">
        <f>order_data[[#This Row],[Order_Value]]-order_data[[#This Row],[Discount]]</f>
        <v>139</v>
      </c>
      <c r="P749">
        <f>order_data[[#This Row],[Order_Value]]+order_data[[#This Row],[Delivery_Fee]]-order_data[[#This Row],[Discount]]</f>
        <v>189</v>
      </c>
      <c r="Q749" t="str">
        <f>TEXT(order_data[[#This Row],[Order_Date]],"mmm")</f>
        <v>Jan</v>
      </c>
      <c r="R749">
        <f>MONTH(order_data[[#This Row],[Order_Date]])</f>
        <v>1</v>
      </c>
    </row>
    <row r="750" spans="1:18" x14ac:dyDescent="0.35">
      <c r="A750" t="s">
        <v>1335</v>
      </c>
      <c r="B750" t="s">
        <v>32</v>
      </c>
      <c r="C750" t="s">
        <v>956</v>
      </c>
      <c r="D750" t="s">
        <v>16</v>
      </c>
      <c r="E750" t="s">
        <v>131</v>
      </c>
      <c r="F750" t="s">
        <v>55</v>
      </c>
      <c r="G750" t="s">
        <v>63</v>
      </c>
      <c r="H750">
        <v>598</v>
      </c>
      <c r="I750">
        <v>30</v>
      </c>
      <c r="J750">
        <v>0</v>
      </c>
      <c r="K750" t="s">
        <v>36</v>
      </c>
      <c r="L750">
        <v>33</v>
      </c>
      <c r="M750" t="s">
        <v>21</v>
      </c>
      <c r="N750">
        <f>COUNTIF(order_data[Order_ID],order_data[[#This Row],[Order_ID]])</f>
        <v>1</v>
      </c>
      <c r="O750">
        <f>order_data[[#This Row],[Order_Value]]-order_data[[#This Row],[Discount]]</f>
        <v>598</v>
      </c>
      <c r="P750">
        <f>order_data[[#This Row],[Order_Value]]+order_data[[#This Row],[Delivery_Fee]]-order_data[[#This Row],[Discount]]</f>
        <v>628</v>
      </c>
      <c r="Q750" t="str">
        <f>TEXT(order_data[[#This Row],[Order_Date]],"mmm")</f>
        <v>Jan</v>
      </c>
      <c r="R750">
        <f>MONTH(order_data[[#This Row],[Order_Date]])</f>
        <v>1</v>
      </c>
    </row>
    <row r="751" spans="1:18" x14ac:dyDescent="0.35">
      <c r="A751" t="s">
        <v>1336</v>
      </c>
      <c r="B751" t="s">
        <v>432</v>
      </c>
      <c r="C751" t="s">
        <v>469</v>
      </c>
      <c r="D751" t="s">
        <v>25</v>
      </c>
      <c r="E751" t="s">
        <v>34</v>
      </c>
      <c r="F751" t="s">
        <v>27</v>
      </c>
      <c r="G751" t="s">
        <v>19</v>
      </c>
      <c r="H751">
        <v>347</v>
      </c>
      <c r="I751">
        <v>40</v>
      </c>
      <c r="J751">
        <v>30</v>
      </c>
      <c r="K751" t="s">
        <v>36</v>
      </c>
      <c r="L751">
        <v>50</v>
      </c>
      <c r="M751" t="s">
        <v>21</v>
      </c>
      <c r="N751">
        <f>COUNTIF(order_data[Order_ID],order_data[[#This Row],[Order_ID]])</f>
        <v>1</v>
      </c>
      <c r="O751">
        <f>order_data[[#This Row],[Order_Value]]-order_data[[#This Row],[Discount]]</f>
        <v>317</v>
      </c>
      <c r="P751">
        <f>order_data[[#This Row],[Order_Value]]+order_data[[#This Row],[Delivery_Fee]]-order_data[[#This Row],[Discount]]</f>
        <v>357</v>
      </c>
      <c r="Q751" t="str">
        <f>TEXT(order_data[[#This Row],[Order_Date]],"mmm")</f>
        <v>Feb</v>
      </c>
      <c r="R751">
        <f>MONTH(order_data[[#This Row],[Order_Date]])</f>
        <v>2</v>
      </c>
    </row>
    <row r="752" spans="1:18" x14ac:dyDescent="0.35">
      <c r="A752" t="s">
        <v>1337</v>
      </c>
      <c r="B752" t="s">
        <v>99</v>
      </c>
      <c r="C752" t="s">
        <v>1338</v>
      </c>
      <c r="D752" t="s">
        <v>40</v>
      </c>
      <c r="E752" t="s">
        <v>111</v>
      </c>
      <c r="F752" t="s">
        <v>18</v>
      </c>
      <c r="G752" t="s">
        <v>176</v>
      </c>
      <c r="H752">
        <v>572</v>
      </c>
      <c r="I752">
        <v>30</v>
      </c>
      <c r="J752">
        <v>30</v>
      </c>
      <c r="K752" t="s">
        <v>20</v>
      </c>
      <c r="L752">
        <v>60</v>
      </c>
      <c r="M752" t="s">
        <v>21</v>
      </c>
      <c r="N752">
        <f>COUNTIF(order_data[Order_ID],order_data[[#This Row],[Order_ID]])</f>
        <v>1</v>
      </c>
      <c r="O752">
        <f>order_data[[#This Row],[Order_Value]]-order_data[[#This Row],[Discount]]</f>
        <v>542</v>
      </c>
      <c r="P752">
        <f>order_data[[#This Row],[Order_Value]]+order_data[[#This Row],[Delivery_Fee]]-order_data[[#This Row],[Discount]]</f>
        <v>572</v>
      </c>
      <c r="Q752" t="str">
        <f>TEXT(order_data[[#This Row],[Order_Date]],"mmm")</f>
        <v>Mar</v>
      </c>
      <c r="R752">
        <f>MONTH(order_data[[#This Row],[Order_Date]])</f>
        <v>3</v>
      </c>
    </row>
    <row r="753" spans="1:18" x14ac:dyDescent="0.35">
      <c r="A753" t="s">
        <v>1339</v>
      </c>
      <c r="B753" t="s">
        <v>326</v>
      </c>
      <c r="C753" t="s">
        <v>1168</v>
      </c>
      <c r="D753" t="s">
        <v>25</v>
      </c>
      <c r="E753" t="s">
        <v>34</v>
      </c>
      <c r="F753" t="s">
        <v>27</v>
      </c>
      <c r="G753" t="s">
        <v>63</v>
      </c>
      <c r="H753">
        <v>247</v>
      </c>
      <c r="I753">
        <v>20</v>
      </c>
      <c r="J753">
        <v>0</v>
      </c>
      <c r="K753" t="s">
        <v>20</v>
      </c>
      <c r="L753">
        <v>34</v>
      </c>
      <c r="M753" t="s">
        <v>21</v>
      </c>
      <c r="N753">
        <f>COUNTIF(order_data[Order_ID],order_data[[#This Row],[Order_ID]])</f>
        <v>1</v>
      </c>
      <c r="O753">
        <f>order_data[[#This Row],[Order_Value]]-order_data[[#This Row],[Discount]]</f>
        <v>247</v>
      </c>
      <c r="P753">
        <f>order_data[[#This Row],[Order_Value]]+order_data[[#This Row],[Delivery_Fee]]-order_data[[#This Row],[Discount]]</f>
        <v>267</v>
      </c>
      <c r="Q753" t="str">
        <f>TEXT(order_data[[#This Row],[Order_Date]],"mmm")</f>
        <v>Mar</v>
      </c>
      <c r="R753">
        <f>MONTH(order_data[[#This Row],[Order_Date]])</f>
        <v>3</v>
      </c>
    </row>
    <row r="754" spans="1:18" x14ac:dyDescent="0.35">
      <c r="A754" t="s">
        <v>1340</v>
      </c>
      <c r="B754" t="s">
        <v>365</v>
      </c>
      <c r="C754" t="s">
        <v>257</v>
      </c>
      <c r="D754" t="s">
        <v>46</v>
      </c>
      <c r="E754" t="s">
        <v>148</v>
      </c>
      <c r="F754" t="s">
        <v>27</v>
      </c>
      <c r="G754" t="s">
        <v>176</v>
      </c>
      <c r="H754">
        <v>730</v>
      </c>
      <c r="I754">
        <v>50</v>
      </c>
      <c r="J754">
        <v>20</v>
      </c>
      <c r="K754" t="s">
        <v>36</v>
      </c>
      <c r="L754">
        <v>22</v>
      </c>
      <c r="M754" t="s">
        <v>21</v>
      </c>
      <c r="N754">
        <f>COUNTIF(order_data[Order_ID],order_data[[#This Row],[Order_ID]])</f>
        <v>1</v>
      </c>
      <c r="O754">
        <f>order_data[[#This Row],[Order_Value]]-order_data[[#This Row],[Discount]]</f>
        <v>710</v>
      </c>
      <c r="P754">
        <f>order_data[[#This Row],[Order_Value]]+order_data[[#This Row],[Delivery_Fee]]-order_data[[#This Row],[Discount]]</f>
        <v>760</v>
      </c>
      <c r="Q754" t="str">
        <f>TEXT(order_data[[#This Row],[Order_Date]],"mmm")</f>
        <v>Jan</v>
      </c>
      <c r="R754">
        <f>MONTH(order_data[[#This Row],[Order_Date]])</f>
        <v>1</v>
      </c>
    </row>
    <row r="755" spans="1:18" x14ac:dyDescent="0.35">
      <c r="A755" t="s">
        <v>1341</v>
      </c>
      <c r="B755" t="s">
        <v>267</v>
      </c>
      <c r="C755" t="s">
        <v>1264</v>
      </c>
      <c r="D755" t="s">
        <v>40</v>
      </c>
      <c r="E755" t="s">
        <v>41</v>
      </c>
      <c r="F755" t="s">
        <v>27</v>
      </c>
      <c r="G755" t="s">
        <v>107</v>
      </c>
      <c r="H755">
        <v>307</v>
      </c>
      <c r="I755">
        <v>50</v>
      </c>
      <c r="J755">
        <v>100</v>
      </c>
      <c r="K755" t="s">
        <v>36</v>
      </c>
      <c r="L755">
        <v>56</v>
      </c>
      <c r="M755" t="s">
        <v>21</v>
      </c>
      <c r="N755">
        <f>COUNTIF(order_data[Order_ID],order_data[[#This Row],[Order_ID]])</f>
        <v>1</v>
      </c>
      <c r="O755">
        <f>order_data[[#This Row],[Order_Value]]-order_data[[#This Row],[Discount]]</f>
        <v>207</v>
      </c>
      <c r="P755">
        <f>order_data[[#This Row],[Order_Value]]+order_data[[#This Row],[Delivery_Fee]]-order_data[[#This Row],[Discount]]</f>
        <v>257</v>
      </c>
      <c r="Q755" t="str">
        <f>TEXT(order_data[[#This Row],[Order_Date]],"mmm")</f>
        <v>Jan</v>
      </c>
      <c r="R755">
        <f>MONTH(order_data[[#This Row],[Order_Date]])</f>
        <v>1</v>
      </c>
    </row>
    <row r="756" spans="1:18" x14ac:dyDescent="0.35">
      <c r="A756" t="s">
        <v>1342</v>
      </c>
      <c r="B756" t="s">
        <v>223</v>
      </c>
      <c r="C756" t="s">
        <v>1309</v>
      </c>
      <c r="D756" t="s">
        <v>25</v>
      </c>
      <c r="E756" t="s">
        <v>78</v>
      </c>
      <c r="F756" t="s">
        <v>48</v>
      </c>
      <c r="G756" t="s">
        <v>35</v>
      </c>
      <c r="H756">
        <v>692</v>
      </c>
      <c r="I756">
        <v>20</v>
      </c>
      <c r="J756">
        <v>100</v>
      </c>
      <c r="K756" t="s">
        <v>20</v>
      </c>
      <c r="L756">
        <v>55</v>
      </c>
      <c r="M756" t="s">
        <v>30</v>
      </c>
      <c r="N756">
        <f>COUNTIF(order_data[Order_ID],order_data[[#This Row],[Order_ID]])</f>
        <v>1</v>
      </c>
      <c r="O756">
        <f>order_data[[#This Row],[Order_Value]]-order_data[[#This Row],[Discount]]</f>
        <v>592</v>
      </c>
      <c r="P756">
        <f>order_data[[#This Row],[Order_Value]]+order_data[[#This Row],[Delivery_Fee]]-order_data[[#This Row],[Discount]]</f>
        <v>612</v>
      </c>
      <c r="Q756" t="str">
        <f>TEXT(order_data[[#This Row],[Order_Date]],"mmm")</f>
        <v>Mar</v>
      </c>
      <c r="R756">
        <f>MONTH(order_data[[#This Row],[Order_Date]])</f>
        <v>3</v>
      </c>
    </row>
    <row r="757" spans="1:18" x14ac:dyDescent="0.35">
      <c r="A757" t="s">
        <v>1343</v>
      </c>
      <c r="B757" t="s">
        <v>271</v>
      </c>
      <c r="C757" t="s">
        <v>1344</v>
      </c>
      <c r="D757" t="s">
        <v>40</v>
      </c>
      <c r="E757" t="s">
        <v>67</v>
      </c>
      <c r="F757" t="s">
        <v>48</v>
      </c>
      <c r="G757" t="s">
        <v>28</v>
      </c>
      <c r="H757">
        <v>701</v>
      </c>
      <c r="I757">
        <v>30</v>
      </c>
      <c r="J757">
        <v>50</v>
      </c>
      <c r="K757" t="s">
        <v>36</v>
      </c>
      <c r="L757">
        <v>34</v>
      </c>
      <c r="M757" t="s">
        <v>21</v>
      </c>
      <c r="N757">
        <f>COUNTIF(order_data[Order_ID],order_data[[#This Row],[Order_ID]])</f>
        <v>1</v>
      </c>
      <c r="O757">
        <f>order_data[[#This Row],[Order_Value]]-order_data[[#This Row],[Discount]]</f>
        <v>651</v>
      </c>
      <c r="P757">
        <f>order_data[[#This Row],[Order_Value]]+order_data[[#This Row],[Delivery_Fee]]-order_data[[#This Row],[Discount]]</f>
        <v>681</v>
      </c>
      <c r="Q757" t="str">
        <f>TEXT(order_data[[#This Row],[Order_Date]],"mmm")</f>
        <v>Jan</v>
      </c>
      <c r="R757">
        <f>MONTH(order_data[[#This Row],[Order_Date]])</f>
        <v>1</v>
      </c>
    </row>
    <row r="758" spans="1:18" x14ac:dyDescent="0.35">
      <c r="A758" t="s">
        <v>1345</v>
      </c>
      <c r="B758" t="s">
        <v>213</v>
      </c>
      <c r="C758" t="s">
        <v>414</v>
      </c>
      <c r="D758" t="s">
        <v>46</v>
      </c>
      <c r="E758" t="s">
        <v>47</v>
      </c>
      <c r="F758" t="s">
        <v>48</v>
      </c>
      <c r="G758" t="s">
        <v>107</v>
      </c>
      <c r="H758">
        <v>669</v>
      </c>
      <c r="I758">
        <v>20</v>
      </c>
      <c r="J758">
        <v>50</v>
      </c>
      <c r="K758" t="s">
        <v>36</v>
      </c>
      <c r="L758">
        <v>43</v>
      </c>
      <c r="M758" t="s">
        <v>21</v>
      </c>
      <c r="N758">
        <f>COUNTIF(order_data[Order_ID],order_data[[#This Row],[Order_ID]])</f>
        <v>1</v>
      </c>
      <c r="O758">
        <f>order_data[[#This Row],[Order_Value]]-order_data[[#This Row],[Discount]]</f>
        <v>619</v>
      </c>
      <c r="P758">
        <f>order_data[[#This Row],[Order_Value]]+order_data[[#This Row],[Delivery_Fee]]-order_data[[#This Row],[Discount]]</f>
        <v>639</v>
      </c>
      <c r="Q758" t="str">
        <f>TEXT(order_data[[#This Row],[Order_Date]],"mmm")</f>
        <v>Jan</v>
      </c>
      <c r="R758">
        <f>MONTH(order_data[[#This Row],[Order_Date]])</f>
        <v>1</v>
      </c>
    </row>
    <row r="759" spans="1:18" x14ac:dyDescent="0.35">
      <c r="A759" t="s">
        <v>1346</v>
      </c>
      <c r="B759" t="s">
        <v>562</v>
      </c>
      <c r="C759" t="s">
        <v>208</v>
      </c>
      <c r="D759" t="s">
        <v>46</v>
      </c>
      <c r="E759" t="s">
        <v>47</v>
      </c>
      <c r="F759" t="s">
        <v>48</v>
      </c>
      <c r="G759" t="s">
        <v>42</v>
      </c>
      <c r="H759">
        <v>565</v>
      </c>
      <c r="I759">
        <v>40</v>
      </c>
      <c r="J759">
        <v>30</v>
      </c>
      <c r="K759" t="s">
        <v>36</v>
      </c>
      <c r="L759">
        <v>40</v>
      </c>
      <c r="M759" t="s">
        <v>21</v>
      </c>
      <c r="N759">
        <f>COUNTIF(order_data[Order_ID],order_data[[#This Row],[Order_ID]])</f>
        <v>1</v>
      </c>
      <c r="O759">
        <f>order_data[[#This Row],[Order_Value]]-order_data[[#This Row],[Discount]]</f>
        <v>535</v>
      </c>
      <c r="P759">
        <f>order_data[[#This Row],[Order_Value]]+order_data[[#This Row],[Delivery_Fee]]-order_data[[#This Row],[Discount]]</f>
        <v>575</v>
      </c>
      <c r="Q759" t="str">
        <f>TEXT(order_data[[#This Row],[Order_Date]],"mmm")</f>
        <v>Feb</v>
      </c>
      <c r="R759">
        <f>MONTH(order_data[[#This Row],[Order_Date]])</f>
        <v>2</v>
      </c>
    </row>
    <row r="760" spans="1:18" x14ac:dyDescent="0.35">
      <c r="A760" t="s">
        <v>1347</v>
      </c>
      <c r="B760" t="s">
        <v>342</v>
      </c>
      <c r="C760" t="s">
        <v>1348</v>
      </c>
      <c r="D760" t="s">
        <v>40</v>
      </c>
      <c r="E760" t="s">
        <v>111</v>
      </c>
      <c r="F760" t="s">
        <v>18</v>
      </c>
      <c r="G760" t="s">
        <v>63</v>
      </c>
      <c r="H760">
        <v>671</v>
      </c>
      <c r="I760">
        <v>40</v>
      </c>
      <c r="J760">
        <v>0</v>
      </c>
      <c r="K760" t="s">
        <v>20</v>
      </c>
      <c r="L760">
        <v>21</v>
      </c>
      <c r="M760" t="s">
        <v>21</v>
      </c>
      <c r="N760">
        <f>COUNTIF(order_data[Order_ID],order_data[[#This Row],[Order_ID]])</f>
        <v>1</v>
      </c>
      <c r="O760">
        <f>order_data[[#This Row],[Order_Value]]-order_data[[#This Row],[Discount]]</f>
        <v>671</v>
      </c>
      <c r="P760">
        <f>order_data[[#This Row],[Order_Value]]+order_data[[#This Row],[Delivery_Fee]]-order_data[[#This Row],[Discount]]</f>
        <v>711</v>
      </c>
      <c r="Q760" t="str">
        <f>TEXT(order_data[[#This Row],[Order_Date]],"mmm")</f>
        <v>Jan</v>
      </c>
      <c r="R760">
        <f>MONTH(order_data[[#This Row],[Order_Date]])</f>
        <v>1</v>
      </c>
    </row>
    <row r="761" spans="1:18" x14ac:dyDescent="0.35">
      <c r="A761" t="s">
        <v>1349</v>
      </c>
      <c r="B761" t="s">
        <v>133</v>
      </c>
      <c r="C761" t="s">
        <v>1166</v>
      </c>
      <c r="D761" t="s">
        <v>40</v>
      </c>
      <c r="E761" t="s">
        <v>41</v>
      </c>
      <c r="F761" t="s">
        <v>27</v>
      </c>
      <c r="G761" t="s">
        <v>59</v>
      </c>
      <c r="H761">
        <v>562</v>
      </c>
      <c r="I761">
        <v>30</v>
      </c>
      <c r="J761">
        <v>0</v>
      </c>
      <c r="K761" t="s">
        <v>29</v>
      </c>
      <c r="L761">
        <v>51</v>
      </c>
      <c r="M761" t="s">
        <v>21</v>
      </c>
      <c r="N761">
        <f>COUNTIF(order_data[Order_ID],order_data[[#This Row],[Order_ID]])</f>
        <v>1</v>
      </c>
      <c r="O761">
        <f>order_data[[#This Row],[Order_Value]]-order_data[[#This Row],[Discount]]</f>
        <v>562</v>
      </c>
      <c r="P761">
        <f>order_data[[#This Row],[Order_Value]]+order_data[[#This Row],[Delivery_Fee]]-order_data[[#This Row],[Discount]]</f>
        <v>592</v>
      </c>
      <c r="Q761" t="str">
        <f>TEXT(order_data[[#This Row],[Order_Date]],"mmm")</f>
        <v>Mar</v>
      </c>
      <c r="R761">
        <f>MONTH(order_data[[#This Row],[Order_Date]])</f>
        <v>3</v>
      </c>
    </row>
    <row r="762" spans="1:18" x14ac:dyDescent="0.35">
      <c r="A762" t="s">
        <v>1350</v>
      </c>
      <c r="B762" t="s">
        <v>326</v>
      </c>
      <c r="C762" t="s">
        <v>549</v>
      </c>
      <c r="D762" t="s">
        <v>46</v>
      </c>
      <c r="E762" t="s">
        <v>47</v>
      </c>
      <c r="F762" t="s">
        <v>48</v>
      </c>
      <c r="G762" t="s">
        <v>42</v>
      </c>
      <c r="H762">
        <v>387</v>
      </c>
      <c r="I762">
        <v>40</v>
      </c>
      <c r="J762">
        <v>30</v>
      </c>
      <c r="K762" t="s">
        <v>29</v>
      </c>
      <c r="L762">
        <v>44</v>
      </c>
      <c r="M762" t="s">
        <v>21</v>
      </c>
      <c r="N762">
        <f>COUNTIF(order_data[Order_ID],order_data[[#This Row],[Order_ID]])</f>
        <v>1</v>
      </c>
      <c r="O762">
        <f>order_data[[#This Row],[Order_Value]]-order_data[[#This Row],[Discount]]</f>
        <v>357</v>
      </c>
      <c r="P762">
        <f>order_data[[#This Row],[Order_Value]]+order_data[[#This Row],[Delivery_Fee]]-order_data[[#This Row],[Discount]]</f>
        <v>397</v>
      </c>
      <c r="Q762" t="str">
        <f>TEXT(order_data[[#This Row],[Order_Date]],"mmm")</f>
        <v>Mar</v>
      </c>
      <c r="R762">
        <f>MONTH(order_data[[#This Row],[Order_Date]])</f>
        <v>3</v>
      </c>
    </row>
    <row r="763" spans="1:18" x14ac:dyDescent="0.35">
      <c r="A763" t="s">
        <v>1351</v>
      </c>
      <c r="B763" t="s">
        <v>14</v>
      </c>
      <c r="C763" t="s">
        <v>1352</v>
      </c>
      <c r="D763" t="s">
        <v>40</v>
      </c>
      <c r="E763" t="s">
        <v>41</v>
      </c>
      <c r="F763" t="s">
        <v>27</v>
      </c>
      <c r="G763" t="s">
        <v>59</v>
      </c>
      <c r="H763">
        <v>687</v>
      </c>
      <c r="I763">
        <v>30</v>
      </c>
      <c r="J763">
        <v>20</v>
      </c>
      <c r="K763" t="s">
        <v>20</v>
      </c>
      <c r="L763">
        <v>29</v>
      </c>
      <c r="M763" t="s">
        <v>21</v>
      </c>
      <c r="N763">
        <f>COUNTIF(order_data[Order_ID],order_data[[#This Row],[Order_ID]])</f>
        <v>1</v>
      </c>
      <c r="O763">
        <f>order_data[[#This Row],[Order_Value]]-order_data[[#This Row],[Discount]]</f>
        <v>667</v>
      </c>
      <c r="P763">
        <f>order_data[[#This Row],[Order_Value]]+order_data[[#This Row],[Delivery_Fee]]-order_data[[#This Row],[Discount]]</f>
        <v>697</v>
      </c>
      <c r="Q763" t="str">
        <f>TEXT(order_data[[#This Row],[Order_Date]],"mmm")</f>
        <v>Mar</v>
      </c>
      <c r="R763">
        <f>MONTH(order_data[[#This Row],[Order_Date]])</f>
        <v>3</v>
      </c>
    </row>
    <row r="764" spans="1:18" x14ac:dyDescent="0.35">
      <c r="A764" t="s">
        <v>1353</v>
      </c>
      <c r="B764" t="s">
        <v>105</v>
      </c>
      <c r="C764" t="s">
        <v>960</v>
      </c>
      <c r="D764" t="s">
        <v>40</v>
      </c>
      <c r="E764" t="s">
        <v>41</v>
      </c>
      <c r="F764" t="s">
        <v>27</v>
      </c>
      <c r="G764" t="s">
        <v>63</v>
      </c>
      <c r="H764">
        <v>250</v>
      </c>
      <c r="I764">
        <v>30</v>
      </c>
      <c r="J764">
        <v>20</v>
      </c>
      <c r="K764" t="s">
        <v>29</v>
      </c>
      <c r="L764">
        <v>32</v>
      </c>
      <c r="M764" t="s">
        <v>21</v>
      </c>
      <c r="N764">
        <f>COUNTIF(order_data[Order_ID],order_data[[#This Row],[Order_ID]])</f>
        <v>1</v>
      </c>
      <c r="O764">
        <f>order_data[[#This Row],[Order_Value]]-order_data[[#This Row],[Discount]]</f>
        <v>230</v>
      </c>
      <c r="P764">
        <f>order_data[[#This Row],[Order_Value]]+order_data[[#This Row],[Delivery_Fee]]-order_data[[#This Row],[Discount]]</f>
        <v>260</v>
      </c>
      <c r="Q764" t="str">
        <f>TEXT(order_data[[#This Row],[Order_Date]],"mmm")</f>
        <v>Mar</v>
      </c>
      <c r="R764">
        <f>MONTH(order_data[[#This Row],[Order_Date]])</f>
        <v>3</v>
      </c>
    </row>
    <row r="765" spans="1:18" x14ac:dyDescent="0.35">
      <c r="A765" t="s">
        <v>1354</v>
      </c>
      <c r="B765" t="s">
        <v>136</v>
      </c>
      <c r="C765" t="s">
        <v>340</v>
      </c>
      <c r="D765" t="s">
        <v>40</v>
      </c>
      <c r="E765" t="s">
        <v>67</v>
      </c>
      <c r="F765" t="s">
        <v>48</v>
      </c>
      <c r="G765" t="s">
        <v>28</v>
      </c>
      <c r="H765">
        <v>193</v>
      </c>
      <c r="I765">
        <v>40</v>
      </c>
      <c r="J765">
        <v>30</v>
      </c>
      <c r="K765" t="s">
        <v>36</v>
      </c>
      <c r="L765">
        <v>31</v>
      </c>
      <c r="M765" t="s">
        <v>21</v>
      </c>
      <c r="N765">
        <f>COUNTIF(order_data[Order_ID],order_data[[#This Row],[Order_ID]])</f>
        <v>1</v>
      </c>
      <c r="O765">
        <f>order_data[[#This Row],[Order_Value]]-order_data[[#This Row],[Discount]]</f>
        <v>163</v>
      </c>
      <c r="P765">
        <f>order_data[[#This Row],[Order_Value]]+order_data[[#This Row],[Delivery_Fee]]-order_data[[#This Row],[Discount]]</f>
        <v>203</v>
      </c>
      <c r="Q765" t="str">
        <f>TEXT(order_data[[#This Row],[Order_Date]],"mmm")</f>
        <v>Feb</v>
      </c>
      <c r="R765">
        <f>MONTH(order_data[[#This Row],[Order_Date]])</f>
        <v>2</v>
      </c>
    </row>
    <row r="766" spans="1:18" x14ac:dyDescent="0.35">
      <c r="A766" t="s">
        <v>1355</v>
      </c>
      <c r="B766" t="s">
        <v>267</v>
      </c>
      <c r="C766" t="s">
        <v>1173</v>
      </c>
      <c r="D766" t="s">
        <v>16</v>
      </c>
      <c r="E766" t="s">
        <v>17</v>
      </c>
      <c r="F766" t="s">
        <v>18</v>
      </c>
      <c r="G766" t="s">
        <v>63</v>
      </c>
      <c r="H766">
        <v>278</v>
      </c>
      <c r="I766">
        <v>40</v>
      </c>
      <c r="J766">
        <v>100</v>
      </c>
      <c r="K766" t="s">
        <v>29</v>
      </c>
      <c r="L766">
        <v>27</v>
      </c>
      <c r="M766" t="s">
        <v>21</v>
      </c>
      <c r="N766">
        <f>COUNTIF(order_data[Order_ID],order_data[[#This Row],[Order_ID]])</f>
        <v>1</v>
      </c>
      <c r="O766">
        <f>order_data[[#This Row],[Order_Value]]-order_data[[#This Row],[Discount]]</f>
        <v>178</v>
      </c>
      <c r="P766">
        <f>order_data[[#This Row],[Order_Value]]+order_data[[#This Row],[Delivery_Fee]]-order_data[[#This Row],[Discount]]</f>
        <v>218</v>
      </c>
      <c r="Q766" t="str">
        <f>TEXT(order_data[[#This Row],[Order_Date]],"mmm")</f>
        <v>Jan</v>
      </c>
      <c r="R766">
        <f>MONTH(order_data[[#This Row],[Order_Date]])</f>
        <v>1</v>
      </c>
    </row>
    <row r="767" spans="1:18" x14ac:dyDescent="0.35">
      <c r="A767" t="s">
        <v>1356</v>
      </c>
      <c r="B767" t="s">
        <v>291</v>
      </c>
      <c r="C767" t="s">
        <v>396</v>
      </c>
      <c r="D767" t="s">
        <v>25</v>
      </c>
      <c r="E767" t="s">
        <v>78</v>
      </c>
      <c r="F767" t="s">
        <v>48</v>
      </c>
      <c r="G767" t="s">
        <v>49</v>
      </c>
      <c r="H767">
        <v>175</v>
      </c>
      <c r="I767">
        <v>20</v>
      </c>
      <c r="J767">
        <v>20</v>
      </c>
      <c r="K767" t="s">
        <v>29</v>
      </c>
      <c r="L767">
        <v>55</v>
      </c>
      <c r="M767" t="s">
        <v>21</v>
      </c>
      <c r="N767">
        <f>COUNTIF(order_data[Order_ID],order_data[[#This Row],[Order_ID]])</f>
        <v>1</v>
      </c>
      <c r="O767">
        <f>order_data[[#This Row],[Order_Value]]-order_data[[#This Row],[Discount]]</f>
        <v>155</v>
      </c>
      <c r="P767">
        <f>order_data[[#This Row],[Order_Value]]+order_data[[#This Row],[Delivery_Fee]]-order_data[[#This Row],[Discount]]</f>
        <v>175</v>
      </c>
      <c r="Q767" t="str">
        <f>TEXT(order_data[[#This Row],[Order_Date]],"mmm")</f>
        <v>Feb</v>
      </c>
      <c r="R767">
        <f>MONTH(order_data[[#This Row],[Order_Date]])</f>
        <v>2</v>
      </c>
    </row>
    <row r="768" spans="1:18" x14ac:dyDescent="0.35">
      <c r="A768" t="s">
        <v>1357</v>
      </c>
      <c r="B768" t="s">
        <v>393</v>
      </c>
      <c r="C768" t="s">
        <v>1194</v>
      </c>
      <c r="D768" t="s">
        <v>25</v>
      </c>
      <c r="E768" t="s">
        <v>78</v>
      </c>
      <c r="F768" t="s">
        <v>48</v>
      </c>
      <c r="G768" t="s">
        <v>28</v>
      </c>
      <c r="H768">
        <v>242</v>
      </c>
      <c r="I768">
        <v>20</v>
      </c>
      <c r="J768">
        <v>20</v>
      </c>
      <c r="K768" t="s">
        <v>29</v>
      </c>
      <c r="L768">
        <v>36</v>
      </c>
      <c r="M768" t="s">
        <v>21</v>
      </c>
      <c r="N768">
        <f>COUNTIF(order_data[Order_ID],order_data[[#This Row],[Order_ID]])</f>
        <v>1</v>
      </c>
      <c r="O768">
        <f>order_data[[#This Row],[Order_Value]]-order_data[[#This Row],[Discount]]</f>
        <v>222</v>
      </c>
      <c r="P768">
        <f>order_data[[#This Row],[Order_Value]]+order_data[[#This Row],[Delivery_Fee]]-order_data[[#This Row],[Discount]]</f>
        <v>242</v>
      </c>
      <c r="Q768" t="str">
        <f>TEXT(order_data[[#This Row],[Order_Date]],"mmm")</f>
        <v>Feb</v>
      </c>
      <c r="R768">
        <f>MONTH(order_data[[#This Row],[Order_Date]])</f>
        <v>2</v>
      </c>
    </row>
    <row r="769" spans="1:18" x14ac:dyDescent="0.35">
      <c r="A769" t="s">
        <v>1358</v>
      </c>
      <c r="B769" t="s">
        <v>65</v>
      </c>
      <c r="C769" t="s">
        <v>1359</v>
      </c>
      <c r="D769" t="s">
        <v>40</v>
      </c>
      <c r="E769" t="s">
        <v>67</v>
      </c>
      <c r="F769" t="s">
        <v>48</v>
      </c>
      <c r="G769" t="s">
        <v>49</v>
      </c>
      <c r="H769">
        <v>249</v>
      </c>
      <c r="I769">
        <v>40</v>
      </c>
      <c r="J769">
        <v>100</v>
      </c>
      <c r="K769" t="s">
        <v>20</v>
      </c>
      <c r="L769">
        <v>46</v>
      </c>
      <c r="M769" t="s">
        <v>21</v>
      </c>
      <c r="N769">
        <f>COUNTIF(order_data[Order_ID],order_data[[#This Row],[Order_ID]])</f>
        <v>1</v>
      </c>
      <c r="O769">
        <f>order_data[[#This Row],[Order_Value]]-order_data[[#This Row],[Discount]]</f>
        <v>149</v>
      </c>
      <c r="P769">
        <f>order_data[[#This Row],[Order_Value]]+order_data[[#This Row],[Delivery_Fee]]-order_data[[#This Row],[Discount]]</f>
        <v>189</v>
      </c>
      <c r="Q769" t="str">
        <f>TEXT(order_data[[#This Row],[Order_Date]],"mmm")</f>
        <v>Mar</v>
      </c>
      <c r="R769">
        <f>MONTH(order_data[[#This Row],[Order_Date]])</f>
        <v>3</v>
      </c>
    </row>
    <row r="770" spans="1:18" x14ac:dyDescent="0.35">
      <c r="A770" t="s">
        <v>1360</v>
      </c>
      <c r="B770" t="s">
        <v>583</v>
      </c>
      <c r="C770" t="s">
        <v>895</v>
      </c>
      <c r="D770" t="s">
        <v>46</v>
      </c>
      <c r="E770" t="s">
        <v>47</v>
      </c>
      <c r="F770" t="s">
        <v>48</v>
      </c>
      <c r="G770" t="s">
        <v>42</v>
      </c>
      <c r="H770">
        <v>182</v>
      </c>
      <c r="I770">
        <v>30</v>
      </c>
      <c r="J770">
        <v>100</v>
      </c>
      <c r="K770" t="s">
        <v>20</v>
      </c>
      <c r="L770">
        <v>33</v>
      </c>
      <c r="M770" t="s">
        <v>21</v>
      </c>
      <c r="N770">
        <f>COUNTIF(order_data[Order_ID],order_data[[#This Row],[Order_ID]])</f>
        <v>1</v>
      </c>
      <c r="O770">
        <f>order_data[[#This Row],[Order_Value]]-order_data[[#This Row],[Discount]]</f>
        <v>82</v>
      </c>
      <c r="P770">
        <f>order_data[[#This Row],[Order_Value]]+order_data[[#This Row],[Delivery_Fee]]-order_data[[#This Row],[Discount]]</f>
        <v>112</v>
      </c>
      <c r="Q770" t="str">
        <f>TEXT(order_data[[#This Row],[Order_Date]],"mmm")</f>
        <v>Jan</v>
      </c>
      <c r="R770">
        <f>MONTH(order_data[[#This Row],[Order_Date]])</f>
        <v>1</v>
      </c>
    </row>
    <row r="771" spans="1:18" x14ac:dyDescent="0.35">
      <c r="A771" t="s">
        <v>1361</v>
      </c>
      <c r="B771" t="s">
        <v>87</v>
      </c>
      <c r="C771" t="s">
        <v>784</v>
      </c>
      <c r="D771" t="s">
        <v>16</v>
      </c>
      <c r="E771" t="s">
        <v>17</v>
      </c>
      <c r="F771" t="s">
        <v>18</v>
      </c>
      <c r="G771" t="s">
        <v>107</v>
      </c>
      <c r="H771">
        <v>727</v>
      </c>
      <c r="I771">
        <v>30</v>
      </c>
      <c r="J771">
        <v>50</v>
      </c>
      <c r="K771" t="s">
        <v>29</v>
      </c>
      <c r="L771">
        <v>48</v>
      </c>
      <c r="M771" t="s">
        <v>21</v>
      </c>
      <c r="N771">
        <f>COUNTIF(order_data[Order_ID],order_data[[#This Row],[Order_ID]])</f>
        <v>1</v>
      </c>
      <c r="O771">
        <f>order_data[[#This Row],[Order_Value]]-order_data[[#This Row],[Discount]]</f>
        <v>677</v>
      </c>
      <c r="P771">
        <f>order_data[[#This Row],[Order_Value]]+order_data[[#This Row],[Delivery_Fee]]-order_data[[#This Row],[Discount]]</f>
        <v>707</v>
      </c>
      <c r="Q771" t="str">
        <f>TEXT(order_data[[#This Row],[Order_Date]],"mmm")</f>
        <v>Jan</v>
      </c>
      <c r="R771">
        <f>MONTH(order_data[[#This Row],[Order_Date]])</f>
        <v>1</v>
      </c>
    </row>
    <row r="772" spans="1:18" x14ac:dyDescent="0.35">
      <c r="A772" t="s">
        <v>1362</v>
      </c>
      <c r="B772" t="s">
        <v>57</v>
      </c>
      <c r="C772" t="s">
        <v>670</v>
      </c>
      <c r="D772" t="s">
        <v>40</v>
      </c>
      <c r="E772" t="s">
        <v>111</v>
      </c>
      <c r="F772" t="s">
        <v>18</v>
      </c>
      <c r="G772" t="s">
        <v>49</v>
      </c>
      <c r="H772">
        <v>545</v>
      </c>
      <c r="I772">
        <v>30</v>
      </c>
      <c r="J772">
        <v>0</v>
      </c>
      <c r="K772" t="s">
        <v>36</v>
      </c>
      <c r="L772">
        <v>23</v>
      </c>
      <c r="M772" t="s">
        <v>21</v>
      </c>
      <c r="N772">
        <f>COUNTIF(order_data[Order_ID],order_data[[#This Row],[Order_ID]])</f>
        <v>1</v>
      </c>
      <c r="O772">
        <f>order_data[[#This Row],[Order_Value]]-order_data[[#This Row],[Discount]]</f>
        <v>545</v>
      </c>
      <c r="P772">
        <f>order_data[[#This Row],[Order_Value]]+order_data[[#This Row],[Delivery_Fee]]-order_data[[#This Row],[Discount]]</f>
        <v>575</v>
      </c>
      <c r="Q772" t="str">
        <f>TEXT(order_data[[#This Row],[Order_Date]],"mmm")</f>
        <v>Jan</v>
      </c>
      <c r="R772">
        <f>MONTH(order_data[[#This Row],[Order_Date]])</f>
        <v>1</v>
      </c>
    </row>
    <row r="773" spans="1:18" x14ac:dyDescent="0.35">
      <c r="A773" t="s">
        <v>1363</v>
      </c>
      <c r="B773" t="s">
        <v>143</v>
      </c>
      <c r="C773" t="s">
        <v>808</v>
      </c>
      <c r="D773" t="s">
        <v>53</v>
      </c>
      <c r="E773" t="s">
        <v>84</v>
      </c>
      <c r="F773" t="s">
        <v>85</v>
      </c>
      <c r="G773" t="s">
        <v>35</v>
      </c>
      <c r="H773">
        <v>622</v>
      </c>
      <c r="I773">
        <v>40</v>
      </c>
      <c r="J773">
        <v>20</v>
      </c>
      <c r="K773" t="s">
        <v>20</v>
      </c>
      <c r="L773">
        <v>57</v>
      </c>
      <c r="M773" t="s">
        <v>21</v>
      </c>
      <c r="N773">
        <f>COUNTIF(order_data[Order_ID],order_data[[#This Row],[Order_ID]])</f>
        <v>1</v>
      </c>
      <c r="O773">
        <f>order_data[[#This Row],[Order_Value]]-order_data[[#This Row],[Discount]]</f>
        <v>602</v>
      </c>
      <c r="P773">
        <f>order_data[[#This Row],[Order_Value]]+order_data[[#This Row],[Delivery_Fee]]-order_data[[#This Row],[Discount]]</f>
        <v>642</v>
      </c>
      <c r="Q773" t="str">
        <f>TEXT(order_data[[#This Row],[Order_Date]],"mmm")</f>
        <v>Feb</v>
      </c>
      <c r="R773">
        <f>MONTH(order_data[[#This Row],[Order_Date]])</f>
        <v>2</v>
      </c>
    </row>
    <row r="774" spans="1:18" x14ac:dyDescent="0.35">
      <c r="A774" t="s">
        <v>1364</v>
      </c>
      <c r="B774" t="s">
        <v>150</v>
      </c>
      <c r="C774" t="s">
        <v>728</v>
      </c>
      <c r="D774" t="s">
        <v>46</v>
      </c>
      <c r="E774" t="s">
        <v>70</v>
      </c>
      <c r="F774" t="s">
        <v>18</v>
      </c>
      <c r="G774" t="s">
        <v>19</v>
      </c>
      <c r="H774">
        <v>441</v>
      </c>
      <c r="I774">
        <v>50</v>
      </c>
      <c r="J774">
        <v>0</v>
      </c>
      <c r="K774" t="s">
        <v>36</v>
      </c>
      <c r="L774">
        <v>31</v>
      </c>
      <c r="M774" t="s">
        <v>21</v>
      </c>
      <c r="N774">
        <f>COUNTIF(order_data[Order_ID],order_data[[#This Row],[Order_ID]])</f>
        <v>1</v>
      </c>
      <c r="O774">
        <f>order_data[[#This Row],[Order_Value]]-order_data[[#This Row],[Discount]]</f>
        <v>441</v>
      </c>
      <c r="P774">
        <f>order_data[[#This Row],[Order_Value]]+order_data[[#This Row],[Delivery_Fee]]-order_data[[#This Row],[Discount]]</f>
        <v>491</v>
      </c>
      <c r="Q774" t="str">
        <f>TEXT(order_data[[#This Row],[Order_Date]],"mmm")</f>
        <v>Feb</v>
      </c>
      <c r="R774">
        <f>MONTH(order_data[[#This Row],[Order_Date]])</f>
        <v>2</v>
      </c>
    </row>
    <row r="775" spans="1:18" x14ac:dyDescent="0.35">
      <c r="A775" t="s">
        <v>1365</v>
      </c>
      <c r="B775" t="s">
        <v>96</v>
      </c>
      <c r="C775" t="s">
        <v>781</v>
      </c>
      <c r="D775" t="s">
        <v>16</v>
      </c>
      <c r="E775" t="s">
        <v>131</v>
      </c>
      <c r="F775" t="s">
        <v>55</v>
      </c>
      <c r="G775" t="s">
        <v>19</v>
      </c>
      <c r="H775">
        <v>613</v>
      </c>
      <c r="I775">
        <v>50</v>
      </c>
      <c r="J775">
        <v>20</v>
      </c>
      <c r="K775" t="s">
        <v>20</v>
      </c>
      <c r="L775">
        <v>23</v>
      </c>
      <c r="M775" t="s">
        <v>21</v>
      </c>
      <c r="N775">
        <f>COUNTIF(order_data[Order_ID],order_data[[#This Row],[Order_ID]])</f>
        <v>1</v>
      </c>
      <c r="O775">
        <f>order_data[[#This Row],[Order_Value]]-order_data[[#This Row],[Discount]]</f>
        <v>593</v>
      </c>
      <c r="P775">
        <f>order_data[[#This Row],[Order_Value]]+order_data[[#This Row],[Delivery_Fee]]-order_data[[#This Row],[Discount]]</f>
        <v>643</v>
      </c>
      <c r="Q775" t="str">
        <f>TEXT(order_data[[#This Row],[Order_Date]],"mmm")</f>
        <v>Mar</v>
      </c>
      <c r="R775">
        <f>MONTH(order_data[[#This Row],[Order_Date]])</f>
        <v>3</v>
      </c>
    </row>
    <row r="776" spans="1:18" x14ac:dyDescent="0.35">
      <c r="A776" t="s">
        <v>1366</v>
      </c>
      <c r="B776" t="s">
        <v>105</v>
      </c>
      <c r="C776" t="s">
        <v>916</v>
      </c>
      <c r="D776" t="s">
        <v>46</v>
      </c>
      <c r="E776" t="s">
        <v>148</v>
      </c>
      <c r="F776" t="s">
        <v>27</v>
      </c>
      <c r="G776" t="s">
        <v>19</v>
      </c>
      <c r="H776">
        <v>419</v>
      </c>
      <c r="I776">
        <v>40</v>
      </c>
      <c r="J776">
        <v>20</v>
      </c>
      <c r="K776" t="s">
        <v>36</v>
      </c>
      <c r="L776">
        <v>21</v>
      </c>
      <c r="M776" t="s">
        <v>21</v>
      </c>
      <c r="N776">
        <f>COUNTIF(order_data[Order_ID],order_data[[#This Row],[Order_ID]])</f>
        <v>1</v>
      </c>
      <c r="O776">
        <f>order_data[[#This Row],[Order_Value]]-order_data[[#This Row],[Discount]]</f>
        <v>399</v>
      </c>
      <c r="P776">
        <f>order_data[[#This Row],[Order_Value]]+order_data[[#This Row],[Delivery_Fee]]-order_data[[#This Row],[Discount]]</f>
        <v>439</v>
      </c>
      <c r="Q776" t="str">
        <f>TEXT(order_data[[#This Row],[Order_Date]],"mmm")</f>
        <v>Mar</v>
      </c>
      <c r="R776">
        <f>MONTH(order_data[[#This Row],[Order_Date]])</f>
        <v>3</v>
      </c>
    </row>
    <row r="777" spans="1:18" x14ac:dyDescent="0.35">
      <c r="A777" t="s">
        <v>1367</v>
      </c>
      <c r="B777" t="s">
        <v>342</v>
      </c>
      <c r="C777" t="s">
        <v>1368</v>
      </c>
      <c r="D777" t="s">
        <v>25</v>
      </c>
      <c r="E777" t="s">
        <v>26</v>
      </c>
      <c r="F777" t="s">
        <v>27</v>
      </c>
      <c r="G777" t="s">
        <v>107</v>
      </c>
      <c r="H777">
        <v>239</v>
      </c>
      <c r="I777">
        <v>20</v>
      </c>
      <c r="J777">
        <v>0</v>
      </c>
      <c r="K777" t="s">
        <v>36</v>
      </c>
      <c r="L777">
        <v>53</v>
      </c>
      <c r="M777" t="s">
        <v>21</v>
      </c>
      <c r="N777">
        <f>COUNTIF(order_data[Order_ID],order_data[[#This Row],[Order_ID]])</f>
        <v>1</v>
      </c>
      <c r="O777">
        <f>order_data[[#This Row],[Order_Value]]-order_data[[#This Row],[Discount]]</f>
        <v>239</v>
      </c>
      <c r="P777">
        <f>order_data[[#This Row],[Order_Value]]+order_data[[#This Row],[Delivery_Fee]]-order_data[[#This Row],[Discount]]</f>
        <v>259</v>
      </c>
      <c r="Q777" t="str">
        <f>TEXT(order_data[[#This Row],[Order_Date]],"mmm")</f>
        <v>Jan</v>
      </c>
      <c r="R777">
        <f>MONTH(order_data[[#This Row],[Order_Date]])</f>
        <v>1</v>
      </c>
    </row>
    <row r="778" spans="1:18" x14ac:dyDescent="0.35">
      <c r="A778" t="s">
        <v>1369</v>
      </c>
      <c r="B778" t="s">
        <v>388</v>
      </c>
      <c r="C778" t="s">
        <v>1370</v>
      </c>
      <c r="D778" t="s">
        <v>53</v>
      </c>
      <c r="E778" t="s">
        <v>84</v>
      </c>
      <c r="F778" t="s">
        <v>85</v>
      </c>
      <c r="G778" t="s">
        <v>49</v>
      </c>
      <c r="H778">
        <v>321</v>
      </c>
      <c r="I778">
        <v>40</v>
      </c>
      <c r="J778">
        <v>20</v>
      </c>
      <c r="K778" t="s">
        <v>29</v>
      </c>
      <c r="L778">
        <v>32</v>
      </c>
      <c r="M778" t="s">
        <v>21</v>
      </c>
      <c r="N778">
        <f>COUNTIF(order_data[Order_ID],order_data[[#This Row],[Order_ID]])</f>
        <v>1</v>
      </c>
      <c r="O778">
        <f>order_data[[#This Row],[Order_Value]]-order_data[[#This Row],[Discount]]</f>
        <v>301</v>
      </c>
      <c r="P778">
        <f>order_data[[#This Row],[Order_Value]]+order_data[[#This Row],[Delivery_Fee]]-order_data[[#This Row],[Discount]]</f>
        <v>341</v>
      </c>
      <c r="Q778" t="str">
        <f>TEXT(order_data[[#This Row],[Order_Date]],"mmm")</f>
        <v>Mar</v>
      </c>
      <c r="R778">
        <f>MONTH(order_data[[#This Row],[Order_Date]])</f>
        <v>3</v>
      </c>
    </row>
    <row r="779" spans="1:18" x14ac:dyDescent="0.35">
      <c r="A779" t="s">
        <v>1371</v>
      </c>
      <c r="B779" t="s">
        <v>69</v>
      </c>
      <c r="C779" t="s">
        <v>1372</v>
      </c>
      <c r="D779" t="s">
        <v>46</v>
      </c>
      <c r="E779" t="s">
        <v>148</v>
      </c>
      <c r="F779" t="s">
        <v>27</v>
      </c>
      <c r="G779" t="s">
        <v>49</v>
      </c>
      <c r="H779">
        <v>303</v>
      </c>
      <c r="I779">
        <v>20</v>
      </c>
      <c r="J779">
        <v>0</v>
      </c>
      <c r="K779" t="s">
        <v>36</v>
      </c>
      <c r="L779">
        <v>46</v>
      </c>
      <c r="M779" t="s">
        <v>21</v>
      </c>
      <c r="N779">
        <f>COUNTIF(order_data[Order_ID],order_data[[#This Row],[Order_ID]])</f>
        <v>1</v>
      </c>
      <c r="O779">
        <f>order_data[[#This Row],[Order_Value]]-order_data[[#This Row],[Discount]]</f>
        <v>303</v>
      </c>
      <c r="P779">
        <f>order_data[[#This Row],[Order_Value]]+order_data[[#This Row],[Delivery_Fee]]-order_data[[#This Row],[Discount]]</f>
        <v>323</v>
      </c>
      <c r="Q779" t="str">
        <f>TEXT(order_data[[#This Row],[Order_Date]],"mmm")</f>
        <v>Feb</v>
      </c>
      <c r="R779">
        <f>MONTH(order_data[[#This Row],[Order_Date]])</f>
        <v>2</v>
      </c>
    </row>
    <row r="780" spans="1:18" x14ac:dyDescent="0.35">
      <c r="A780" t="s">
        <v>1373</v>
      </c>
      <c r="B780" t="s">
        <v>513</v>
      </c>
      <c r="C780" t="s">
        <v>1374</v>
      </c>
      <c r="D780" t="s">
        <v>53</v>
      </c>
      <c r="E780" t="s">
        <v>54</v>
      </c>
      <c r="F780" t="s">
        <v>55</v>
      </c>
      <c r="G780" t="s">
        <v>35</v>
      </c>
      <c r="H780">
        <v>153</v>
      </c>
      <c r="I780">
        <v>30</v>
      </c>
      <c r="J780">
        <v>0</v>
      </c>
      <c r="K780" t="s">
        <v>20</v>
      </c>
      <c r="L780">
        <v>24</v>
      </c>
      <c r="M780" t="s">
        <v>21</v>
      </c>
      <c r="N780">
        <f>COUNTIF(order_data[Order_ID],order_data[[#This Row],[Order_ID]])</f>
        <v>1</v>
      </c>
      <c r="O780">
        <f>order_data[[#This Row],[Order_Value]]-order_data[[#This Row],[Discount]]</f>
        <v>153</v>
      </c>
      <c r="P780">
        <f>order_data[[#This Row],[Order_Value]]+order_data[[#This Row],[Delivery_Fee]]-order_data[[#This Row],[Discount]]</f>
        <v>183</v>
      </c>
      <c r="Q780" t="str">
        <f>TEXT(order_data[[#This Row],[Order_Date]],"mmm")</f>
        <v>Feb</v>
      </c>
      <c r="R780">
        <f>MONTH(order_data[[#This Row],[Order_Date]])</f>
        <v>2</v>
      </c>
    </row>
    <row r="781" spans="1:18" x14ac:dyDescent="0.35">
      <c r="A781" t="s">
        <v>1375</v>
      </c>
      <c r="B781" t="s">
        <v>297</v>
      </c>
      <c r="C781" t="s">
        <v>394</v>
      </c>
      <c r="D781" t="s">
        <v>40</v>
      </c>
      <c r="E781" t="s">
        <v>111</v>
      </c>
      <c r="F781" t="s">
        <v>18</v>
      </c>
      <c r="G781" t="s">
        <v>74</v>
      </c>
      <c r="H781">
        <v>213</v>
      </c>
      <c r="I781">
        <v>30</v>
      </c>
      <c r="J781">
        <v>0</v>
      </c>
      <c r="K781" t="s">
        <v>36</v>
      </c>
      <c r="L781">
        <v>30</v>
      </c>
      <c r="M781" t="s">
        <v>21</v>
      </c>
      <c r="N781">
        <f>COUNTIF(order_data[Order_ID],order_data[[#This Row],[Order_ID]])</f>
        <v>1</v>
      </c>
      <c r="O781">
        <f>order_data[[#This Row],[Order_Value]]-order_data[[#This Row],[Discount]]</f>
        <v>213</v>
      </c>
      <c r="P781">
        <f>order_data[[#This Row],[Order_Value]]+order_data[[#This Row],[Delivery_Fee]]-order_data[[#This Row],[Discount]]</f>
        <v>243</v>
      </c>
      <c r="Q781" t="str">
        <f>TEXT(order_data[[#This Row],[Order_Date]],"mmm")</f>
        <v>Feb</v>
      </c>
      <c r="R781">
        <f>MONTH(order_data[[#This Row],[Order_Date]])</f>
        <v>2</v>
      </c>
    </row>
    <row r="782" spans="1:18" x14ac:dyDescent="0.35">
      <c r="A782" t="s">
        <v>1376</v>
      </c>
      <c r="B782" t="s">
        <v>310</v>
      </c>
      <c r="C782" t="s">
        <v>417</v>
      </c>
      <c r="D782" t="s">
        <v>53</v>
      </c>
      <c r="E782" t="s">
        <v>84</v>
      </c>
      <c r="F782" t="s">
        <v>85</v>
      </c>
      <c r="G782" t="s">
        <v>35</v>
      </c>
      <c r="H782">
        <v>508</v>
      </c>
      <c r="I782">
        <v>40</v>
      </c>
      <c r="J782">
        <v>100</v>
      </c>
      <c r="K782" t="s">
        <v>29</v>
      </c>
      <c r="L782">
        <v>20</v>
      </c>
      <c r="M782" t="s">
        <v>21</v>
      </c>
      <c r="N782">
        <f>COUNTIF(order_data[Order_ID],order_data[[#This Row],[Order_ID]])</f>
        <v>1</v>
      </c>
      <c r="O782">
        <f>order_data[[#This Row],[Order_Value]]-order_data[[#This Row],[Discount]]</f>
        <v>408</v>
      </c>
      <c r="P782">
        <f>order_data[[#This Row],[Order_Value]]+order_data[[#This Row],[Delivery_Fee]]-order_data[[#This Row],[Discount]]</f>
        <v>448</v>
      </c>
      <c r="Q782" t="str">
        <f>TEXT(order_data[[#This Row],[Order_Date]],"mmm")</f>
        <v>Feb</v>
      </c>
      <c r="R782">
        <f>MONTH(order_data[[#This Row],[Order_Date]])</f>
        <v>2</v>
      </c>
    </row>
    <row r="783" spans="1:18" x14ac:dyDescent="0.35">
      <c r="A783" t="s">
        <v>1377</v>
      </c>
      <c r="B783" t="s">
        <v>562</v>
      </c>
      <c r="C783" t="s">
        <v>1378</v>
      </c>
      <c r="D783" t="s">
        <v>46</v>
      </c>
      <c r="E783" t="s">
        <v>47</v>
      </c>
      <c r="F783" t="s">
        <v>48</v>
      </c>
      <c r="G783" t="s">
        <v>49</v>
      </c>
      <c r="H783">
        <v>627</v>
      </c>
      <c r="I783">
        <v>20</v>
      </c>
      <c r="J783">
        <v>50</v>
      </c>
      <c r="K783" t="s">
        <v>20</v>
      </c>
      <c r="L783">
        <v>47</v>
      </c>
      <c r="M783" t="s">
        <v>21</v>
      </c>
      <c r="N783">
        <f>COUNTIF(order_data[Order_ID],order_data[[#This Row],[Order_ID]])</f>
        <v>1</v>
      </c>
      <c r="O783">
        <f>order_data[[#This Row],[Order_Value]]-order_data[[#This Row],[Discount]]</f>
        <v>577</v>
      </c>
      <c r="P783">
        <f>order_data[[#This Row],[Order_Value]]+order_data[[#This Row],[Delivery_Fee]]-order_data[[#This Row],[Discount]]</f>
        <v>597</v>
      </c>
      <c r="Q783" t="str">
        <f>TEXT(order_data[[#This Row],[Order_Date]],"mmm")</f>
        <v>Feb</v>
      </c>
      <c r="R783">
        <f>MONTH(order_data[[#This Row],[Order_Date]])</f>
        <v>2</v>
      </c>
    </row>
    <row r="784" spans="1:18" x14ac:dyDescent="0.35">
      <c r="A784" t="s">
        <v>1379</v>
      </c>
      <c r="B784" t="s">
        <v>297</v>
      </c>
      <c r="C784" t="s">
        <v>928</v>
      </c>
      <c r="D784" t="s">
        <v>16</v>
      </c>
      <c r="E784" t="s">
        <v>17</v>
      </c>
      <c r="F784" t="s">
        <v>18</v>
      </c>
      <c r="G784" t="s">
        <v>42</v>
      </c>
      <c r="H784">
        <v>727</v>
      </c>
      <c r="I784">
        <v>20</v>
      </c>
      <c r="J784">
        <v>20</v>
      </c>
      <c r="K784" t="s">
        <v>20</v>
      </c>
      <c r="L784">
        <v>44</v>
      </c>
      <c r="M784" t="s">
        <v>21</v>
      </c>
      <c r="N784">
        <f>COUNTIF(order_data[Order_ID],order_data[[#This Row],[Order_ID]])</f>
        <v>1</v>
      </c>
      <c r="O784">
        <f>order_data[[#This Row],[Order_Value]]-order_data[[#This Row],[Discount]]</f>
        <v>707</v>
      </c>
      <c r="P784">
        <f>order_data[[#This Row],[Order_Value]]+order_data[[#This Row],[Delivery_Fee]]-order_data[[#This Row],[Discount]]</f>
        <v>727</v>
      </c>
      <c r="Q784" t="str">
        <f>TEXT(order_data[[#This Row],[Order_Date]],"mmm")</f>
        <v>Feb</v>
      </c>
      <c r="R784">
        <f>MONTH(order_data[[#This Row],[Order_Date]])</f>
        <v>2</v>
      </c>
    </row>
    <row r="785" spans="1:18" x14ac:dyDescent="0.35">
      <c r="A785" t="s">
        <v>1380</v>
      </c>
      <c r="B785" t="s">
        <v>109</v>
      </c>
      <c r="C785" t="s">
        <v>1381</v>
      </c>
      <c r="D785" t="s">
        <v>25</v>
      </c>
      <c r="E785" t="s">
        <v>78</v>
      </c>
      <c r="F785" t="s">
        <v>48</v>
      </c>
      <c r="G785" t="s">
        <v>49</v>
      </c>
      <c r="H785">
        <v>678</v>
      </c>
      <c r="I785">
        <v>30</v>
      </c>
      <c r="J785">
        <v>50</v>
      </c>
      <c r="K785" t="s">
        <v>36</v>
      </c>
      <c r="L785">
        <v>44</v>
      </c>
      <c r="M785" t="s">
        <v>21</v>
      </c>
      <c r="N785">
        <f>COUNTIF(order_data[Order_ID],order_data[[#This Row],[Order_ID]])</f>
        <v>1</v>
      </c>
      <c r="O785">
        <f>order_data[[#This Row],[Order_Value]]-order_data[[#This Row],[Discount]]</f>
        <v>628</v>
      </c>
      <c r="P785">
        <f>order_data[[#This Row],[Order_Value]]+order_data[[#This Row],[Delivery_Fee]]-order_data[[#This Row],[Discount]]</f>
        <v>658</v>
      </c>
      <c r="Q785" t="str">
        <f>TEXT(order_data[[#This Row],[Order_Date]],"mmm")</f>
        <v>Jan</v>
      </c>
      <c r="R785">
        <f>MONTH(order_data[[#This Row],[Order_Date]])</f>
        <v>1</v>
      </c>
    </row>
    <row r="786" spans="1:18" x14ac:dyDescent="0.35">
      <c r="A786" t="s">
        <v>1382</v>
      </c>
      <c r="B786" t="s">
        <v>102</v>
      </c>
      <c r="C786" t="s">
        <v>700</v>
      </c>
      <c r="D786" t="s">
        <v>16</v>
      </c>
      <c r="E786" t="s">
        <v>17</v>
      </c>
      <c r="F786" t="s">
        <v>18</v>
      </c>
      <c r="G786" t="s">
        <v>59</v>
      </c>
      <c r="H786">
        <v>355</v>
      </c>
      <c r="I786">
        <v>40</v>
      </c>
      <c r="J786">
        <v>30</v>
      </c>
      <c r="K786" t="s">
        <v>29</v>
      </c>
      <c r="L786">
        <v>49</v>
      </c>
      <c r="M786" t="s">
        <v>21</v>
      </c>
      <c r="N786">
        <f>COUNTIF(order_data[Order_ID],order_data[[#This Row],[Order_ID]])</f>
        <v>1</v>
      </c>
      <c r="O786">
        <f>order_data[[#This Row],[Order_Value]]-order_data[[#This Row],[Discount]]</f>
        <v>325</v>
      </c>
      <c r="P786">
        <f>order_data[[#This Row],[Order_Value]]+order_data[[#This Row],[Delivery_Fee]]-order_data[[#This Row],[Discount]]</f>
        <v>365</v>
      </c>
      <c r="Q786" t="str">
        <f>TEXT(order_data[[#This Row],[Order_Date]],"mmm")</f>
        <v>Mar</v>
      </c>
      <c r="R786">
        <f>MONTH(order_data[[#This Row],[Order_Date]])</f>
        <v>3</v>
      </c>
    </row>
    <row r="787" spans="1:18" x14ac:dyDescent="0.35">
      <c r="A787" t="s">
        <v>1383</v>
      </c>
      <c r="B787" t="s">
        <v>105</v>
      </c>
      <c r="C787" t="s">
        <v>1384</v>
      </c>
      <c r="D787" t="s">
        <v>16</v>
      </c>
      <c r="E787" t="s">
        <v>131</v>
      </c>
      <c r="F787" t="s">
        <v>55</v>
      </c>
      <c r="G787" t="s">
        <v>35</v>
      </c>
      <c r="H787">
        <v>333</v>
      </c>
      <c r="I787">
        <v>40</v>
      </c>
      <c r="J787">
        <v>20</v>
      </c>
      <c r="K787" t="s">
        <v>36</v>
      </c>
      <c r="L787">
        <v>56</v>
      </c>
      <c r="M787" t="s">
        <v>21</v>
      </c>
      <c r="N787">
        <f>COUNTIF(order_data[Order_ID],order_data[[#This Row],[Order_ID]])</f>
        <v>1</v>
      </c>
      <c r="O787">
        <f>order_data[[#This Row],[Order_Value]]-order_data[[#This Row],[Discount]]</f>
        <v>313</v>
      </c>
      <c r="P787">
        <f>order_data[[#This Row],[Order_Value]]+order_data[[#This Row],[Delivery_Fee]]-order_data[[#This Row],[Discount]]</f>
        <v>353</v>
      </c>
      <c r="Q787" t="str">
        <f>TEXT(order_data[[#This Row],[Order_Date]],"mmm")</f>
        <v>Mar</v>
      </c>
      <c r="R787">
        <f>MONTH(order_data[[#This Row],[Order_Date]])</f>
        <v>3</v>
      </c>
    </row>
    <row r="788" spans="1:18" x14ac:dyDescent="0.35">
      <c r="A788" t="s">
        <v>1385</v>
      </c>
      <c r="B788" t="s">
        <v>61</v>
      </c>
      <c r="C788" t="s">
        <v>752</v>
      </c>
      <c r="D788" t="s">
        <v>53</v>
      </c>
      <c r="E788" t="s">
        <v>152</v>
      </c>
      <c r="F788" t="s">
        <v>18</v>
      </c>
      <c r="G788" t="s">
        <v>49</v>
      </c>
      <c r="H788">
        <v>584</v>
      </c>
      <c r="I788">
        <v>30</v>
      </c>
      <c r="J788">
        <v>100</v>
      </c>
      <c r="K788" t="s">
        <v>36</v>
      </c>
      <c r="L788">
        <v>31</v>
      </c>
      <c r="M788" t="s">
        <v>21</v>
      </c>
      <c r="N788">
        <f>COUNTIF(order_data[Order_ID],order_data[[#This Row],[Order_ID]])</f>
        <v>1</v>
      </c>
      <c r="O788">
        <f>order_data[[#This Row],[Order_Value]]-order_data[[#This Row],[Discount]]</f>
        <v>484</v>
      </c>
      <c r="P788">
        <f>order_data[[#This Row],[Order_Value]]+order_data[[#This Row],[Delivery_Fee]]-order_data[[#This Row],[Discount]]</f>
        <v>514</v>
      </c>
      <c r="Q788" t="str">
        <f>TEXT(order_data[[#This Row],[Order_Date]],"mmm")</f>
        <v>Jan</v>
      </c>
      <c r="R788">
        <f>MONTH(order_data[[#This Row],[Order_Date]])</f>
        <v>1</v>
      </c>
    </row>
    <row r="789" spans="1:18" x14ac:dyDescent="0.35">
      <c r="A789" t="s">
        <v>1386</v>
      </c>
      <c r="B789" t="s">
        <v>150</v>
      </c>
      <c r="C789" t="s">
        <v>351</v>
      </c>
      <c r="D789" t="s">
        <v>16</v>
      </c>
      <c r="E789" t="s">
        <v>131</v>
      </c>
      <c r="F789" t="s">
        <v>55</v>
      </c>
      <c r="G789" t="s">
        <v>28</v>
      </c>
      <c r="H789">
        <v>517</v>
      </c>
      <c r="I789">
        <v>40</v>
      </c>
      <c r="J789">
        <v>0</v>
      </c>
      <c r="K789" t="s">
        <v>36</v>
      </c>
      <c r="L789">
        <v>48</v>
      </c>
      <c r="M789" t="s">
        <v>21</v>
      </c>
      <c r="N789">
        <f>COUNTIF(order_data[Order_ID],order_data[[#This Row],[Order_ID]])</f>
        <v>1</v>
      </c>
      <c r="O789">
        <f>order_data[[#This Row],[Order_Value]]-order_data[[#This Row],[Discount]]</f>
        <v>517</v>
      </c>
      <c r="P789">
        <f>order_data[[#This Row],[Order_Value]]+order_data[[#This Row],[Delivery_Fee]]-order_data[[#This Row],[Discount]]</f>
        <v>557</v>
      </c>
      <c r="Q789" t="str">
        <f>TEXT(order_data[[#This Row],[Order_Date]],"mmm")</f>
        <v>Feb</v>
      </c>
      <c r="R789">
        <f>MONTH(order_data[[#This Row],[Order_Date]])</f>
        <v>2</v>
      </c>
    </row>
    <row r="790" spans="1:18" x14ac:dyDescent="0.35">
      <c r="A790" t="s">
        <v>1387</v>
      </c>
      <c r="B790" t="s">
        <v>244</v>
      </c>
      <c r="C790" t="s">
        <v>15</v>
      </c>
      <c r="D790" t="s">
        <v>16</v>
      </c>
      <c r="E790" t="s">
        <v>89</v>
      </c>
      <c r="F790" t="s">
        <v>18</v>
      </c>
      <c r="G790" t="s">
        <v>107</v>
      </c>
      <c r="H790">
        <v>437</v>
      </c>
      <c r="I790">
        <v>50</v>
      </c>
      <c r="J790">
        <v>30</v>
      </c>
      <c r="K790" t="s">
        <v>20</v>
      </c>
      <c r="L790">
        <v>33</v>
      </c>
      <c r="M790" t="s">
        <v>21</v>
      </c>
      <c r="N790">
        <f>COUNTIF(order_data[Order_ID],order_data[[#This Row],[Order_ID]])</f>
        <v>1</v>
      </c>
      <c r="O790">
        <f>order_data[[#This Row],[Order_Value]]-order_data[[#This Row],[Discount]]</f>
        <v>407</v>
      </c>
      <c r="P790">
        <f>order_data[[#This Row],[Order_Value]]+order_data[[#This Row],[Delivery_Fee]]-order_data[[#This Row],[Discount]]</f>
        <v>457</v>
      </c>
      <c r="Q790" t="str">
        <f>TEXT(order_data[[#This Row],[Order_Date]],"mmm")</f>
        <v>Feb</v>
      </c>
      <c r="R790">
        <f>MONTH(order_data[[#This Row],[Order_Date]])</f>
        <v>2</v>
      </c>
    </row>
    <row r="791" spans="1:18" x14ac:dyDescent="0.35">
      <c r="A791" t="s">
        <v>1388</v>
      </c>
      <c r="B791" t="s">
        <v>247</v>
      </c>
      <c r="C791" t="s">
        <v>858</v>
      </c>
      <c r="D791" t="s">
        <v>16</v>
      </c>
      <c r="E791" t="s">
        <v>89</v>
      </c>
      <c r="F791" t="s">
        <v>18</v>
      </c>
      <c r="G791" t="s">
        <v>42</v>
      </c>
      <c r="H791">
        <v>610</v>
      </c>
      <c r="I791">
        <v>50</v>
      </c>
      <c r="J791">
        <v>0</v>
      </c>
      <c r="K791" t="s">
        <v>36</v>
      </c>
      <c r="L791">
        <v>24</v>
      </c>
      <c r="M791" t="s">
        <v>21</v>
      </c>
      <c r="N791">
        <f>COUNTIF(order_data[Order_ID],order_data[[#This Row],[Order_ID]])</f>
        <v>1</v>
      </c>
      <c r="O791">
        <f>order_data[[#This Row],[Order_Value]]-order_data[[#This Row],[Discount]]</f>
        <v>610</v>
      </c>
      <c r="P791">
        <f>order_data[[#This Row],[Order_Value]]+order_data[[#This Row],[Delivery_Fee]]-order_data[[#This Row],[Discount]]</f>
        <v>660</v>
      </c>
      <c r="Q791" t="str">
        <f>TEXT(order_data[[#This Row],[Order_Date]],"mmm")</f>
        <v>Mar</v>
      </c>
      <c r="R791">
        <f>MONTH(order_data[[#This Row],[Order_Date]])</f>
        <v>3</v>
      </c>
    </row>
    <row r="792" spans="1:18" x14ac:dyDescent="0.35">
      <c r="A792" t="s">
        <v>1389</v>
      </c>
      <c r="B792" t="s">
        <v>76</v>
      </c>
      <c r="C792" t="s">
        <v>1338</v>
      </c>
      <c r="D792" t="s">
        <v>40</v>
      </c>
      <c r="E792" t="s">
        <v>41</v>
      </c>
      <c r="F792" t="s">
        <v>27</v>
      </c>
      <c r="G792" t="s">
        <v>42</v>
      </c>
      <c r="H792">
        <v>681</v>
      </c>
      <c r="I792">
        <v>50</v>
      </c>
      <c r="J792">
        <v>20</v>
      </c>
      <c r="K792" t="s">
        <v>36</v>
      </c>
      <c r="L792">
        <v>47</v>
      </c>
      <c r="M792" t="s">
        <v>21</v>
      </c>
      <c r="N792">
        <f>COUNTIF(order_data[Order_ID],order_data[[#This Row],[Order_ID]])</f>
        <v>1</v>
      </c>
      <c r="O792">
        <f>order_data[[#This Row],[Order_Value]]-order_data[[#This Row],[Discount]]</f>
        <v>661</v>
      </c>
      <c r="P792">
        <f>order_data[[#This Row],[Order_Value]]+order_data[[#This Row],[Delivery_Fee]]-order_data[[#This Row],[Discount]]</f>
        <v>711</v>
      </c>
      <c r="Q792" t="str">
        <f>TEXT(order_data[[#This Row],[Order_Date]],"mmm")</f>
        <v>Feb</v>
      </c>
      <c r="R792">
        <f>MONTH(order_data[[#This Row],[Order_Date]])</f>
        <v>2</v>
      </c>
    </row>
    <row r="793" spans="1:18" x14ac:dyDescent="0.35">
      <c r="A793" t="s">
        <v>1390</v>
      </c>
      <c r="B793" t="s">
        <v>118</v>
      </c>
      <c r="C793" t="s">
        <v>650</v>
      </c>
      <c r="D793" t="s">
        <v>16</v>
      </c>
      <c r="E793" t="s">
        <v>17</v>
      </c>
      <c r="F793" t="s">
        <v>18</v>
      </c>
      <c r="G793" t="s">
        <v>63</v>
      </c>
      <c r="H793">
        <v>233</v>
      </c>
      <c r="I793">
        <v>40</v>
      </c>
      <c r="J793">
        <v>30</v>
      </c>
      <c r="K793" t="s">
        <v>36</v>
      </c>
      <c r="L793">
        <v>46</v>
      </c>
      <c r="M793" t="s">
        <v>21</v>
      </c>
      <c r="N793">
        <f>COUNTIF(order_data[Order_ID],order_data[[#This Row],[Order_ID]])</f>
        <v>1</v>
      </c>
      <c r="O793">
        <f>order_data[[#This Row],[Order_Value]]-order_data[[#This Row],[Discount]]</f>
        <v>203</v>
      </c>
      <c r="P793">
        <f>order_data[[#This Row],[Order_Value]]+order_data[[#This Row],[Delivery_Fee]]-order_data[[#This Row],[Discount]]</f>
        <v>243</v>
      </c>
      <c r="Q793" t="str">
        <f>TEXT(order_data[[#This Row],[Order_Date]],"mmm")</f>
        <v>Mar</v>
      </c>
      <c r="R793">
        <f>MONTH(order_data[[#This Row],[Order_Date]])</f>
        <v>3</v>
      </c>
    </row>
    <row r="794" spans="1:18" x14ac:dyDescent="0.35">
      <c r="A794" t="s">
        <v>1391</v>
      </c>
      <c r="B794" t="s">
        <v>295</v>
      </c>
      <c r="C794" t="s">
        <v>361</v>
      </c>
      <c r="D794" t="s">
        <v>25</v>
      </c>
      <c r="E794" t="s">
        <v>26</v>
      </c>
      <c r="F794" t="s">
        <v>27</v>
      </c>
      <c r="G794" t="s">
        <v>35</v>
      </c>
      <c r="H794">
        <v>648</v>
      </c>
      <c r="I794">
        <v>20</v>
      </c>
      <c r="J794">
        <v>0</v>
      </c>
      <c r="K794" t="s">
        <v>20</v>
      </c>
      <c r="L794">
        <v>37</v>
      </c>
      <c r="M794" t="s">
        <v>21</v>
      </c>
      <c r="N794">
        <f>COUNTIF(order_data[Order_ID],order_data[[#This Row],[Order_ID]])</f>
        <v>1</v>
      </c>
      <c r="O794">
        <f>order_data[[#This Row],[Order_Value]]-order_data[[#This Row],[Discount]]</f>
        <v>648</v>
      </c>
      <c r="P794">
        <f>order_data[[#This Row],[Order_Value]]+order_data[[#This Row],[Delivery_Fee]]-order_data[[#This Row],[Discount]]</f>
        <v>668</v>
      </c>
      <c r="Q794" t="str">
        <f>TEXT(order_data[[#This Row],[Order_Date]],"mmm")</f>
        <v>Jan</v>
      </c>
      <c r="R794">
        <f>MONTH(order_data[[#This Row],[Order_Date]])</f>
        <v>1</v>
      </c>
    </row>
    <row r="795" spans="1:18" x14ac:dyDescent="0.35">
      <c r="A795" t="s">
        <v>1392</v>
      </c>
      <c r="B795" t="s">
        <v>72</v>
      </c>
      <c r="C795" t="s">
        <v>967</v>
      </c>
      <c r="D795" t="s">
        <v>40</v>
      </c>
      <c r="E795" t="s">
        <v>111</v>
      </c>
      <c r="F795" t="s">
        <v>18</v>
      </c>
      <c r="G795" t="s">
        <v>49</v>
      </c>
      <c r="H795">
        <v>353</v>
      </c>
      <c r="I795">
        <v>20</v>
      </c>
      <c r="J795">
        <v>0</v>
      </c>
      <c r="K795" t="s">
        <v>36</v>
      </c>
      <c r="L795">
        <v>27</v>
      </c>
      <c r="M795" t="s">
        <v>21</v>
      </c>
      <c r="N795">
        <f>COUNTIF(order_data[Order_ID],order_data[[#This Row],[Order_ID]])</f>
        <v>1</v>
      </c>
      <c r="O795">
        <f>order_data[[#This Row],[Order_Value]]-order_data[[#This Row],[Discount]]</f>
        <v>353</v>
      </c>
      <c r="P795">
        <f>order_data[[#This Row],[Order_Value]]+order_data[[#This Row],[Delivery_Fee]]-order_data[[#This Row],[Discount]]</f>
        <v>373</v>
      </c>
      <c r="Q795" t="str">
        <f>TEXT(order_data[[#This Row],[Order_Date]],"mmm")</f>
        <v>Jan</v>
      </c>
      <c r="R795">
        <f>MONTH(order_data[[#This Row],[Order_Date]])</f>
        <v>1</v>
      </c>
    </row>
    <row r="796" spans="1:18" x14ac:dyDescent="0.35">
      <c r="A796" t="s">
        <v>1393</v>
      </c>
      <c r="B796" t="s">
        <v>388</v>
      </c>
      <c r="C796" t="s">
        <v>1394</v>
      </c>
      <c r="D796" t="s">
        <v>25</v>
      </c>
      <c r="E796" t="s">
        <v>34</v>
      </c>
      <c r="F796" t="s">
        <v>27</v>
      </c>
      <c r="G796" t="s">
        <v>59</v>
      </c>
      <c r="H796">
        <v>446</v>
      </c>
      <c r="I796">
        <v>50</v>
      </c>
      <c r="J796">
        <v>20</v>
      </c>
      <c r="K796" t="s">
        <v>20</v>
      </c>
      <c r="L796">
        <v>54</v>
      </c>
      <c r="M796" t="s">
        <v>21</v>
      </c>
      <c r="N796">
        <f>COUNTIF(order_data[Order_ID],order_data[[#This Row],[Order_ID]])</f>
        <v>1</v>
      </c>
      <c r="O796">
        <f>order_data[[#This Row],[Order_Value]]-order_data[[#This Row],[Discount]]</f>
        <v>426</v>
      </c>
      <c r="P796">
        <f>order_data[[#This Row],[Order_Value]]+order_data[[#This Row],[Delivery_Fee]]-order_data[[#This Row],[Discount]]</f>
        <v>476</v>
      </c>
      <c r="Q796" t="str">
        <f>TEXT(order_data[[#This Row],[Order_Date]],"mmm")</f>
        <v>Mar</v>
      </c>
      <c r="R796">
        <f>MONTH(order_data[[#This Row],[Order_Date]])</f>
        <v>3</v>
      </c>
    </row>
    <row r="797" spans="1:18" x14ac:dyDescent="0.35">
      <c r="A797" t="s">
        <v>1395</v>
      </c>
      <c r="B797" t="s">
        <v>541</v>
      </c>
      <c r="C797" t="s">
        <v>1396</v>
      </c>
      <c r="D797" t="s">
        <v>16</v>
      </c>
      <c r="E797" t="s">
        <v>89</v>
      </c>
      <c r="F797" t="s">
        <v>18</v>
      </c>
      <c r="G797" t="s">
        <v>35</v>
      </c>
      <c r="H797">
        <v>503</v>
      </c>
      <c r="I797">
        <v>40</v>
      </c>
      <c r="J797">
        <v>100</v>
      </c>
      <c r="K797" t="s">
        <v>20</v>
      </c>
      <c r="L797">
        <v>35</v>
      </c>
      <c r="M797" t="s">
        <v>21</v>
      </c>
      <c r="N797">
        <f>COUNTIF(order_data[Order_ID],order_data[[#This Row],[Order_ID]])</f>
        <v>1</v>
      </c>
      <c r="O797">
        <f>order_data[[#This Row],[Order_Value]]-order_data[[#This Row],[Discount]]</f>
        <v>403</v>
      </c>
      <c r="P797">
        <f>order_data[[#This Row],[Order_Value]]+order_data[[#This Row],[Delivery_Fee]]-order_data[[#This Row],[Discount]]</f>
        <v>443</v>
      </c>
      <c r="Q797" t="str">
        <f>TEXT(order_data[[#This Row],[Order_Date]],"mmm")</f>
        <v>Jan</v>
      </c>
      <c r="R797">
        <f>MONTH(order_data[[#This Row],[Order_Date]])</f>
        <v>1</v>
      </c>
    </row>
    <row r="798" spans="1:18" x14ac:dyDescent="0.35">
      <c r="A798" t="s">
        <v>1397</v>
      </c>
      <c r="B798" t="s">
        <v>167</v>
      </c>
      <c r="C798" t="s">
        <v>263</v>
      </c>
      <c r="D798" t="s">
        <v>53</v>
      </c>
      <c r="E798" t="s">
        <v>54</v>
      </c>
      <c r="F798" t="s">
        <v>55</v>
      </c>
      <c r="G798" t="s">
        <v>176</v>
      </c>
      <c r="H798">
        <v>606</v>
      </c>
      <c r="I798">
        <v>50</v>
      </c>
      <c r="J798">
        <v>20</v>
      </c>
      <c r="K798" t="s">
        <v>20</v>
      </c>
      <c r="L798">
        <v>53</v>
      </c>
      <c r="M798" t="s">
        <v>21</v>
      </c>
      <c r="N798">
        <f>COUNTIF(order_data[Order_ID],order_data[[#This Row],[Order_ID]])</f>
        <v>1</v>
      </c>
      <c r="O798">
        <f>order_data[[#This Row],[Order_Value]]-order_data[[#This Row],[Discount]]</f>
        <v>586</v>
      </c>
      <c r="P798">
        <f>order_data[[#This Row],[Order_Value]]+order_data[[#This Row],[Delivery_Fee]]-order_data[[#This Row],[Discount]]</f>
        <v>636</v>
      </c>
      <c r="Q798" t="str">
        <f>TEXT(order_data[[#This Row],[Order_Date]],"mmm")</f>
        <v>Feb</v>
      </c>
      <c r="R798">
        <f>MONTH(order_data[[#This Row],[Order_Date]])</f>
        <v>2</v>
      </c>
    </row>
    <row r="799" spans="1:18" x14ac:dyDescent="0.35">
      <c r="A799" t="s">
        <v>1398</v>
      </c>
      <c r="B799" t="s">
        <v>541</v>
      </c>
      <c r="C799" t="s">
        <v>1399</v>
      </c>
      <c r="D799" t="s">
        <v>46</v>
      </c>
      <c r="E799" t="s">
        <v>47</v>
      </c>
      <c r="F799" t="s">
        <v>48</v>
      </c>
      <c r="G799" t="s">
        <v>107</v>
      </c>
      <c r="H799">
        <v>521</v>
      </c>
      <c r="I799">
        <v>50</v>
      </c>
      <c r="J799">
        <v>20</v>
      </c>
      <c r="K799" t="s">
        <v>36</v>
      </c>
      <c r="L799">
        <v>55</v>
      </c>
      <c r="M799" t="s">
        <v>21</v>
      </c>
      <c r="N799">
        <f>COUNTIF(order_data[Order_ID],order_data[[#This Row],[Order_ID]])</f>
        <v>1</v>
      </c>
      <c r="O799">
        <f>order_data[[#This Row],[Order_Value]]-order_data[[#This Row],[Discount]]</f>
        <v>501</v>
      </c>
      <c r="P799">
        <f>order_data[[#This Row],[Order_Value]]+order_data[[#This Row],[Delivery_Fee]]-order_data[[#This Row],[Discount]]</f>
        <v>551</v>
      </c>
      <c r="Q799" t="str">
        <f>TEXT(order_data[[#This Row],[Order_Date]],"mmm")</f>
        <v>Jan</v>
      </c>
      <c r="R799">
        <f>MONTH(order_data[[#This Row],[Order_Date]])</f>
        <v>1</v>
      </c>
    </row>
    <row r="800" spans="1:18" x14ac:dyDescent="0.35">
      <c r="A800" t="s">
        <v>1400</v>
      </c>
      <c r="B800" t="s">
        <v>339</v>
      </c>
      <c r="C800" t="s">
        <v>1401</v>
      </c>
      <c r="D800" t="s">
        <v>53</v>
      </c>
      <c r="E800" t="s">
        <v>54</v>
      </c>
      <c r="F800" t="s">
        <v>55</v>
      </c>
      <c r="G800" t="s">
        <v>35</v>
      </c>
      <c r="H800">
        <v>483</v>
      </c>
      <c r="I800">
        <v>40</v>
      </c>
      <c r="J800">
        <v>20</v>
      </c>
      <c r="K800" t="s">
        <v>20</v>
      </c>
      <c r="L800">
        <v>59</v>
      </c>
      <c r="M800" t="s">
        <v>21</v>
      </c>
      <c r="N800">
        <f>COUNTIF(order_data[Order_ID],order_data[[#This Row],[Order_ID]])</f>
        <v>1</v>
      </c>
      <c r="O800">
        <f>order_data[[#This Row],[Order_Value]]-order_data[[#This Row],[Discount]]</f>
        <v>463</v>
      </c>
      <c r="P800">
        <f>order_data[[#This Row],[Order_Value]]+order_data[[#This Row],[Delivery_Fee]]-order_data[[#This Row],[Discount]]</f>
        <v>503</v>
      </c>
      <c r="Q800" t="str">
        <f>TEXT(order_data[[#This Row],[Order_Date]],"mmm")</f>
        <v>Jan</v>
      </c>
      <c r="R800">
        <f>MONTH(order_data[[#This Row],[Order_Date]])</f>
        <v>1</v>
      </c>
    </row>
    <row r="801" spans="1:18" x14ac:dyDescent="0.35">
      <c r="A801" t="s">
        <v>1402</v>
      </c>
      <c r="B801" t="s">
        <v>398</v>
      </c>
      <c r="C801" t="s">
        <v>1403</v>
      </c>
      <c r="D801" t="s">
        <v>53</v>
      </c>
      <c r="E801" t="s">
        <v>152</v>
      </c>
      <c r="F801" t="s">
        <v>18</v>
      </c>
      <c r="G801" t="s">
        <v>107</v>
      </c>
      <c r="H801">
        <v>462</v>
      </c>
      <c r="I801">
        <v>50</v>
      </c>
      <c r="J801">
        <v>0</v>
      </c>
      <c r="K801" t="s">
        <v>36</v>
      </c>
      <c r="L801">
        <v>33</v>
      </c>
      <c r="M801" t="s">
        <v>21</v>
      </c>
      <c r="N801">
        <f>COUNTIF(order_data[Order_ID],order_data[[#This Row],[Order_ID]])</f>
        <v>1</v>
      </c>
      <c r="O801">
        <f>order_data[[#This Row],[Order_Value]]-order_data[[#This Row],[Discount]]</f>
        <v>462</v>
      </c>
      <c r="P801">
        <f>order_data[[#This Row],[Order_Value]]+order_data[[#This Row],[Delivery_Fee]]-order_data[[#This Row],[Discount]]</f>
        <v>512</v>
      </c>
      <c r="Q801" t="str">
        <f>TEXT(order_data[[#This Row],[Order_Date]],"mmm")</f>
        <v>Feb</v>
      </c>
      <c r="R801">
        <f>MONTH(order_data[[#This Row],[Order_Date]])</f>
        <v>2</v>
      </c>
    </row>
    <row r="802" spans="1:18" x14ac:dyDescent="0.35">
      <c r="A802" t="s">
        <v>1404</v>
      </c>
      <c r="B802" t="s">
        <v>126</v>
      </c>
      <c r="C802" t="s">
        <v>441</v>
      </c>
      <c r="D802" t="s">
        <v>16</v>
      </c>
      <c r="E802" t="s">
        <v>89</v>
      </c>
      <c r="F802" t="s">
        <v>18</v>
      </c>
      <c r="G802" t="s">
        <v>42</v>
      </c>
      <c r="H802">
        <v>308</v>
      </c>
      <c r="I802">
        <v>30</v>
      </c>
      <c r="J802">
        <v>100</v>
      </c>
      <c r="K802" t="s">
        <v>29</v>
      </c>
      <c r="L802">
        <v>27</v>
      </c>
      <c r="M802" t="s">
        <v>21</v>
      </c>
      <c r="N802">
        <f>COUNTIF(order_data[Order_ID],order_data[[#This Row],[Order_ID]])</f>
        <v>1</v>
      </c>
      <c r="O802">
        <f>order_data[[#This Row],[Order_Value]]-order_data[[#This Row],[Discount]]</f>
        <v>208</v>
      </c>
      <c r="P802">
        <f>order_data[[#This Row],[Order_Value]]+order_data[[#This Row],[Delivery_Fee]]-order_data[[#This Row],[Discount]]</f>
        <v>238</v>
      </c>
      <c r="Q802" t="str">
        <f>TEXT(order_data[[#This Row],[Order_Date]],"mmm")</f>
        <v>Mar</v>
      </c>
      <c r="R802">
        <f>MONTH(order_data[[#This Row],[Order_Date]])</f>
        <v>3</v>
      </c>
    </row>
    <row r="803" spans="1:18" x14ac:dyDescent="0.35">
      <c r="A803" t="s">
        <v>1405</v>
      </c>
      <c r="B803" t="s">
        <v>583</v>
      </c>
      <c r="C803" t="s">
        <v>1406</v>
      </c>
      <c r="D803" t="s">
        <v>25</v>
      </c>
      <c r="E803" t="s">
        <v>26</v>
      </c>
      <c r="F803" t="s">
        <v>27</v>
      </c>
      <c r="G803" t="s">
        <v>19</v>
      </c>
      <c r="H803">
        <v>516</v>
      </c>
      <c r="I803">
        <v>50</v>
      </c>
      <c r="J803">
        <v>0</v>
      </c>
      <c r="K803" t="s">
        <v>20</v>
      </c>
      <c r="L803">
        <v>36</v>
      </c>
      <c r="M803" t="s">
        <v>21</v>
      </c>
      <c r="N803">
        <f>COUNTIF(order_data[Order_ID],order_data[[#This Row],[Order_ID]])</f>
        <v>1</v>
      </c>
      <c r="O803">
        <f>order_data[[#This Row],[Order_Value]]-order_data[[#This Row],[Discount]]</f>
        <v>516</v>
      </c>
      <c r="P803">
        <f>order_data[[#This Row],[Order_Value]]+order_data[[#This Row],[Delivery_Fee]]-order_data[[#This Row],[Discount]]</f>
        <v>566</v>
      </c>
      <c r="Q803" t="str">
        <f>TEXT(order_data[[#This Row],[Order_Date]],"mmm")</f>
        <v>Jan</v>
      </c>
      <c r="R803">
        <f>MONTH(order_data[[#This Row],[Order_Date]])</f>
        <v>1</v>
      </c>
    </row>
    <row r="804" spans="1:18" x14ac:dyDescent="0.35">
      <c r="A804" t="s">
        <v>1407</v>
      </c>
      <c r="B804" t="s">
        <v>181</v>
      </c>
      <c r="C804" t="s">
        <v>155</v>
      </c>
      <c r="D804" t="s">
        <v>40</v>
      </c>
      <c r="E804" t="s">
        <v>67</v>
      </c>
      <c r="F804" t="s">
        <v>48</v>
      </c>
      <c r="G804" t="s">
        <v>28</v>
      </c>
      <c r="H804">
        <v>679</v>
      </c>
      <c r="I804">
        <v>30</v>
      </c>
      <c r="J804">
        <v>50</v>
      </c>
      <c r="K804" t="s">
        <v>29</v>
      </c>
      <c r="L804">
        <v>37</v>
      </c>
      <c r="M804" t="s">
        <v>21</v>
      </c>
      <c r="N804">
        <f>COUNTIF(order_data[Order_ID],order_data[[#This Row],[Order_ID]])</f>
        <v>1</v>
      </c>
      <c r="O804">
        <f>order_data[[#This Row],[Order_Value]]-order_data[[#This Row],[Discount]]</f>
        <v>629</v>
      </c>
      <c r="P804">
        <f>order_data[[#This Row],[Order_Value]]+order_data[[#This Row],[Delivery_Fee]]-order_data[[#This Row],[Discount]]</f>
        <v>659</v>
      </c>
      <c r="Q804" t="str">
        <f>TEXT(order_data[[#This Row],[Order_Date]],"mmm")</f>
        <v>Feb</v>
      </c>
      <c r="R804">
        <f>MONTH(order_data[[#This Row],[Order_Date]])</f>
        <v>2</v>
      </c>
    </row>
    <row r="805" spans="1:18" x14ac:dyDescent="0.35">
      <c r="A805" t="s">
        <v>1408</v>
      </c>
      <c r="B805" t="s">
        <v>267</v>
      </c>
      <c r="C805" t="s">
        <v>307</v>
      </c>
      <c r="D805" t="s">
        <v>40</v>
      </c>
      <c r="E805" t="s">
        <v>41</v>
      </c>
      <c r="F805" t="s">
        <v>27</v>
      </c>
      <c r="G805" t="s">
        <v>42</v>
      </c>
      <c r="H805">
        <v>361</v>
      </c>
      <c r="I805">
        <v>40</v>
      </c>
      <c r="J805">
        <v>20</v>
      </c>
      <c r="K805" t="s">
        <v>20</v>
      </c>
      <c r="L805">
        <v>27</v>
      </c>
      <c r="M805" t="s">
        <v>21</v>
      </c>
      <c r="N805">
        <f>COUNTIF(order_data[Order_ID],order_data[[#This Row],[Order_ID]])</f>
        <v>1</v>
      </c>
      <c r="O805">
        <f>order_data[[#This Row],[Order_Value]]-order_data[[#This Row],[Discount]]</f>
        <v>341</v>
      </c>
      <c r="P805">
        <f>order_data[[#This Row],[Order_Value]]+order_data[[#This Row],[Delivery_Fee]]-order_data[[#This Row],[Discount]]</f>
        <v>381</v>
      </c>
      <c r="Q805" t="str">
        <f>TEXT(order_data[[#This Row],[Order_Date]],"mmm")</f>
        <v>Jan</v>
      </c>
      <c r="R805">
        <f>MONTH(order_data[[#This Row],[Order_Date]])</f>
        <v>1</v>
      </c>
    </row>
    <row r="806" spans="1:18" x14ac:dyDescent="0.35">
      <c r="A806" t="s">
        <v>1409</v>
      </c>
      <c r="B806" t="s">
        <v>368</v>
      </c>
      <c r="C806" t="s">
        <v>1410</v>
      </c>
      <c r="D806" t="s">
        <v>25</v>
      </c>
      <c r="E806" t="s">
        <v>34</v>
      </c>
      <c r="F806" t="s">
        <v>27</v>
      </c>
      <c r="G806" t="s">
        <v>107</v>
      </c>
      <c r="H806">
        <v>483</v>
      </c>
      <c r="I806">
        <v>50</v>
      </c>
      <c r="J806">
        <v>100</v>
      </c>
      <c r="K806" t="s">
        <v>29</v>
      </c>
      <c r="L806">
        <v>52</v>
      </c>
      <c r="M806" t="s">
        <v>30</v>
      </c>
      <c r="N806">
        <f>COUNTIF(order_data[Order_ID],order_data[[#This Row],[Order_ID]])</f>
        <v>1</v>
      </c>
      <c r="O806">
        <f>order_data[[#This Row],[Order_Value]]-order_data[[#This Row],[Discount]]</f>
        <v>383</v>
      </c>
      <c r="P806">
        <f>order_data[[#This Row],[Order_Value]]+order_data[[#This Row],[Delivery_Fee]]-order_data[[#This Row],[Discount]]</f>
        <v>433</v>
      </c>
      <c r="Q806" t="str">
        <f>TEXT(order_data[[#This Row],[Order_Date]],"mmm")</f>
        <v>Feb</v>
      </c>
      <c r="R806">
        <f>MONTH(order_data[[#This Row],[Order_Date]])</f>
        <v>2</v>
      </c>
    </row>
    <row r="807" spans="1:18" x14ac:dyDescent="0.35">
      <c r="A807" t="s">
        <v>1411</v>
      </c>
      <c r="B807" t="s">
        <v>150</v>
      </c>
      <c r="C807" t="s">
        <v>1322</v>
      </c>
      <c r="D807" t="s">
        <v>40</v>
      </c>
      <c r="E807" t="s">
        <v>41</v>
      </c>
      <c r="F807" t="s">
        <v>27</v>
      </c>
      <c r="G807" t="s">
        <v>74</v>
      </c>
      <c r="H807">
        <v>289</v>
      </c>
      <c r="I807">
        <v>40</v>
      </c>
      <c r="J807">
        <v>0</v>
      </c>
      <c r="K807" t="s">
        <v>36</v>
      </c>
      <c r="L807">
        <v>54</v>
      </c>
      <c r="M807" t="s">
        <v>30</v>
      </c>
      <c r="N807">
        <f>COUNTIF(order_data[Order_ID],order_data[[#This Row],[Order_ID]])</f>
        <v>1</v>
      </c>
      <c r="O807">
        <f>order_data[[#This Row],[Order_Value]]-order_data[[#This Row],[Discount]]</f>
        <v>289</v>
      </c>
      <c r="P807">
        <f>order_data[[#This Row],[Order_Value]]+order_data[[#This Row],[Delivery_Fee]]-order_data[[#This Row],[Discount]]</f>
        <v>329</v>
      </c>
      <c r="Q807" t="str">
        <f>TEXT(order_data[[#This Row],[Order_Date]],"mmm")</f>
        <v>Feb</v>
      </c>
      <c r="R807">
        <f>MONTH(order_data[[#This Row],[Order_Date]])</f>
        <v>2</v>
      </c>
    </row>
    <row r="808" spans="1:18" x14ac:dyDescent="0.35">
      <c r="A808" t="s">
        <v>1412</v>
      </c>
      <c r="B808" t="s">
        <v>118</v>
      </c>
      <c r="C808" t="s">
        <v>1413</v>
      </c>
      <c r="D808" t="s">
        <v>16</v>
      </c>
      <c r="E808" t="s">
        <v>17</v>
      </c>
      <c r="F808" t="s">
        <v>18</v>
      </c>
      <c r="G808" t="s">
        <v>19</v>
      </c>
      <c r="H808">
        <v>346</v>
      </c>
      <c r="I808">
        <v>50</v>
      </c>
      <c r="J808">
        <v>0</v>
      </c>
      <c r="K808" t="s">
        <v>20</v>
      </c>
      <c r="L808">
        <v>47</v>
      </c>
      <c r="M808" t="s">
        <v>21</v>
      </c>
      <c r="N808">
        <f>COUNTIF(order_data[Order_ID],order_data[[#This Row],[Order_ID]])</f>
        <v>1</v>
      </c>
      <c r="O808">
        <f>order_data[[#This Row],[Order_Value]]-order_data[[#This Row],[Discount]]</f>
        <v>346</v>
      </c>
      <c r="P808">
        <f>order_data[[#This Row],[Order_Value]]+order_data[[#This Row],[Delivery_Fee]]-order_data[[#This Row],[Discount]]</f>
        <v>396</v>
      </c>
      <c r="Q808" t="str">
        <f>TEXT(order_data[[#This Row],[Order_Date]],"mmm")</f>
        <v>Mar</v>
      </c>
      <c r="R808">
        <f>MONTH(order_data[[#This Row],[Order_Date]])</f>
        <v>3</v>
      </c>
    </row>
    <row r="809" spans="1:18" x14ac:dyDescent="0.35">
      <c r="A809" t="s">
        <v>1414</v>
      </c>
      <c r="B809" t="s">
        <v>473</v>
      </c>
      <c r="C809" t="s">
        <v>208</v>
      </c>
      <c r="D809" t="s">
        <v>16</v>
      </c>
      <c r="E809" t="s">
        <v>17</v>
      </c>
      <c r="F809" t="s">
        <v>18</v>
      </c>
      <c r="G809" t="s">
        <v>35</v>
      </c>
      <c r="H809">
        <v>595</v>
      </c>
      <c r="I809">
        <v>40</v>
      </c>
      <c r="J809">
        <v>30</v>
      </c>
      <c r="K809" t="s">
        <v>20</v>
      </c>
      <c r="L809">
        <v>31</v>
      </c>
      <c r="M809" t="s">
        <v>21</v>
      </c>
      <c r="N809">
        <f>COUNTIF(order_data[Order_ID],order_data[[#This Row],[Order_ID]])</f>
        <v>1</v>
      </c>
      <c r="O809">
        <f>order_data[[#This Row],[Order_Value]]-order_data[[#This Row],[Discount]]</f>
        <v>565</v>
      </c>
      <c r="P809">
        <f>order_data[[#This Row],[Order_Value]]+order_data[[#This Row],[Delivery_Fee]]-order_data[[#This Row],[Discount]]</f>
        <v>605</v>
      </c>
      <c r="Q809" t="str">
        <f>TEXT(order_data[[#This Row],[Order_Date]],"mmm")</f>
        <v>Mar</v>
      </c>
      <c r="R809">
        <f>MONTH(order_data[[#This Row],[Order_Date]])</f>
        <v>3</v>
      </c>
    </row>
    <row r="810" spans="1:18" x14ac:dyDescent="0.35">
      <c r="A810" t="s">
        <v>1415</v>
      </c>
      <c r="B810" t="s">
        <v>435</v>
      </c>
      <c r="C810" t="s">
        <v>690</v>
      </c>
      <c r="D810" t="s">
        <v>53</v>
      </c>
      <c r="E810" t="s">
        <v>152</v>
      </c>
      <c r="F810" t="s">
        <v>18</v>
      </c>
      <c r="G810" t="s">
        <v>74</v>
      </c>
      <c r="H810">
        <v>570</v>
      </c>
      <c r="I810">
        <v>20</v>
      </c>
      <c r="J810">
        <v>100</v>
      </c>
      <c r="K810" t="s">
        <v>36</v>
      </c>
      <c r="L810">
        <v>37</v>
      </c>
      <c r="M810" t="s">
        <v>21</v>
      </c>
      <c r="N810">
        <f>COUNTIF(order_data[Order_ID],order_data[[#This Row],[Order_ID]])</f>
        <v>1</v>
      </c>
      <c r="O810">
        <f>order_data[[#This Row],[Order_Value]]-order_data[[#This Row],[Discount]]</f>
        <v>470</v>
      </c>
      <c r="P810">
        <f>order_data[[#This Row],[Order_Value]]+order_data[[#This Row],[Delivery_Fee]]-order_data[[#This Row],[Discount]]</f>
        <v>490</v>
      </c>
      <c r="Q810" t="str">
        <f>TEXT(order_data[[#This Row],[Order_Date]],"mmm")</f>
        <v>Feb</v>
      </c>
      <c r="R810">
        <f>MONTH(order_data[[#This Row],[Order_Date]])</f>
        <v>2</v>
      </c>
    </row>
    <row r="811" spans="1:18" x14ac:dyDescent="0.35">
      <c r="A811" t="s">
        <v>1416</v>
      </c>
      <c r="B811" t="s">
        <v>339</v>
      </c>
      <c r="C811" t="s">
        <v>659</v>
      </c>
      <c r="D811" t="s">
        <v>40</v>
      </c>
      <c r="E811" t="s">
        <v>41</v>
      </c>
      <c r="F811" t="s">
        <v>27</v>
      </c>
      <c r="G811" t="s">
        <v>42</v>
      </c>
      <c r="H811">
        <v>267</v>
      </c>
      <c r="I811">
        <v>30</v>
      </c>
      <c r="J811">
        <v>100</v>
      </c>
      <c r="K811" t="s">
        <v>36</v>
      </c>
      <c r="L811">
        <v>55</v>
      </c>
      <c r="M811" t="s">
        <v>21</v>
      </c>
      <c r="N811">
        <f>COUNTIF(order_data[Order_ID],order_data[[#This Row],[Order_ID]])</f>
        <v>1</v>
      </c>
      <c r="O811">
        <f>order_data[[#This Row],[Order_Value]]-order_data[[#This Row],[Discount]]</f>
        <v>167</v>
      </c>
      <c r="P811">
        <f>order_data[[#This Row],[Order_Value]]+order_data[[#This Row],[Delivery_Fee]]-order_data[[#This Row],[Discount]]</f>
        <v>197</v>
      </c>
      <c r="Q811" t="str">
        <f>TEXT(order_data[[#This Row],[Order_Date]],"mmm")</f>
        <v>Jan</v>
      </c>
      <c r="R811">
        <f>MONTH(order_data[[#This Row],[Order_Date]])</f>
        <v>1</v>
      </c>
    </row>
    <row r="812" spans="1:18" x14ac:dyDescent="0.35">
      <c r="A812" t="s">
        <v>1417</v>
      </c>
      <c r="B812" t="s">
        <v>69</v>
      </c>
      <c r="C812" t="s">
        <v>340</v>
      </c>
      <c r="D812" t="s">
        <v>25</v>
      </c>
      <c r="E812" t="s">
        <v>34</v>
      </c>
      <c r="F812" t="s">
        <v>27</v>
      </c>
      <c r="G812" t="s">
        <v>19</v>
      </c>
      <c r="H812">
        <v>399</v>
      </c>
      <c r="I812">
        <v>50</v>
      </c>
      <c r="J812">
        <v>100</v>
      </c>
      <c r="K812" t="s">
        <v>36</v>
      </c>
      <c r="L812">
        <v>52</v>
      </c>
      <c r="M812" t="s">
        <v>21</v>
      </c>
      <c r="N812">
        <f>COUNTIF(order_data[Order_ID],order_data[[#This Row],[Order_ID]])</f>
        <v>1</v>
      </c>
      <c r="O812">
        <f>order_data[[#This Row],[Order_Value]]-order_data[[#This Row],[Discount]]</f>
        <v>299</v>
      </c>
      <c r="P812">
        <f>order_data[[#This Row],[Order_Value]]+order_data[[#This Row],[Delivery_Fee]]-order_data[[#This Row],[Discount]]</f>
        <v>349</v>
      </c>
      <c r="Q812" t="str">
        <f>TEXT(order_data[[#This Row],[Order_Date]],"mmm")</f>
        <v>Feb</v>
      </c>
      <c r="R812">
        <f>MONTH(order_data[[#This Row],[Order_Date]])</f>
        <v>2</v>
      </c>
    </row>
    <row r="813" spans="1:18" x14ac:dyDescent="0.35">
      <c r="A813" t="s">
        <v>1418</v>
      </c>
      <c r="B813" t="s">
        <v>178</v>
      </c>
      <c r="C813" t="s">
        <v>1275</v>
      </c>
      <c r="D813" t="s">
        <v>16</v>
      </c>
      <c r="E813" t="s">
        <v>17</v>
      </c>
      <c r="F813" t="s">
        <v>18</v>
      </c>
      <c r="G813" t="s">
        <v>49</v>
      </c>
      <c r="H813">
        <v>679</v>
      </c>
      <c r="I813">
        <v>30</v>
      </c>
      <c r="J813">
        <v>0</v>
      </c>
      <c r="K813" t="s">
        <v>20</v>
      </c>
      <c r="L813">
        <v>46</v>
      </c>
      <c r="M813" t="s">
        <v>21</v>
      </c>
      <c r="N813">
        <f>COUNTIF(order_data[Order_ID],order_data[[#This Row],[Order_ID]])</f>
        <v>1</v>
      </c>
      <c r="O813">
        <f>order_data[[#This Row],[Order_Value]]-order_data[[#This Row],[Discount]]</f>
        <v>679</v>
      </c>
      <c r="P813">
        <f>order_data[[#This Row],[Order_Value]]+order_data[[#This Row],[Delivery_Fee]]-order_data[[#This Row],[Discount]]</f>
        <v>709</v>
      </c>
      <c r="Q813" t="str">
        <f>TEXT(order_data[[#This Row],[Order_Date]],"mmm")</f>
        <v>Feb</v>
      </c>
      <c r="R813">
        <f>MONTH(order_data[[#This Row],[Order_Date]])</f>
        <v>2</v>
      </c>
    </row>
    <row r="814" spans="1:18" x14ac:dyDescent="0.35">
      <c r="A814" t="s">
        <v>1419</v>
      </c>
      <c r="B814" t="s">
        <v>339</v>
      </c>
      <c r="C814" t="s">
        <v>1206</v>
      </c>
      <c r="D814" t="s">
        <v>53</v>
      </c>
      <c r="E814" t="s">
        <v>54</v>
      </c>
      <c r="F814" t="s">
        <v>55</v>
      </c>
      <c r="G814" t="s">
        <v>176</v>
      </c>
      <c r="H814">
        <v>625</v>
      </c>
      <c r="I814">
        <v>20</v>
      </c>
      <c r="J814">
        <v>50</v>
      </c>
      <c r="K814" t="s">
        <v>36</v>
      </c>
      <c r="L814">
        <v>27</v>
      </c>
      <c r="M814" t="s">
        <v>21</v>
      </c>
      <c r="N814">
        <f>COUNTIF(order_data[Order_ID],order_data[[#This Row],[Order_ID]])</f>
        <v>1</v>
      </c>
      <c r="O814">
        <f>order_data[[#This Row],[Order_Value]]-order_data[[#This Row],[Discount]]</f>
        <v>575</v>
      </c>
      <c r="P814">
        <f>order_data[[#This Row],[Order_Value]]+order_data[[#This Row],[Delivery_Fee]]-order_data[[#This Row],[Discount]]</f>
        <v>595</v>
      </c>
      <c r="Q814" t="str">
        <f>TEXT(order_data[[#This Row],[Order_Date]],"mmm")</f>
        <v>Jan</v>
      </c>
      <c r="R814">
        <f>MONTH(order_data[[#This Row],[Order_Date]])</f>
        <v>1</v>
      </c>
    </row>
    <row r="815" spans="1:18" x14ac:dyDescent="0.35">
      <c r="A815" t="s">
        <v>1420</v>
      </c>
      <c r="B815" t="s">
        <v>310</v>
      </c>
      <c r="C815" t="s">
        <v>1421</v>
      </c>
      <c r="D815" t="s">
        <v>16</v>
      </c>
      <c r="E815" t="s">
        <v>131</v>
      </c>
      <c r="F815" t="s">
        <v>55</v>
      </c>
      <c r="G815" t="s">
        <v>28</v>
      </c>
      <c r="H815">
        <v>495</v>
      </c>
      <c r="I815">
        <v>40</v>
      </c>
      <c r="J815">
        <v>0</v>
      </c>
      <c r="K815" t="s">
        <v>36</v>
      </c>
      <c r="L815">
        <v>21</v>
      </c>
      <c r="M815" t="s">
        <v>21</v>
      </c>
      <c r="N815">
        <f>COUNTIF(order_data[Order_ID],order_data[[#This Row],[Order_ID]])</f>
        <v>1</v>
      </c>
      <c r="O815">
        <f>order_data[[#This Row],[Order_Value]]-order_data[[#This Row],[Discount]]</f>
        <v>495</v>
      </c>
      <c r="P815">
        <f>order_data[[#This Row],[Order_Value]]+order_data[[#This Row],[Delivery_Fee]]-order_data[[#This Row],[Discount]]</f>
        <v>535</v>
      </c>
      <c r="Q815" t="str">
        <f>TEXT(order_data[[#This Row],[Order_Date]],"mmm")</f>
        <v>Feb</v>
      </c>
      <c r="R815">
        <f>MONTH(order_data[[#This Row],[Order_Date]])</f>
        <v>2</v>
      </c>
    </row>
    <row r="816" spans="1:18" x14ac:dyDescent="0.35">
      <c r="A816" t="s">
        <v>1422</v>
      </c>
      <c r="B816" t="s">
        <v>207</v>
      </c>
      <c r="C816" t="s">
        <v>1423</v>
      </c>
      <c r="D816" t="s">
        <v>46</v>
      </c>
      <c r="E816" t="s">
        <v>148</v>
      </c>
      <c r="F816" t="s">
        <v>27</v>
      </c>
      <c r="G816" t="s">
        <v>35</v>
      </c>
      <c r="H816">
        <v>793</v>
      </c>
      <c r="I816">
        <v>50</v>
      </c>
      <c r="J816">
        <v>50</v>
      </c>
      <c r="K816" t="s">
        <v>20</v>
      </c>
      <c r="L816">
        <v>44</v>
      </c>
      <c r="M816" t="s">
        <v>21</v>
      </c>
      <c r="N816">
        <f>COUNTIF(order_data[Order_ID],order_data[[#This Row],[Order_ID]])</f>
        <v>1</v>
      </c>
      <c r="O816">
        <f>order_data[[#This Row],[Order_Value]]-order_data[[#This Row],[Discount]]</f>
        <v>743</v>
      </c>
      <c r="P816">
        <f>order_data[[#This Row],[Order_Value]]+order_data[[#This Row],[Delivery_Fee]]-order_data[[#This Row],[Discount]]</f>
        <v>793</v>
      </c>
      <c r="Q816" t="str">
        <f>TEXT(order_data[[#This Row],[Order_Date]],"mmm")</f>
        <v>Jan</v>
      </c>
      <c r="R816">
        <f>MONTH(order_data[[#This Row],[Order_Date]])</f>
        <v>1</v>
      </c>
    </row>
    <row r="817" spans="1:18" x14ac:dyDescent="0.35">
      <c r="A817" t="s">
        <v>1424</v>
      </c>
      <c r="B817" t="s">
        <v>218</v>
      </c>
      <c r="C817" t="s">
        <v>1218</v>
      </c>
      <c r="D817" t="s">
        <v>46</v>
      </c>
      <c r="E817" t="s">
        <v>70</v>
      </c>
      <c r="F817" t="s">
        <v>18</v>
      </c>
      <c r="G817" t="s">
        <v>19</v>
      </c>
      <c r="H817">
        <v>465</v>
      </c>
      <c r="I817">
        <v>50</v>
      </c>
      <c r="J817">
        <v>20</v>
      </c>
      <c r="K817" t="s">
        <v>29</v>
      </c>
      <c r="L817">
        <v>59</v>
      </c>
      <c r="M817" t="s">
        <v>21</v>
      </c>
      <c r="N817">
        <f>COUNTIF(order_data[Order_ID],order_data[[#This Row],[Order_ID]])</f>
        <v>1</v>
      </c>
      <c r="O817">
        <f>order_data[[#This Row],[Order_Value]]-order_data[[#This Row],[Discount]]</f>
        <v>445</v>
      </c>
      <c r="P817">
        <f>order_data[[#This Row],[Order_Value]]+order_data[[#This Row],[Delivery_Fee]]-order_data[[#This Row],[Discount]]</f>
        <v>495</v>
      </c>
      <c r="Q817" t="str">
        <f>TEXT(order_data[[#This Row],[Order_Date]],"mmm")</f>
        <v>Feb</v>
      </c>
      <c r="R817">
        <f>MONTH(order_data[[#This Row],[Order_Date]])</f>
        <v>2</v>
      </c>
    </row>
    <row r="818" spans="1:18" x14ac:dyDescent="0.35">
      <c r="A818" t="s">
        <v>1425</v>
      </c>
      <c r="B818" t="s">
        <v>38</v>
      </c>
      <c r="C818" t="s">
        <v>1199</v>
      </c>
      <c r="D818" t="s">
        <v>25</v>
      </c>
      <c r="E818" t="s">
        <v>34</v>
      </c>
      <c r="F818" t="s">
        <v>27</v>
      </c>
      <c r="G818" t="s">
        <v>19</v>
      </c>
      <c r="H818">
        <v>348</v>
      </c>
      <c r="I818">
        <v>40</v>
      </c>
      <c r="J818">
        <v>0</v>
      </c>
      <c r="K818" t="s">
        <v>29</v>
      </c>
      <c r="L818">
        <v>56</v>
      </c>
      <c r="M818" t="s">
        <v>21</v>
      </c>
      <c r="N818">
        <f>COUNTIF(order_data[Order_ID],order_data[[#This Row],[Order_ID]])</f>
        <v>1</v>
      </c>
      <c r="O818">
        <f>order_data[[#This Row],[Order_Value]]-order_data[[#This Row],[Discount]]</f>
        <v>348</v>
      </c>
      <c r="P818">
        <f>order_data[[#This Row],[Order_Value]]+order_data[[#This Row],[Delivery_Fee]]-order_data[[#This Row],[Discount]]</f>
        <v>388</v>
      </c>
      <c r="Q818" t="str">
        <f>TEXT(order_data[[#This Row],[Order_Date]],"mmm")</f>
        <v>Jan</v>
      </c>
      <c r="R818">
        <f>MONTH(order_data[[#This Row],[Order_Date]])</f>
        <v>1</v>
      </c>
    </row>
    <row r="819" spans="1:18" x14ac:dyDescent="0.35">
      <c r="A819" t="s">
        <v>1426</v>
      </c>
      <c r="B819" t="s">
        <v>273</v>
      </c>
      <c r="C819" t="s">
        <v>94</v>
      </c>
      <c r="D819" t="s">
        <v>25</v>
      </c>
      <c r="E819" t="s">
        <v>34</v>
      </c>
      <c r="F819" t="s">
        <v>27</v>
      </c>
      <c r="G819" t="s">
        <v>19</v>
      </c>
      <c r="H819">
        <v>672</v>
      </c>
      <c r="I819">
        <v>40</v>
      </c>
      <c r="J819">
        <v>30</v>
      </c>
      <c r="K819" t="s">
        <v>20</v>
      </c>
      <c r="L819">
        <v>55</v>
      </c>
      <c r="M819" t="s">
        <v>30</v>
      </c>
      <c r="N819">
        <f>COUNTIF(order_data[Order_ID],order_data[[#This Row],[Order_ID]])</f>
        <v>1</v>
      </c>
      <c r="O819">
        <f>order_data[[#This Row],[Order_Value]]-order_data[[#This Row],[Discount]]</f>
        <v>642</v>
      </c>
      <c r="P819">
        <f>order_data[[#This Row],[Order_Value]]+order_data[[#This Row],[Delivery_Fee]]-order_data[[#This Row],[Discount]]</f>
        <v>682</v>
      </c>
      <c r="Q819" t="str">
        <f>TEXT(order_data[[#This Row],[Order_Date]],"mmm")</f>
        <v>Mar</v>
      </c>
      <c r="R819">
        <f>MONTH(order_data[[#This Row],[Order_Date]])</f>
        <v>3</v>
      </c>
    </row>
    <row r="820" spans="1:18" x14ac:dyDescent="0.35">
      <c r="A820" t="s">
        <v>1427</v>
      </c>
      <c r="B820" t="s">
        <v>432</v>
      </c>
      <c r="C820" t="s">
        <v>1428</v>
      </c>
      <c r="D820" t="s">
        <v>40</v>
      </c>
      <c r="E820" t="s">
        <v>111</v>
      </c>
      <c r="F820" t="s">
        <v>18</v>
      </c>
      <c r="G820" t="s">
        <v>59</v>
      </c>
      <c r="H820">
        <v>332</v>
      </c>
      <c r="I820">
        <v>50</v>
      </c>
      <c r="J820">
        <v>50</v>
      </c>
      <c r="K820" t="s">
        <v>29</v>
      </c>
      <c r="L820">
        <v>37</v>
      </c>
      <c r="M820" t="s">
        <v>21</v>
      </c>
      <c r="N820">
        <f>COUNTIF(order_data[Order_ID],order_data[[#This Row],[Order_ID]])</f>
        <v>1</v>
      </c>
      <c r="O820">
        <f>order_data[[#This Row],[Order_Value]]-order_data[[#This Row],[Discount]]</f>
        <v>282</v>
      </c>
      <c r="P820">
        <f>order_data[[#This Row],[Order_Value]]+order_data[[#This Row],[Delivery_Fee]]-order_data[[#This Row],[Discount]]</f>
        <v>332</v>
      </c>
      <c r="Q820" t="str">
        <f>TEXT(order_data[[#This Row],[Order_Date]],"mmm")</f>
        <v>Feb</v>
      </c>
      <c r="R820">
        <f>MONTH(order_data[[#This Row],[Order_Date]])</f>
        <v>2</v>
      </c>
    </row>
    <row r="821" spans="1:18" x14ac:dyDescent="0.35">
      <c r="A821" t="s">
        <v>1429</v>
      </c>
      <c r="B821" t="s">
        <v>136</v>
      </c>
      <c r="C821" t="s">
        <v>1430</v>
      </c>
      <c r="D821" t="s">
        <v>53</v>
      </c>
      <c r="E821" t="s">
        <v>84</v>
      </c>
      <c r="F821" t="s">
        <v>85</v>
      </c>
      <c r="G821" t="s">
        <v>35</v>
      </c>
      <c r="H821">
        <v>588</v>
      </c>
      <c r="I821">
        <v>40</v>
      </c>
      <c r="J821">
        <v>0</v>
      </c>
      <c r="K821" t="s">
        <v>20</v>
      </c>
      <c r="L821">
        <v>34</v>
      </c>
      <c r="M821" t="s">
        <v>30</v>
      </c>
      <c r="N821">
        <f>COUNTIF(order_data[Order_ID],order_data[[#This Row],[Order_ID]])</f>
        <v>1</v>
      </c>
      <c r="O821">
        <f>order_data[[#This Row],[Order_Value]]-order_data[[#This Row],[Discount]]</f>
        <v>588</v>
      </c>
      <c r="P821">
        <f>order_data[[#This Row],[Order_Value]]+order_data[[#This Row],[Delivery_Fee]]-order_data[[#This Row],[Discount]]</f>
        <v>628</v>
      </c>
      <c r="Q821" t="str">
        <f>TEXT(order_data[[#This Row],[Order_Date]],"mmm")</f>
        <v>Feb</v>
      </c>
      <c r="R821">
        <f>MONTH(order_data[[#This Row],[Order_Date]])</f>
        <v>2</v>
      </c>
    </row>
    <row r="822" spans="1:18" x14ac:dyDescent="0.35">
      <c r="A822" t="s">
        <v>1431</v>
      </c>
      <c r="B822" t="s">
        <v>136</v>
      </c>
      <c r="C822" t="s">
        <v>1432</v>
      </c>
      <c r="D822" t="s">
        <v>46</v>
      </c>
      <c r="E822" t="s">
        <v>148</v>
      </c>
      <c r="F822" t="s">
        <v>27</v>
      </c>
      <c r="G822" t="s">
        <v>28</v>
      </c>
      <c r="H822">
        <v>252</v>
      </c>
      <c r="I822">
        <v>30</v>
      </c>
      <c r="J822">
        <v>0</v>
      </c>
      <c r="K822" t="s">
        <v>29</v>
      </c>
      <c r="L822">
        <v>43</v>
      </c>
      <c r="M822" t="s">
        <v>21</v>
      </c>
      <c r="N822">
        <f>COUNTIF(order_data[Order_ID],order_data[[#This Row],[Order_ID]])</f>
        <v>1</v>
      </c>
      <c r="O822">
        <f>order_data[[#This Row],[Order_Value]]-order_data[[#This Row],[Discount]]</f>
        <v>252</v>
      </c>
      <c r="P822">
        <f>order_data[[#This Row],[Order_Value]]+order_data[[#This Row],[Delivery_Fee]]-order_data[[#This Row],[Discount]]</f>
        <v>282</v>
      </c>
      <c r="Q822" t="str">
        <f>TEXT(order_data[[#This Row],[Order_Date]],"mmm")</f>
        <v>Feb</v>
      </c>
      <c r="R822">
        <f>MONTH(order_data[[#This Row],[Order_Date]])</f>
        <v>2</v>
      </c>
    </row>
    <row r="823" spans="1:18" x14ac:dyDescent="0.35">
      <c r="A823" t="s">
        <v>1433</v>
      </c>
      <c r="B823" t="s">
        <v>65</v>
      </c>
      <c r="C823" t="s">
        <v>1434</v>
      </c>
      <c r="D823" t="s">
        <v>53</v>
      </c>
      <c r="E823" t="s">
        <v>84</v>
      </c>
      <c r="F823" t="s">
        <v>85</v>
      </c>
      <c r="G823" t="s">
        <v>19</v>
      </c>
      <c r="H823">
        <v>257</v>
      </c>
      <c r="I823">
        <v>40</v>
      </c>
      <c r="J823">
        <v>100</v>
      </c>
      <c r="K823" t="s">
        <v>29</v>
      </c>
      <c r="L823">
        <v>53</v>
      </c>
      <c r="M823" t="s">
        <v>21</v>
      </c>
      <c r="N823">
        <f>COUNTIF(order_data[Order_ID],order_data[[#This Row],[Order_ID]])</f>
        <v>1</v>
      </c>
      <c r="O823">
        <f>order_data[[#This Row],[Order_Value]]-order_data[[#This Row],[Discount]]</f>
        <v>157</v>
      </c>
      <c r="P823">
        <f>order_data[[#This Row],[Order_Value]]+order_data[[#This Row],[Delivery_Fee]]-order_data[[#This Row],[Discount]]</f>
        <v>197</v>
      </c>
      <c r="Q823" t="str">
        <f>TEXT(order_data[[#This Row],[Order_Date]],"mmm")</f>
        <v>Mar</v>
      </c>
      <c r="R823">
        <f>MONTH(order_data[[#This Row],[Order_Date]])</f>
        <v>3</v>
      </c>
    </row>
    <row r="824" spans="1:18" x14ac:dyDescent="0.35">
      <c r="A824" t="s">
        <v>1435</v>
      </c>
      <c r="B824" t="s">
        <v>192</v>
      </c>
      <c r="C824" t="s">
        <v>991</v>
      </c>
      <c r="D824" t="s">
        <v>40</v>
      </c>
      <c r="E824" t="s">
        <v>67</v>
      </c>
      <c r="F824" t="s">
        <v>48</v>
      </c>
      <c r="G824" t="s">
        <v>176</v>
      </c>
      <c r="H824">
        <v>290</v>
      </c>
      <c r="I824">
        <v>40</v>
      </c>
      <c r="J824">
        <v>100</v>
      </c>
      <c r="K824" t="s">
        <v>36</v>
      </c>
      <c r="L824">
        <v>35</v>
      </c>
      <c r="M824" t="s">
        <v>21</v>
      </c>
      <c r="N824">
        <f>COUNTIF(order_data[Order_ID],order_data[[#This Row],[Order_ID]])</f>
        <v>1</v>
      </c>
      <c r="O824">
        <f>order_data[[#This Row],[Order_Value]]-order_data[[#This Row],[Discount]]</f>
        <v>190</v>
      </c>
      <c r="P824">
        <f>order_data[[#This Row],[Order_Value]]+order_data[[#This Row],[Delivery_Fee]]-order_data[[#This Row],[Discount]]</f>
        <v>230</v>
      </c>
      <c r="Q824" t="str">
        <f>TEXT(order_data[[#This Row],[Order_Date]],"mmm")</f>
        <v>Mar</v>
      </c>
      <c r="R824">
        <f>MONTH(order_data[[#This Row],[Order_Date]])</f>
        <v>3</v>
      </c>
    </row>
    <row r="825" spans="1:18" x14ac:dyDescent="0.35">
      <c r="A825" t="s">
        <v>1436</v>
      </c>
      <c r="B825" t="s">
        <v>244</v>
      </c>
      <c r="C825" t="s">
        <v>482</v>
      </c>
      <c r="D825" t="s">
        <v>40</v>
      </c>
      <c r="E825" t="s">
        <v>111</v>
      </c>
      <c r="F825" t="s">
        <v>18</v>
      </c>
      <c r="G825" t="s">
        <v>19</v>
      </c>
      <c r="H825">
        <v>205</v>
      </c>
      <c r="I825">
        <v>20</v>
      </c>
      <c r="J825">
        <v>0</v>
      </c>
      <c r="K825" t="s">
        <v>29</v>
      </c>
      <c r="L825">
        <v>40</v>
      </c>
      <c r="M825" t="s">
        <v>30</v>
      </c>
      <c r="N825">
        <f>COUNTIF(order_data[Order_ID],order_data[[#This Row],[Order_ID]])</f>
        <v>1</v>
      </c>
      <c r="O825">
        <f>order_data[[#This Row],[Order_Value]]-order_data[[#This Row],[Discount]]</f>
        <v>205</v>
      </c>
      <c r="P825">
        <f>order_data[[#This Row],[Order_Value]]+order_data[[#This Row],[Delivery_Fee]]-order_data[[#This Row],[Discount]]</f>
        <v>225</v>
      </c>
      <c r="Q825" t="str">
        <f>TEXT(order_data[[#This Row],[Order_Date]],"mmm")</f>
        <v>Feb</v>
      </c>
      <c r="R825">
        <f>MONTH(order_data[[#This Row],[Order_Date]])</f>
        <v>2</v>
      </c>
    </row>
    <row r="826" spans="1:18" x14ac:dyDescent="0.35">
      <c r="A826" t="s">
        <v>1437</v>
      </c>
      <c r="B826" t="s">
        <v>368</v>
      </c>
      <c r="C826" t="s">
        <v>886</v>
      </c>
      <c r="D826" t="s">
        <v>25</v>
      </c>
      <c r="E826" t="s">
        <v>34</v>
      </c>
      <c r="F826" t="s">
        <v>27</v>
      </c>
      <c r="G826" t="s">
        <v>107</v>
      </c>
      <c r="H826">
        <v>427</v>
      </c>
      <c r="I826">
        <v>20</v>
      </c>
      <c r="J826">
        <v>30</v>
      </c>
      <c r="K826" t="s">
        <v>20</v>
      </c>
      <c r="L826">
        <v>54</v>
      </c>
      <c r="M826" t="s">
        <v>21</v>
      </c>
      <c r="N826">
        <f>COUNTIF(order_data[Order_ID],order_data[[#This Row],[Order_ID]])</f>
        <v>1</v>
      </c>
      <c r="O826">
        <f>order_data[[#This Row],[Order_Value]]-order_data[[#This Row],[Discount]]</f>
        <v>397</v>
      </c>
      <c r="P826">
        <f>order_data[[#This Row],[Order_Value]]+order_data[[#This Row],[Delivery_Fee]]-order_data[[#This Row],[Discount]]</f>
        <v>417</v>
      </c>
      <c r="Q826" t="str">
        <f>TEXT(order_data[[#This Row],[Order_Date]],"mmm")</f>
        <v>Feb</v>
      </c>
      <c r="R826">
        <f>MONTH(order_data[[#This Row],[Order_Date]])</f>
        <v>2</v>
      </c>
    </row>
    <row r="827" spans="1:18" x14ac:dyDescent="0.35">
      <c r="A827" t="s">
        <v>1438</v>
      </c>
      <c r="B827" t="s">
        <v>126</v>
      </c>
      <c r="C827" t="s">
        <v>642</v>
      </c>
      <c r="D827" t="s">
        <v>53</v>
      </c>
      <c r="E827" t="s">
        <v>54</v>
      </c>
      <c r="F827" t="s">
        <v>55</v>
      </c>
      <c r="G827" t="s">
        <v>107</v>
      </c>
      <c r="H827">
        <v>307</v>
      </c>
      <c r="I827">
        <v>40</v>
      </c>
      <c r="J827">
        <v>0</v>
      </c>
      <c r="K827" t="s">
        <v>36</v>
      </c>
      <c r="L827">
        <v>28</v>
      </c>
      <c r="M827" t="s">
        <v>21</v>
      </c>
      <c r="N827">
        <f>COUNTIF(order_data[Order_ID],order_data[[#This Row],[Order_ID]])</f>
        <v>1</v>
      </c>
      <c r="O827">
        <f>order_data[[#This Row],[Order_Value]]-order_data[[#This Row],[Discount]]</f>
        <v>307</v>
      </c>
      <c r="P827">
        <f>order_data[[#This Row],[Order_Value]]+order_data[[#This Row],[Delivery_Fee]]-order_data[[#This Row],[Discount]]</f>
        <v>347</v>
      </c>
      <c r="Q827" t="str">
        <f>TEXT(order_data[[#This Row],[Order_Date]],"mmm")</f>
        <v>Mar</v>
      </c>
      <c r="R827">
        <f>MONTH(order_data[[#This Row],[Order_Date]])</f>
        <v>3</v>
      </c>
    </row>
    <row r="828" spans="1:18" x14ac:dyDescent="0.35">
      <c r="A828" t="s">
        <v>1439</v>
      </c>
      <c r="B828" t="s">
        <v>379</v>
      </c>
      <c r="C828" t="s">
        <v>373</v>
      </c>
      <c r="D828" t="s">
        <v>25</v>
      </c>
      <c r="E828" t="s">
        <v>78</v>
      </c>
      <c r="F828" t="s">
        <v>48</v>
      </c>
      <c r="G828" t="s">
        <v>35</v>
      </c>
      <c r="H828">
        <v>599</v>
      </c>
      <c r="I828">
        <v>40</v>
      </c>
      <c r="J828">
        <v>30</v>
      </c>
      <c r="K828" t="s">
        <v>29</v>
      </c>
      <c r="L828">
        <v>36</v>
      </c>
      <c r="M828" t="s">
        <v>30</v>
      </c>
      <c r="N828">
        <f>COUNTIF(order_data[Order_ID],order_data[[#This Row],[Order_ID]])</f>
        <v>1</v>
      </c>
      <c r="O828">
        <f>order_data[[#This Row],[Order_Value]]-order_data[[#This Row],[Discount]]</f>
        <v>569</v>
      </c>
      <c r="P828">
        <f>order_data[[#This Row],[Order_Value]]+order_data[[#This Row],[Delivery_Fee]]-order_data[[#This Row],[Discount]]</f>
        <v>609</v>
      </c>
      <c r="Q828" t="str">
        <f>TEXT(order_data[[#This Row],[Order_Date]],"mmm")</f>
        <v>Mar</v>
      </c>
      <c r="R828">
        <f>MONTH(order_data[[#This Row],[Order_Date]])</f>
        <v>3</v>
      </c>
    </row>
    <row r="829" spans="1:18" x14ac:dyDescent="0.35">
      <c r="A829" t="s">
        <v>1440</v>
      </c>
      <c r="B829" t="s">
        <v>368</v>
      </c>
      <c r="C829" t="s">
        <v>1441</v>
      </c>
      <c r="D829" t="s">
        <v>53</v>
      </c>
      <c r="E829" t="s">
        <v>84</v>
      </c>
      <c r="F829" t="s">
        <v>85</v>
      </c>
      <c r="G829" t="s">
        <v>28</v>
      </c>
      <c r="H829">
        <v>216</v>
      </c>
      <c r="I829">
        <v>30</v>
      </c>
      <c r="J829">
        <v>30</v>
      </c>
      <c r="K829" t="s">
        <v>20</v>
      </c>
      <c r="L829">
        <v>30</v>
      </c>
      <c r="M829" t="s">
        <v>21</v>
      </c>
      <c r="N829">
        <f>COUNTIF(order_data[Order_ID],order_data[[#This Row],[Order_ID]])</f>
        <v>1</v>
      </c>
      <c r="O829">
        <f>order_data[[#This Row],[Order_Value]]-order_data[[#This Row],[Discount]]</f>
        <v>186</v>
      </c>
      <c r="P829">
        <f>order_data[[#This Row],[Order_Value]]+order_data[[#This Row],[Delivery_Fee]]-order_data[[#This Row],[Discount]]</f>
        <v>216</v>
      </c>
      <c r="Q829" t="str">
        <f>TEXT(order_data[[#This Row],[Order_Date]],"mmm")</f>
        <v>Feb</v>
      </c>
      <c r="R829">
        <f>MONTH(order_data[[#This Row],[Order_Date]])</f>
        <v>2</v>
      </c>
    </row>
    <row r="830" spans="1:18" x14ac:dyDescent="0.35">
      <c r="A830" t="s">
        <v>1442</v>
      </c>
      <c r="B830" t="s">
        <v>178</v>
      </c>
      <c r="C830" t="s">
        <v>155</v>
      </c>
      <c r="D830" t="s">
        <v>46</v>
      </c>
      <c r="E830" t="s">
        <v>47</v>
      </c>
      <c r="F830" t="s">
        <v>48</v>
      </c>
      <c r="G830" t="s">
        <v>107</v>
      </c>
      <c r="H830">
        <v>614</v>
      </c>
      <c r="I830">
        <v>20</v>
      </c>
      <c r="J830">
        <v>0</v>
      </c>
      <c r="K830" t="s">
        <v>20</v>
      </c>
      <c r="L830">
        <v>50</v>
      </c>
      <c r="M830" t="s">
        <v>21</v>
      </c>
      <c r="N830">
        <f>COUNTIF(order_data[Order_ID],order_data[[#This Row],[Order_ID]])</f>
        <v>1</v>
      </c>
      <c r="O830">
        <f>order_data[[#This Row],[Order_Value]]-order_data[[#This Row],[Discount]]</f>
        <v>614</v>
      </c>
      <c r="P830">
        <f>order_data[[#This Row],[Order_Value]]+order_data[[#This Row],[Delivery_Fee]]-order_data[[#This Row],[Discount]]</f>
        <v>634</v>
      </c>
      <c r="Q830" t="str">
        <f>TEXT(order_data[[#This Row],[Order_Date]],"mmm")</f>
        <v>Feb</v>
      </c>
      <c r="R830">
        <f>MONTH(order_data[[#This Row],[Order_Date]])</f>
        <v>2</v>
      </c>
    </row>
    <row r="831" spans="1:18" x14ac:dyDescent="0.35">
      <c r="A831" t="s">
        <v>1443</v>
      </c>
      <c r="B831" t="s">
        <v>207</v>
      </c>
      <c r="C831" t="s">
        <v>555</v>
      </c>
      <c r="D831" t="s">
        <v>25</v>
      </c>
      <c r="E831" t="s">
        <v>78</v>
      </c>
      <c r="F831" t="s">
        <v>48</v>
      </c>
      <c r="G831" t="s">
        <v>74</v>
      </c>
      <c r="H831">
        <v>486</v>
      </c>
      <c r="I831">
        <v>20</v>
      </c>
      <c r="J831">
        <v>30</v>
      </c>
      <c r="K831" t="s">
        <v>20</v>
      </c>
      <c r="L831">
        <v>35</v>
      </c>
      <c r="M831" t="s">
        <v>21</v>
      </c>
      <c r="N831">
        <f>COUNTIF(order_data[Order_ID],order_data[[#This Row],[Order_ID]])</f>
        <v>1</v>
      </c>
      <c r="O831">
        <f>order_data[[#This Row],[Order_Value]]-order_data[[#This Row],[Discount]]</f>
        <v>456</v>
      </c>
      <c r="P831">
        <f>order_data[[#This Row],[Order_Value]]+order_data[[#This Row],[Delivery_Fee]]-order_data[[#This Row],[Discount]]</f>
        <v>476</v>
      </c>
      <c r="Q831" t="str">
        <f>TEXT(order_data[[#This Row],[Order_Date]],"mmm")</f>
        <v>Jan</v>
      </c>
      <c r="R831">
        <f>MONTH(order_data[[#This Row],[Order_Date]])</f>
        <v>1</v>
      </c>
    </row>
    <row r="832" spans="1:18" x14ac:dyDescent="0.35">
      <c r="A832" t="s">
        <v>1444</v>
      </c>
      <c r="B832" t="s">
        <v>454</v>
      </c>
      <c r="C832" t="s">
        <v>1445</v>
      </c>
      <c r="D832" t="s">
        <v>46</v>
      </c>
      <c r="E832" t="s">
        <v>47</v>
      </c>
      <c r="F832" t="s">
        <v>48</v>
      </c>
      <c r="G832" t="s">
        <v>176</v>
      </c>
      <c r="H832">
        <v>153</v>
      </c>
      <c r="I832">
        <v>30</v>
      </c>
      <c r="J832">
        <v>50</v>
      </c>
      <c r="K832" t="s">
        <v>29</v>
      </c>
      <c r="L832">
        <v>22</v>
      </c>
      <c r="M832" t="s">
        <v>21</v>
      </c>
      <c r="N832">
        <f>COUNTIF(order_data[Order_ID],order_data[[#This Row],[Order_ID]])</f>
        <v>1</v>
      </c>
      <c r="O832">
        <f>order_data[[#This Row],[Order_Value]]-order_data[[#This Row],[Discount]]</f>
        <v>103</v>
      </c>
      <c r="P832">
        <f>order_data[[#This Row],[Order_Value]]+order_data[[#This Row],[Delivery_Fee]]-order_data[[#This Row],[Discount]]</f>
        <v>133</v>
      </c>
      <c r="Q832" t="str">
        <f>TEXT(order_data[[#This Row],[Order_Date]],"mmm")</f>
        <v>Jan</v>
      </c>
      <c r="R832">
        <f>MONTH(order_data[[#This Row],[Order_Date]])</f>
        <v>1</v>
      </c>
    </row>
    <row r="833" spans="1:18" x14ac:dyDescent="0.35">
      <c r="A833" t="s">
        <v>1446</v>
      </c>
      <c r="B833" t="s">
        <v>199</v>
      </c>
      <c r="C833" t="s">
        <v>1421</v>
      </c>
      <c r="D833" t="s">
        <v>53</v>
      </c>
      <c r="E833" t="s">
        <v>54</v>
      </c>
      <c r="F833" t="s">
        <v>55</v>
      </c>
      <c r="G833" t="s">
        <v>19</v>
      </c>
      <c r="H833">
        <v>617</v>
      </c>
      <c r="I833">
        <v>40</v>
      </c>
      <c r="J833">
        <v>20</v>
      </c>
      <c r="K833" t="s">
        <v>20</v>
      </c>
      <c r="L833">
        <v>45</v>
      </c>
      <c r="M833" t="s">
        <v>21</v>
      </c>
      <c r="N833">
        <f>COUNTIF(order_data[Order_ID],order_data[[#This Row],[Order_ID]])</f>
        <v>1</v>
      </c>
      <c r="O833">
        <f>order_data[[#This Row],[Order_Value]]-order_data[[#This Row],[Discount]]</f>
        <v>597</v>
      </c>
      <c r="P833">
        <f>order_data[[#This Row],[Order_Value]]+order_data[[#This Row],[Delivery_Fee]]-order_data[[#This Row],[Discount]]</f>
        <v>637</v>
      </c>
      <c r="Q833" t="str">
        <f>TEXT(order_data[[#This Row],[Order_Date]],"mmm")</f>
        <v>Jan</v>
      </c>
      <c r="R833">
        <f>MONTH(order_data[[#This Row],[Order_Date]])</f>
        <v>1</v>
      </c>
    </row>
    <row r="834" spans="1:18" x14ac:dyDescent="0.35">
      <c r="A834" t="s">
        <v>1447</v>
      </c>
      <c r="B834" t="s">
        <v>80</v>
      </c>
      <c r="C834" t="s">
        <v>489</v>
      </c>
      <c r="D834" t="s">
        <v>53</v>
      </c>
      <c r="E834" t="s">
        <v>152</v>
      </c>
      <c r="F834" t="s">
        <v>18</v>
      </c>
      <c r="G834" t="s">
        <v>59</v>
      </c>
      <c r="H834">
        <v>500</v>
      </c>
      <c r="I834">
        <v>20</v>
      </c>
      <c r="J834">
        <v>20</v>
      </c>
      <c r="K834" t="s">
        <v>29</v>
      </c>
      <c r="L834">
        <v>51</v>
      </c>
      <c r="M834" t="s">
        <v>21</v>
      </c>
      <c r="N834">
        <f>COUNTIF(order_data[Order_ID],order_data[[#This Row],[Order_ID]])</f>
        <v>1</v>
      </c>
      <c r="O834">
        <f>order_data[[#This Row],[Order_Value]]-order_data[[#This Row],[Discount]]</f>
        <v>480</v>
      </c>
      <c r="P834">
        <f>order_data[[#This Row],[Order_Value]]+order_data[[#This Row],[Delivery_Fee]]-order_data[[#This Row],[Discount]]</f>
        <v>500</v>
      </c>
      <c r="Q834" t="str">
        <f>TEXT(order_data[[#This Row],[Order_Date]],"mmm")</f>
        <v>Feb</v>
      </c>
      <c r="R834">
        <f>MONTH(order_data[[#This Row],[Order_Date]])</f>
        <v>2</v>
      </c>
    </row>
    <row r="835" spans="1:18" x14ac:dyDescent="0.35">
      <c r="A835" t="s">
        <v>1448</v>
      </c>
      <c r="B835" t="s">
        <v>118</v>
      </c>
      <c r="C835" t="s">
        <v>573</v>
      </c>
      <c r="D835" t="s">
        <v>40</v>
      </c>
      <c r="E835" t="s">
        <v>41</v>
      </c>
      <c r="F835" t="s">
        <v>27</v>
      </c>
      <c r="G835" t="s">
        <v>28</v>
      </c>
      <c r="H835">
        <v>549</v>
      </c>
      <c r="I835">
        <v>40</v>
      </c>
      <c r="J835">
        <v>20</v>
      </c>
      <c r="K835" t="s">
        <v>20</v>
      </c>
      <c r="L835">
        <v>54</v>
      </c>
      <c r="M835" t="s">
        <v>21</v>
      </c>
      <c r="N835">
        <f>COUNTIF(order_data[Order_ID],order_data[[#This Row],[Order_ID]])</f>
        <v>1</v>
      </c>
      <c r="O835">
        <f>order_data[[#This Row],[Order_Value]]-order_data[[#This Row],[Discount]]</f>
        <v>529</v>
      </c>
      <c r="P835">
        <f>order_data[[#This Row],[Order_Value]]+order_data[[#This Row],[Delivery_Fee]]-order_data[[#This Row],[Discount]]</f>
        <v>569</v>
      </c>
      <c r="Q835" t="str">
        <f>TEXT(order_data[[#This Row],[Order_Date]],"mmm")</f>
        <v>Mar</v>
      </c>
      <c r="R835">
        <f>MONTH(order_data[[#This Row],[Order_Date]])</f>
        <v>3</v>
      </c>
    </row>
    <row r="836" spans="1:18" x14ac:dyDescent="0.35">
      <c r="A836" t="s">
        <v>1449</v>
      </c>
      <c r="B836" t="s">
        <v>322</v>
      </c>
      <c r="C836" t="s">
        <v>1450</v>
      </c>
      <c r="D836" t="s">
        <v>16</v>
      </c>
      <c r="E836" t="s">
        <v>89</v>
      </c>
      <c r="F836" t="s">
        <v>18</v>
      </c>
      <c r="G836" t="s">
        <v>28</v>
      </c>
      <c r="H836">
        <v>678</v>
      </c>
      <c r="I836">
        <v>20</v>
      </c>
      <c r="J836">
        <v>20</v>
      </c>
      <c r="K836" t="s">
        <v>20</v>
      </c>
      <c r="L836">
        <v>48</v>
      </c>
      <c r="M836" t="s">
        <v>21</v>
      </c>
      <c r="N836">
        <f>COUNTIF(order_data[Order_ID],order_data[[#This Row],[Order_ID]])</f>
        <v>1</v>
      </c>
      <c r="O836">
        <f>order_data[[#This Row],[Order_Value]]-order_data[[#This Row],[Discount]]</f>
        <v>658</v>
      </c>
      <c r="P836">
        <f>order_data[[#This Row],[Order_Value]]+order_data[[#This Row],[Delivery_Fee]]-order_data[[#This Row],[Discount]]</f>
        <v>678</v>
      </c>
      <c r="Q836" t="str">
        <f>TEXT(order_data[[#This Row],[Order_Date]],"mmm")</f>
        <v>Jan</v>
      </c>
      <c r="R836">
        <f>MONTH(order_data[[#This Row],[Order_Date]])</f>
        <v>1</v>
      </c>
    </row>
    <row r="837" spans="1:18" x14ac:dyDescent="0.35">
      <c r="A837" t="s">
        <v>1451</v>
      </c>
      <c r="B837" t="s">
        <v>129</v>
      </c>
      <c r="C837" t="s">
        <v>747</v>
      </c>
      <c r="D837" t="s">
        <v>46</v>
      </c>
      <c r="E837" t="s">
        <v>70</v>
      </c>
      <c r="F837" t="s">
        <v>18</v>
      </c>
      <c r="G837" t="s">
        <v>35</v>
      </c>
      <c r="H837">
        <v>388</v>
      </c>
      <c r="I837">
        <v>30</v>
      </c>
      <c r="J837">
        <v>30</v>
      </c>
      <c r="K837" t="s">
        <v>29</v>
      </c>
      <c r="L837">
        <v>57</v>
      </c>
      <c r="M837" t="s">
        <v>21</v>
      </c>
      <c r="N837">
        <f>COUNTIF(order_data[Order_ID],order_data[[#This Row],[Order_ID]])</f>
        <v>1</v>
      </c>
      <c r="O837">
        <f>order_data[[#This Row],[Order_Value]]-order_data[[#This Row],[Discount]]</f>
        <v>358</v>
      </c>
      <c r="P837">
        <f>order_data[[#This Row],[Order_Value]]+order_data[[#This Row],[Delivery_Fee]]-order_data[[#This Row],[Discount]]</f>
        <v>388</v>
      </c>
      <c r="Q837" t="str">
        <f>TEXT(order_data[[#This Row],[Order_Date]],"mmm")</f>
        <v>Feb</v>
      </c>
      <c r="R837">
        <f>MONTH(order_data[[#This Row],[Order_Date]])</f>
        <v>2</v>
      </c>
    </row>
    <row r="838" spans="1:18" x14ac:dyDescent="0.35">
      <c r="A838" t="s">
        <v>1452</v>
      </c>
      <c r="B838" t="s">
        <v>291</v>
      </c>
      <c r="C838" t="s">
        <v>1453</v>
      </c>
      <c r="D838" t="s">
        <v>25</v>
      </c>
      <c r="E838" t="s">
        <v>34</v>
      </c>
      <c r="F838" t="s">
        <v>27</v>
      </c>
      <c r="G838" t="s">
        <v>74</v>
      </c>
      <c r="H838">
        <v>597</v>
      </c>
      <c r="I838">
        <v>30</v>
      </c>
      <c r="J838">
        <v>100</v>
      </c>
      <c r="K838" t="s">
        <v>36</v>
      </c>
      <c r="L838">
        <v>30</v>
      </c>
      <c r="M838" t="s">
        <v>21</v>
      </c>
      <c r="N838">
        <f>COUNTIF(order_data[Order_ID],order_data[[#This Row],[Order_ID]])</f>
        <v>1</v>
      </c>
      <c r="O838">
        <f>order_data[[#This Row],[Order_Value]]-order_data[[#This Row],[Discount]]</f>
        <v>497</v>
      </c>
      <c r="P838">
        <f>order_data[[#This Row],[Order_Value]]+order_data[[#This Row],[Delivery_Fee]]-order_data[[#This Row],[Discount]]</f>
        <v>527</v>
      </c>
      <c r="Q838" t="str">
        <f>TEXT(order_data[[#This Row],[Order_Date]],"mmm")</f>
        <v>Feb</v>
      </c>
      <c r="R838">
        <f>MONTH(order_data[[#This Row],[Order_Date]])</f>
        <v>2</v>
      </c>
    </row>
    <row r="839" spans="1:18" x14ac:dyDescent="0.35">
      <c r="A839" t="s">
        <v>1454</v>
      </c>
      <c r="B839" t="s">
        <v>342</v>
      </c>
      <c r="C839" t="s">
        <v>1455</v>
      </c>
      <c r="D839" t="s">
        <v>25</v>
      </c>
      <c r="E839" t="s">
        <v>34</v>
      </c>
      <c r="F839" t="s">
        <v>27</v>
      </c>
      <c r="G839" t="s">
        <v>63</v>
      </c>
      <c r="H839">
        <v>371</v>
      </c>
      <c r="I839">
        <v>20</v>
      </c>
      <c r="J839">
        <v>50</v>
      </c>
      <c r="K839" t="s">
        <v>20</v>
      </c>
      <c r="L839">
        <v>23</v>
      </c>
      <c r="M839" t="s">
        <v>21</v>
      </c>
      <c r="N839">
        <f>COUNTIF(order_data[Order_ID],order_data[[#This Row],[Order_ID]])</f>
        <v>1</v>
      </c>
      <c r="O839">
        <f>order_data[[#This Row],[Order_Value]]-order_data[[#This Row],[Discount]]</f>
        <v>321</v>
      </c>
      <c r="P839">
        <f>order_data[[#This Row],[Order_Value]]+order_data[[#This Row],[Delivery_Fee]]-order_data[[#This Row],[Discount]]</f>
        <v>341</v>
      </c>
      <c r="Q839" t="str">
        <f>TEXT(order_data[[#This Row],[Order_Date]],"mmm")</f>
        <v>Jan</v>
      </c>
      <c r="R839">
        <f>MONTH(order_data[[#This Row],[Order_Date]])</f>
        <v>1</v>
      </c>
    </row>
    <row r="840" spans="1:18" x14ac:dyDescent="0.35">
      <c r="A840" t="s">
        <v>1456</v>
      </c>
      <c r="B840" t="s">
        <v>297</v>
      </c>
      <c r="C840" t="s">
        <v>1457</v>
      </c>
      <c r="D840" t="s">
        <v>40</v>
      </c>
      <c r="E840" t="s">
        <v>41</v>
      </c>
      <c r="F840" t="s">
        <v>27</v>
      </c>
      <c r="G840" t="s">
        <v>35</v>
      </c>
      <c r="H840">
        <v>261</v>
      </c>
      <c r="I840">
        <v>20</v>
      </c>
      <c r="J840">
        <v>30</v>
      </c>
      <c r="K840" t="s">
        <v>36</v>
      </c>
      <c r="L840">
        <v>52</v>
      </c>
      <c r="M840" t="s">
        <v>21</v>
      </c>
      <c r="N840">
        <f>COUNTIF(order_data[Order_ID],order_data[[#This Row],[Order_ID]])</f>
        <v>1</v>
      </c>
      <c r="O840">
        <f>order_data[[#This Row],[Order_Value]]-order_data[[#This Row],[Discount]]</f>
        <v>231</v>
      </c>
      <c r="P840">
        <f>order_data[[#This Row],[Order_Value]]+order_data[[#This Row],[Delivery_Fee]]-order_data[[#This Row],[Discount]]</f>
        <v>251</v>
      </c>
      <c r="Q840" t="str">
        <f>TEXT(order_data[[#This Row],[Order_Date]],"mmm")</f>
        <v>Feb</v>
      </c>
      <c r="R840">
        <f>MONTH(order_data[[#This Row],[Order_Date]])</f>
        <v>2</v>
      </c>
    </row>
    <row r="841" spans="1:18" x14ac:dyDescent="0.35">
      <c r="A841" t="s">
        <v>1458</v>
      </c>
      <c r="B841" t="s">
        <v>69</v>
      </c>
      <c r="C841" t="s">
        <v>1459</v>
      </c>
      <c r="D841" t="s">
        <v>53</v>
      </c>
      <c r="E841" t="s">
        <v>54</v>
      </c>
      <c r="F841" t="s">
        <v>55</v>
      </c>
      <c r="G841" t="s">
        <v>107</v>
      </c>
      <c r="H841">
        <v>496</v>
      </c>
      <c r="I841">
        <v>20</v>
      </c>
      <c r="J841">
        <v>100</v>
      </c>
      <c r="K841" t="s">
        <v>36</v>
      </c>
      <c r="L841">
        <v>29</v>
      </c>
      <c r="M841" t="s">
        <v>21</v>
      </c>
      <c r="N841">
        <f>COUNTIF(order_data[Order_ID],order_data[[#This Row],[Order_ID]])</f>
        <v>1</v>
      </c>
      <c r="O841">
        <f>order_data[[#This Row],[Order_Value]]-order_data[[#This Row],[Discount]]</f>
        <v>396</v>
      </c>
      <c r="P841">
        <f>order_data[[#This Row],[Order_Value]]+order_data[[#This Row],[Delivery_Fee]]-order_data[[#This Row],[Discount]]</f>
        <v>416</v>
      </c>
      <c r="Q841" t="str">
        <f>TEXT(order_data[[#This Row],[Order_Date]],"mmm")</f>
        <v>Feb</v>
      </c>
      <c r="R841">
        <f>MONTH(order_data[[#This Row],[Order_Date]])</f>
        <v>2</v>
      </c>
    </row>
    <row r="842" spans="1:18" x14ac:dyDescent="0.35">
      <c r="A842" t="s">
        <v>1460</v>
      </c>
      <c r="B842" t="s">
        <v>342</v>
      </c>
      <c r="C842" t="s">
        <v>1461</v>
      </c>
      <c r="D842" t="s">
        <v>25</v>
      </c>
      <c r="E842" t="s">
        <v>26</v>
      </c>
      <c r="F842" t="s">
        <v>27</v>
      </c>
      <c r="G842" t="s">
        <v>59</v>
      </c>
      <c r="H842">
        <v>577</v>
      </c>
      <c r="I842">
        <v>20</v>
      </c>
      <c r="J842">
        <v>0</v>
      </c>
      <c r="K842" t="s">
        <v>20</v>
      </c>
      <c r="L842">
        <v>53</v>
      </c>
      <c r="M842" t="s">
        <v>21</v>
      </c>
      <c r="N842">
        <f>COUNTIF(order_data[Order_ID],order_data[[#This Row],[Order_ID]])</f>
        <v>1</v>
      </c>
      <c r="O842">
        <f>order_data[[#This Row],[Order_Value]]-order_data[[#This Row],[Discount]]</f>
        <v>577</v>
      </c>
      <c r="P842">
        <f>order_data[[#This Row],[Order_Value]]+order_data[[#This Row],[Delivery_Fee]]-order_data[[#This Row],[Discount]]</f>
        <v>597</v>
      </c>
      <c r="Q842" t="str">
        <f>TEXT(order_data[[#This Row],[Order_Date]],"mmm")</f>
        <v>Jan</v>
      </c>
      <c r="R842">
        <f>MONTH(order_data[[#This Row],[Order_Date]])</f>
        <v>1</v>
      </c>
    </row>
    <row r="843" spans="1:18" x14ac:dyDescent="0.35">
      <c r="A843" t="s">
        <v>1462</v>
      </c>
      <c r="B843" t="s">
        <v>109</v>
      </c>
      <c r="C843" t="s">
        <v>184</v>
      </c>
      <c r="D843" t="s">
        <v>40</v>
      </c>
      <c r="E843" t="s">
        <v>111</v>
      </c>
      <c r="F843" t="s">
        <v>18</v>
      </c>
      <c r="G843" t="s">
        <v>59</v>
      </c>
      <c r="H843">
        <v>359</v>
      </c>
      <c r="I843">
        <v>40</v>
      </c>
      <c r="J843">
        <v>0</v>
      </c>
      <c r="K843" t="s">
        <v>36</v>
      </c>
      <c r="L843">
        <v>56</v>
      </c>
      <c r="M843" t="s">
        <v>21</v>
      </c>
      <c r="N843">
        <f>COUNTIF(order_data[Order_ID],order_data[[#This Row],[Order_ID]])</f>
        <v>1</v>
      </c>
      <c r="O843">
        <f>order_data[[#This Row],[Order_Value]]-order_data[[#This Row],[Discount]]</f>
        <v>359</v>
      </c>
      <c r="P843">
        <f>order_data[[#This Row],[Order_Value]]+order_data[[#This Row],[Delivery_Fee]]-order_data[[#This Row],[Discount]]</f>
        <v>399</v>
      </c>
      <c r="Q843" t="str">
        <f>TEXT(order_data[[#This Row],[Order_Date]],"mmm")</f>
        <v>Jan</v>
      </c>
      <c r="R843">
        <f>MONTH(order_data[[#This Row],[Order_Date]])</f>
        <v>1</v>
      </c>
    </row>
    <row r="844" spans="1:18" x14ac:dyDescent="0.35">
      <c r="A844" t="s">
        <v>1463</v>
      </c>
      <c r="B844" t="s">
        <v>146</v>
      </c>
      <c r="C844" t="s">
        <v>1073</v>
      </c>
      <c r="D844" t="s">
        <v>25</v>
      </c>
      <c r="E844" t="s">
        <v>26</v>
      </c>
      <c r="F844" t="s">
        <v>27</v>
      </c>
      <c r="G844" t="s">
        <v>35</v>
      </c>
      <c r="H844">
        <v>265</v>
      </c>
      <c r="I844">
        <v>40</v>
      </c>
      <c r="J844">
        <v>30</v>
      </c>
      <c r="K844" t="s">
        <v>36</v>
      </c>
      <c r="L844">
        <v>60</v>
      </c>
      <c r="M844" t="s">
        <v>21</v>
      </c>
      <c r="N844">
        <f>COUNTIF(order_data[Order_ID],order_data[[#This Row],[Order_ID]])</f>
        <v>1</v>
      </c>
      <c r="O844">
        <f>order_data[[#This Row],[Order_Value]]-order_data[[#This Row],[Discount]]</f>
        <v>235</v>
      </c>
      <c r="P844">
        <f>order_data[[#This Row],[Order_Value]]+order_data[[#This Row],[Delivery_Fee]]-order_data[[#This Row],[Discount]]</f>
        <v>275</v>
      </c>
      <c r="Q844" t="str">
        <f>TEXT(order_data[[#This Row],[Order_Date]],"mmm")</f>
        <v>Feb</v>
      </c>
      <c r="R844">
        <f>MONTH(order_data[[#This Row],[Order_Date]])</f>
        <v>2</v>
      </c>
    </row>
    <row r="845" spans="1:18" x14ac:dyDescent="0.35">
      <c r="A845" t="s">
        <v>1464</v>
      </c>
      <c r="B845" t="s">
        <v>91</v>
      </c>
      <c r="C845" t="s">
        <v>52</v>
      </c>
      <c r="D845" t="s">
        <v>46</v>
      </c>
      <c r="E845" t="s">
        <v>70</v>
      </c>
      <c r="F845" t="s">
        <v>18</v>
      </c>
      <c r="G845" t="s">
        <v>19</v>
      </c>
      <c r="H845">
        <v>654</v>
      </c>
      <c r="I845">
        <v>50</v>
      </c>
      <c r="J845">
        <v>30</v>
      </c>
      <c r="K845" t="s">
        <v>29</v>
      </c>
      <c r="L845">
        <v>50</v>
      </c>
      <c r="M845" t="s">
        <v>21</v>
      </c>
      <c r="N845">
        <f>COUNTIF(order_data[Order_ID],order_data[[#This Row],[Order_ID]])</f>
        <v>1</v>
      </c>
      <c r="O845">
        <f>order_data[[#This Row],[Order_Value]]-order_data[[#This Row],[Discount]]</f>
        <v>624</v>
      </c>
      <c r="P845">
        <f>order_data[[#This Row],[Order_Value]]+order_data[[#This Row],[Delivery_Fee]]-order_data[[#This Row],[Discount]]</f>
        <v>674</v>
      </c>
      <c r="Q845" t="str">
        <f>TEXT(order_data[[#This Row],[Order_Date]],"mmm")</f>
        <v>Mar</v>
      </c>
      <c r="R845">
        <f>MONTH(order_data[[#This Row],[Order_Date]])</f>
        <v>3</v>
      </c>
    </row>
    <row r="846" spans="1:18" x14ac:dyDescent="0.35">
      <c r="A846" t="s">
        <v>1465</v>
      </c>
      <c r="B846" t="s">
        <v>568</v>
      </c>
      <c r="C846" t="s">
        <v>141</v>
      </c>
      <c r="D846" t="s">
        <v>46</v>
      </c>
      <c r="E846" t="s">
        <v>70</v>
      </c>
      <c r="F846" t="s">
        <v>18</v>
      </c>
      <c r="G846" t="s">
        <v>74</v>
      </c>
      <c r="H846">
        <v>422</v>
      </c>
      <c r="I846">
        <v>20</v>
      </c>
      <c r="J846">
        <v>0</v>
      </c>
      <c r="K846" t="s">
        <v>20</v>
      </c>
      <c r="L846">
        <v>30</v>
      </c>
      <c r="M846" t="s">
        <v>21</v>
      </c>
      <c r="N846">
        <f>COUNTIF(order_data[Order_ID],order_data[[#This Row],[Order_ID]])</f>
        <v>1</v>
      </c>
      <c r="O846">
        <f>order_data[[#This Row],[Order_Value]]-order_data[[#This Row],[Discount]]</f>
        <v>422</v>
      </c>
      <c r="P846">
        <f>order_data[[#This Row],[Order_Value]]+order_data[[#This Row],[Delivery_Fee]]-order_data[[#This Row],[Discount]]</f>
        <v>442</v>
      </c>
      <c r="Q846" t="str">
        <f>TEXT(order_data[[#This Row],[Order_Date]],"mmm")</f>
        <v>Mar</v>
      </c>
      <c r="R846">
        <f>MONTH(order_data[[#This Row],[Order_Date]])</f>
        <v>3</v>
      </c>
    </row>
    <row r="847" spans="1:18" x14ac:dyDescent="0.35">
      <c r="A847" t="s">
        <v>1466</v>
      </c>
      <c r="B847" t="s">
        <v>44</v>
      </c>
      <c r="C847" t="s">
        <v>1467</v>
      </c>
      <c r="D847" t="s">
        <v>40</v>
      </c>
      <c r="E847" t="s">
        <v>41</v>
      </c>
      <c r="F847" t="s">
        <v>27</v>
      </c>
      <c r="G847" t="s">
        <v>49</v>
      </c>
      <c r="H847">
        <v>357</v>
      </c>
      <c r="I847">
        <v>20</v>
      </c>
      <c r="J847">
        <v>30</v>
      </c>
      <c r="K847" t="s">
        <v>29</v>
      </c>
      <c r="L847">
        <v>34</v>
      </c>
      <c r="M847" t="s">
        <v>21</v>
      </c>
      <c r="N847">
        <f>COUNTIF(order_data[Order_ID],order_data[[#This Row],[Order_ID]])</f>
        <v>1</v>
      </c>
      <c r="O847">
        <f>order_data[[#This Row],[Order_Value]]-order_data[[#This Row],[Discount]]</f>
        <v>327</v>
      </c>
      <c r="P847">
        <f>order_data[[#This Row],[Order_Value]]+order_data[[#This Row],[Delivery_Fee]]-order_data[[#This Row],[Discount]]</f>
        <v>347</v>
      </c>
      <c r="Q847" t="str">
        <f>TEXT(order_data[[#This Row],[Order_Date]],"mmm")</f>
        <v>Jan</v>
      </c>
      <c r="R847">
        <f>MONTH(order_data[[#This Row],[Order_Date]])</f>
        <v>1</v>
      </c>
    </row>
    <row r="848" spans="1:18" x14ac:dyDescent="0.35">
      <c r="A848" t="s">
        <v>1468</v>
      </c>
      <c r="B848" t="s">
        <v>329</v>
      </c>
      <c r="C848" t="s">
        <v>535</v>
      </c>
      <c r="D848" t="s">
        <v>16</v>
      </c>
      <c r="E848" t="s">
        <v>17</v>
      </c>
      <c r="F848" t="s">
        <v>18</v>
      </c>
      <c r="G848" t="s">
        <v>176</v>
      </c>
      <c r="H848">
        <v>510</v>
      </c>
      <c r="I848">
        <v>30</v>
      </c>
      <c r="J848">
        <v>0</v>
      </c>
      <c r="K848" t="s">
        <v>29</v>
      </c>
      <c r="L848">
        <v>38</v>
      </c>
      <c r="M848" t="s">
        <v>21</v>
      </c>
      <c r="N848">
        <f>COUNTIF(order_data[Order_ID],order_data[[#This Row],[Order_ID]])</f>
        <v>1</v>
      </c>
      <c r="O848">
        <f>order_data[[#This Row],[Order_Value]]-order_data[[#This Row],[Discount]]</f>
        <v>510</v>
      </c>
      <c r="P848">
        <f>order_data[[#This Row],[Order_Value]]+order_data[[#This Row],[Delivery_Fee]]-order_data[[#This Row],[Discount]]</f>
        <v>540</v>
      </c>
      <c r="Q848" t="str">
        <f>TEXT(order_data[[#This Row],[Order_Date]],"mmm")</f>
        <v>Mar</v>
      </c>
      <c r="R848">
        <f>MONTH(order_data[[#This Row],[Order_Date]])</f>
        <v>3</v>
      </c>
    </row>
    <row r="849" spans="1:18" x14ac:dyDescent="0.35">
      <c r="A849" t="s">
        <v>1469</v>
      </c>
      <c r="B849" t="s">
        <v>583</v>
      </c>
      <c r="C849" t="s">
        <v>1470</v>
      </c>
      <c r="D849" t="s">
        <v>46</v>
      </c>
      <c r="E849" t="s">
        <v>70</v>
      </c>
      <c r="F849" t="s">
        <v>18</v>
      </c>
      <c r="G849" t="s">
        <v>42</v>
      </c>
      <c r="H849">
        <v>359</v>
      </c>
      <c r="I849">
        <v>30</v>
      </c>
      <c r="J849">
        <v>20</v>
      </c>
      <c r="K849" t="s">
        <v>20</v>
      </c>
      <c r="L849">
        <v>60</v>
      </c>
      <c r="M849" t="s">
        <v>21</v>
      </c>
      <c r="N849">
        <f>COUNTIF(order_data[Order_ID],order_data[[#This Row],[Order_ID]])</f>
        <v>1</v>
      </c>
      <c r="O849">
        <f>order_data[[#This Row],[Order_Value]]-order_data[[#This Row],[Discount]]</f>
        <v>339</v>
      </c>
      <c r="P849">
        <f>order_data[[#This Row],[Order_Value]]+order_data[[#This Row],[Delivery_Fee]]-order_data[[#This Row],[Discount]]</f>
        <v>369</v>
      </c>
      <c r="Q849" t="str">
        <f>TEXT(order_data[[#This Row],[Order_Date]],"mmm")</f>
        <v>Jan</v>
      </c>
      <c r="R849">
        <f>MONTH(order_data[[#This Row],[Order_Date]])</f>
        <v>1</v>
      </c>
    </row>
    <row r="850" spans="1:18" x14ac:dyDescent="0.35">
      <c r="A850" t="s">
        <v>1471</v>
      </c>
      <c r="B850" t="s">
        <v>271</v>
      </c>
      <c r="C850" t="s">
        <v>1472</v>
      </c>
      <c r="D850" t="s">
        <v>40</v>
      </c>
      <c r="E850" t="s">
        <v>67</v>
      </c>
      <c r="F850" t="s">
        <v>48</v>
      </c>
      <c r="G850" t="s">
        <v>49</v>
      </c>
      <c r="H850">
        <v>727</v>
      </c>
      <c r="I850">
        <v>20</v>
      </c>
      <c r="J850">
        <v>50</v>
      </c>
      <c r="K850" t="s">
        <v>29</v>
      </c>
      <c r="L850">
        <v>60</v>
      </c>
      <c r="M850" t="s">
        <v>21</v>
      </c>
      <c r="N850">
        <f>COUNTIF(order_data[Order_ID],order_data[[#This Row],[Order_ID]])</f>
        <v>1</v>
      </c>
      <c r="O850">
        <f>order_data[[#This Row],[Order_Value]]-order_data[[#This Row],[Discount]]</f>
        <v>677</v>
      </c>
      <c r="P850">
        <f>order_data[[#This Row],[Order_Value]]+order_data[[#This Row],[Delivery_Fee]]-order_data[[#This Row],[Discount]]</f>
        <v>697</v>
      </c>
      <c r="Q850" t="str">
        <f>TEXT(order_data[[#This Row],[Order_Date]],"mmm")</f>
        <v>Jan</v>
      </c>
      <c r="R850">
        <f>MONTH(order_data[[#This Row],[Order_Date]])</f>
        <v>1</v>
      </c>
    </row>
    <row r="851" spans="1:18" x14ac:dyDescent="0.35">
      <c r="A851" t="s">
        <v>1473</v>
      </c>
      <c r="B851" t="s">
        <v>295</v>
      </c>
      <c r="C851" t="s">
        <v>1022</v>
      </c>
      <c r="D851" t="s">
        <v>16</v>
      </c>
      <c r="E851" t="s">
        <v>17</v>
      </c>
      <c r="F851" t="s">
        <v>18</v>
      </c>
      <c r="G851" t="s">
        <v>42</v>
      </c>
      <c r="H851">
        <v>240</v>
      </c>
      <c r="I851">
        <v>30</v>
      </c>
      <c r="J851">
        <v>20</v>
      </c>
      <c r="K851" t="s">
        <v>29</v>
      </c>
      <c r="L851">
        <v>35</v>
      </c>
      <c r="M851" t="s">
        <v>21</v>
      </c>
      <c r="N851">
        <f>COUNTIF(order_data[Order_ID],order_data[[#This Row],[Order_ID]])</f>
        <v>1</v>
      </c>
      <c r="O851">
        <f>order_data[[#This Row],[Order_Value]]-order_data[[#This Row],[Discount]]</f>
        <v>220</v>
      </c>
      <c r="P851">
        <f>order_data[[#This Row],[Order_Value]]+order_data[[#This Row],[Delivery_Fee]]-order_data[[#This Row],[Discount]]</f>
        <v>250</v>
      </c>
      <c r="Q851" t="str">
        <f>TEXT(order_data[[#This Row],[Order_Date]],"mmm")</f>
        <v>Jan</v>
      </c>
      <c r="R851">
        <f>MONTH(order_data[[#This Row],[Order_Date]])</f>
        <v>1</v>
      </c>
    </row>
    <row r="852" spans="1:18" x14ac:dyDescent="0.35">
      <c r="A852" t="s">
        <v>1474</v>
      </c>
      <c r="B852" t="s">
        <v>568</v>
      </c>
      <c r="C852" t="s">
        <v>163</v>
      </c>
      <c r="D852" t="s">
        <v>46</v>
      </c>
      <c r="E852" t="s">
        <v>70</v>
      </c>
      <c r="F852" t="s">
        <v>18</v>
      </c>
      <c r="G852" t="s">
        <v>19</v>
      </c>
      <c r="H852">
        <v>506</v>
      </c>
      <c r="I852">
        <v>30</v>
      </c>
      <c r="J852">
        <v>50</v>
      </c>
      <c r="K852" t="s">
        <v>29</v>
      </c>
      <c r="L852">
        <v>44</v>
      </c>
      <c r="M852" t="s">
        <v>21</v>
      </c>
      <c r="N852">
        <f>COUNTIF(order_data[Order_ID],order_data[[#This Row],[Order_ID]])</f>
        <v>1</v>
      </c>
      <c r="O852">
        <f>order_data[[#This Row],[Order_Value]]-order_data[[#This Row],[Discount]]</f>
        <v>456</v>
      </c>
      <c r="P852">
        <f>order_data[[#This Row],[Order_Value]]+order_data[[#This Row],[Delivery_Fee]]-order_data[[#This Row],[Discount]]</f>
        <v>486</v>
      </c>
      <c r="Q852" t="str">
        <f>TEXT(order_data[[#This Row],[Order_Date]],"mmm")</f>
        <v>Mar</v>
      </c>
      <c r="R852">
        <f>MONTH(order_data[[#This Row],[Order_Date]])</f>
        <v>3</v>
      </c>
    </row>
    <row r="853" spans="1:18" x14ac:dyDescent="0.35">
      <c r="A853" t="s">
        <v>1475</v>
      </c>
      <c r="B853" t="s">
        <v>600</v>
      </c>
      <c r="C853" t="s">
        <v>797</v>
      </c>
      <c r="D853" t="s">
        <v>16</v>
      </c>
      <c r="E853" t="s">
        <v>131</v>
      </c>
      <c r="F853" t="s">
        <v>55</v>
      </c>
      <c r="G853" t="s">
        <v>19</v>
      </c>
      <c r="H853">
        <v>153</v>
      </c>
      <c r="I853">
        <v>50</v>
      </c>
      <c r="J853">
        <v>50</v>
      </c>
      <c r="K853" t="s">
        <v>29</v>
      </c>
      <c r="L853">
        <v>35</v>
      </c>
      <c r="M853" t="s">
        <v>21</v>
      </c>
      <c r="N853">
        <f>COUNTIF(order_data[Order_ID],order_data[[#This Row],[Order_ID]])</f>
        <v>1</v>
      </c>
      <c r="O853">
        <f>order_data[[#This Row],[Order_Value]]-order_data[[#This Row],[Discount]]</f>
        <v>103</v>
      </c>
      <c r="P853">
        <f>order_data[[#This Row],[Order_Value]]+order_data[[#This Row],[Delivery_Fee]]-order_data[[#This Row],[Discount]]</f>
        <v>153</v>
      </c>
      <c r="Q853" t="str">
        <f>TEXT(order_data[[#This Row],[Order_Date]],"mmm")</f>
        <v>Mar</v>
      </c>
      <c r="R853">
        <f>MONTH(order_data[[#This Row],[Order_Date]])</f>
        <v>3</v>
      </c>
    </row>
    <row r="854" spans="1:18" x14ac:dyDescent="0.35">
      <c r="A854" t="s">
        <v>1476</v>
      </c>
      <c r="B854" t="s">
        <v>218</v>
      </c>
      <c r="C854" t="s">
        <v>1477</v>
      </c>
      <c r="D854" t="s">
        <v>16</v>
      </c>
      <c r="E854" t="s">
        <v>131</v>
      </c>
      <c r="F854" t="s">
        <v>55</v>
      </c>
      <c r="G854" t="s">
        <v>28</v>
      </c>
      <c r="H854">
        <v>710</v>
      </c>
      <c r="I854">
        <v>30</v>
      </c>
      <c r="J854">
        <v>100</v>
      </c>
      <c r="K854" t="s">
        <v>36</v>
      </c>
      <c r="L854">
        <v>27</v>
      </c>
      <c r="M854" t="s">
        <v>21</v>
      </c>
      <c r="N854">
        <f>COUNTIF(order_data[Order_ID],order_data[[#This Row],[Order_ID]])</f>
        <v>1</v>
      </c>
      <c r="O854">
        <f>order_data[[#This Row],[Order_Value]]-order_data[[#This Row],[Discount]]</f>
        <v>610</v>
      </c>
      <c r="P854">
        <f>order_data[[#This Row],[Order_Value]]+order_data[[#This Row],[Delivery_Fee]]-order_data[[#This Row],[Discount]]</f>
        <v>640</v>
      </c>
      <c r="Q854" t="str">
        <f>TEXT(order_data[[#This Row],[Order_Date]],"mmm")</f>
        <v>Feb</v>
      </c>
      <c r="R854">
        <f>MONTH(order_data[[#This Row],[Order_Date]])</f>
        <v>2</v>
      </c>
    </row>
    <row r="855" spans="1:18" x14ac:dyDescent="0.35">
      <c r="A855" t="s">
        <v>1478</v>
      </c>
      <c r="B855" t="s">
        <v>388</v>
      </c>
      <c r="C855" t="s">
        <v>313</v>
      </c>
      <c r="D855" t="s">
        <v>40</v>
      </c>
      <c r="E855" t="s">
        <v>41</v>
      </c>
      <c r="F855" t="s">
        <v>27</v>
      </c>
      <c r="G855" t="s">
        <v>19</v>
      </c>
      <c r="H855">
        <v>535</v>
      </c>
      <c r="I855">
        <v>30</v>
      </c>
      <c r="J855">
        <v>20</v>
      </c>
      <c r="K855" t="s">
        <v>20</v>
      </c>
      <c r="L855">
        <v>47</v>
      </c>
      <c r="M855" t="s">
        <v>21</v>
      </c>
      <c r="N855">
        <f>COUNTIF(order_data[Order_ID],order_data[[#This Row],[Order_ID]])</f>
        <v>1</v>
      </c>
      <c r="O855">
        <f>order_data[[#This Row],[Order_Value]]-order_data[[#This Row],[Discount]]</f>
        <v>515</v>
      </c>
      <c r="P855">
        <f>order_data[[#This Row],[Order_Value]]+order_data[[#This Row],[Delivery_Fee]]-order_data[[#This Row],[Discount]]</f>
        <v>545</v>
      </c>
      <c r="Q855" t="str">
        <f>TEXT(order_data[[#This Row],[Order_Date]],"mmm")</f>
        <v>Mar</v>
      </c>
      <c r="R855">
        <f>MONTH(order_data[[#This Row],[Order_Date]])</f>
        <v>3</v>
      </c>
    </row>
    <row r="856" spans="1:18" x14ac:dyDescent="0.35">
      <c r="A856" t="s">
        <v>1479</v>
      </c>
      <c r="B856" t="s">
        <v>65</v>
      </c>
      <c r="C856" t="s">
        <v>664</v>
      </c>
      <c r="D856" t="s">
        <v>53</v>
      </c>
      <c r="E856" t="s">
        <v>152</v>
      </c>
      <c r="F856" t="s">
        <v>18</v>
      </c>
      <c r="G856" t="s">
        <v>19</v>
      </c>
      <c r="H856">
        <v>215</v>
      </c>
      <c r="I856">
        <v>30</v>
      </c>
      <c r="J856">
        <v>20</v>
      </c>
      <c r="K856" t="s">
        <v>20</v>
      </c>
      <c r="L856">
        <v>49</v>
      </c>
      <c r="M856" t="s">
        <v>21</v>
      </c>
      <c r="N856">
        <f>COUNTIF(order_data[Order_ID],order_data[[#This Row],[Order_ID]])</f>
        <v>1</v>
      </c>
      <c r="O856">
        <f>order_data[[#This Row],[Order_Value]]-order_data[[#This Row],[Discount]]</f>
        <v>195</v>
      </c>
      <c r="P856">
        <f>order_data[[#This Row],[Order_Value]]+order_data[[#This Row],[Delivery_Fee]]-order_data[[#This Row],[Discount]]</f>
        <v>225</v>
      </c>
      <c r="Q856" t="str">
        <f>TEXT(order_data[[#This Row],[Order_Date]],"mmm")</f>
        <v>Mar</v>
      </c>
      <c r="R856">
        <f>MONTH(order_data[[#This Row],[Order_Date]])</f>
        <v>3</v>
      </c>
    </row>
    <row r="857" spans="1:18" x14ac:dyDescent="0.35">
      <c r="A857" t="s">
        <v>1480</v>
      </c>
      <c r="B857" t="s">
        <v>113</v>
      </c>
      <c r="C857" t="s">
        <v>743</v>
      </c>
      <c r="D857" t="s">
        <v>46</v>
      </c>
      <c r="E857" t="s">
        <v>148</v>
      </c>
      <c r="F857" t="s">
        <v>27</v>
      </c>
      <c r="G857" t="s">
        <v>176</v>
      </c>
      <c r="H857">
        <v>361</v>
      </c>
      <c r="I857">
        <v>20</v>
      </c>
      <c r="J857">
        <v>20</v>
      </c>
      <c r="K857" t="s">
        <v>29</v>
      </c>
      <c r="L857">
        <v>49</v>
      </c>
      <c r="M857" t="s">
        <v>21</v>
      </c>
      <c r="N857">
        <f>COUNTIF(order_data[Order_ID],order_data[[#This Row],[Order_ID]])</f>
        <v>1</v>
      </c>
      <c r="O857">
        <f>order_data[[#This Row],[Order_Value]]-order_data[[#This Row],[Discount]]</f>
        <v>341</v>
      </c>
      <c r="P857">
        <f>order_data[[#This Row],[Order_Value]]+order_data[[#This Row],[Delivery_Fee]]-order_data[[#This Row],[Discount]]</f>
        <v>361</v>
      </c>
      <c r="Q857" t="str">
        <f>TEXT(order_data[[#This Row],[Order_Date]],"mmm")</f>
        <v>Mar</v>
      </c>
      <c r="R857">
        <f>MONTH(order_data[[#This Row],[Order_Date]])</f>
        <v>3</v>
      </c>
    </row>
    <row r="858" spans="1:18" x14ac:dyDescent="0.35">
      <c r="A858" t="s">
        <v>1481</v>
      </c>
      <c r="B858" t="s">
        <v>133</v>
      </c>
      <c r="C858" t="s">
        <v>1482</v>
      </c>
      <c r="D858" t="s">
        <v>25</v>
      </c>
      <c r="E858" t="s">
        <v>78</v>
      </c>
      <c r="F858" t="s">
        <v>48</v>
      </c>
      <c r="G858" t="s">
        <v>176</v>
      </c>
      <c r="H858">
        <v>180</v>
      </c>
      <c r="I858">
        <v>30</v>
      </c>
      <c r="J858">
        <v>20</v>
      </c>
      <c r="K858" t="s">
        <v>20</v>
      </c>
      <c r="L858">
        <v>20</v>
      </c>
      <c r="M858" t="s">
        <v>30</v>
      </c>
      <c r="N858">
        <f>COUNTIF(order_data[Order_ID],order_data[[#This Row],[Order_ID]])</f>
        <v>1</v>
      </c>
      <c r="O858">
        <f>order_data[[#This Row],[Order_Value]]-order_data[[#This Row],[Discount]]</f>
        <v>160</v>
      </c>
      <c r="P858">
        <f>order_data[[#This Row],[Order_Value]]+order_data[[#This Row],[Delivery_Fee]]-order_data[[#This Row],[Discount]]</f>
        <v>190</v>
      </c>
      <c r="Q858" t="str">
        <f>TEXT(order_data[[#This Row],[Order_Date]],"mmm")</f>
        <v>Mar</v>
      </c>
      <c r="R858">
        <f>MONTH(order_data[[#This Row],[Order_Date]])</f>
        <v>3</v>
      </c>
    </row>
    <row r="859" spans="1:18" x14ac:dyDescent="0.35">
      <c r="A859" t="s">
        <v>1483</v>
      </c>
      <c r="B859" t="s">
        <v>129</v>
      </c>
      <c r="C859" t="s">
        <v>675</v>
      </c>
      <c r="D859" t="s">
        <v>40</v>
      </c>
      <c r="E859" t="s">
        <v>67</v>
      </c>
      <c r="F859" t="s">
        <v>48</v>
      </c>
      <c r="G859" t="s">
        <v>35</v>
      </c>
      <c r="H859">
        <v>667</v>
      </c>
      <c r="I859">
        <v>40</v>
      </c>
      <c r="J859">
        <v>0</v>
      </c>
      <c r="K859" t="s">
        <v>20</v>
      </c>
      <c r="L859">
        <v>40</v>
      </c>
      <c r="M859" t="s">
        <v>21</v>
      </c>
      <c r="N859">
        <f>COUNTIF(order_data[Order_ID],order_data[[#This Row],[Order_ID]])</f>
        <v>1</v>
      </c>
      <c r="O859">
        <f>order_data[[#This Row],[Order_Value]]-order_data[[#This Row],[Discount]]</f>
        <v>667</v>
      </c>
      <c r="P859">
        <f>order_data[[#This Row],[Order_Value]]+order_data[[#This Row],[Delivery_Fee]]-order_data[[#This Row],[Discount]]</f>
        <v>707</v>
      </c>
      <c r="Q859" t="str">
        <f>TEXT(order_data[[#This Row],[Order_Date]],"mmm")</f>
        <v>Feb</v>
      </c>
      <c r="R859">
        <f>MONTH(order_data[[#This Row],[Order_Date]])</f>
        <v>2</v>
      </c>
    </row>
    <row r="860" spans="1:18" x14ac:dyDescent="0.35">
      <c r="A860" t="s">
        <v>1484</v>
      </c>
      <c r="B860" t="s">
        <v>300</v>
      </c>
      <c r="C860" t="s">
        <v>163</v>
      </c>
      <c r="D860" t="s">
        <v>16</v>
      </c>
      <c r="E860" t="s">
        <v>131</v>
      </c>
      <c r="F860" t="s">
        <v>55</v>
      </c>
      <c r="G860" t="s">
        <v>42</v>
      </c>
      <c r="H860">
        <v>249</v>
      </c>
      <c r="I860">
        <v>20</v>
      </c>
      <c r="J860">
        <v>100</v>
      </c>
      <c r="K860" t="s">
        <v>20</v>
      </c>
      <c r="L860">
        <v>54</v>
      </c>
      <c r="M860" t="s">
        <v>21</v>
      </c>
      <c r="N860">
        <f>COUNTIF(order_data[Order_ID],order_data[[#This Row],[Order_ID]])</f>
        <v>1</v>
      </c>
      <c r="O860">
        <f>order_data[[#This Row],[Order_Value]]-order_data[[#This Row],[Discount]]</f>
        <v>149</v>
      </c>
      <c r="P860">
        <f>order_data[[#This Row],[Order_Value]]+order_data[[#This Row],[Delivery_Fee]]-order_data[[#This Row],[Discount]]</f>
        <v>169</v>
      </c>
      <c r="Q860" t="str">
        <f>TEXT(order_data[[#This Row],[Order_Date]],"mmm")</f>
        <v>Mar</v>
      </c>
      <c r="R860">
        <f>MONTH(order_data[[#This Row],[Order_Date]])</f>
        <v>3</v>
      </c>
    </row>
    <row r="861" spans="1:18" x14ac:dyDescent="0.35">
      <c r="A861" t="s">
        <v>1485</v>
      </c>
      <c r="B861" t="s">
        <v>271</v>
      </c>
      <c r="C861" t="s">
        <v>1128</v>
      </c>
      <c r="D861" t="s">
        <v>53</v>
      </c>
      <c r="E861" t="s">
        <v>84</v>
      </c>
      <c r="F861" t="s">
        <v>85</v>
      </c>
      <c r="G861" t="s">
        <v>107</v>
      </c>
      <c r="H861">
        <v>573</v>
      </c>
      <c r="I861">
        <v>40</v>
      </c>
      <c r="J861">
        <v>0</v>
      </c>
      <c r="K861" t="s">
        <v>20</v>
      </c>
      <c r="L861">
        <v>37</v>
      </c>
      <c r="M861" t="s">
        <v>21</v>
      </c>
      <c r="N861">
        <f>COUNTIF(order_data[Order_ID],order_data[[#This Row],[Order_ID]])</f>
        <v>1</v>
      </c>
      <c r="O861">
        <f>order_data[[#This Row],[Order_Value]]-order_data[[#This Row],[Discount]]</f>
        <v>573</v>
      </c>
      <c r="P861">
        <f>order_data[[#This Row],[Order_Value]]+order_data[[#This Row],[Delivery_Fee]]-order_data[[#This Row],[Discount]]</f>
        <v>613</v>
      </c>
      <c r="Q861" t="str">
        <f>TEXT(order_data[[#This Row],[Order_Date]],"mmm")</f>
        <v>Jan</v>
      </c>
      <c r="R861">
        <f>MONTH(order_data[[#This Row],[Order_Date]])</f>
        <v>1</v>
      </c>
    </row>
    <row r="862" spans="1:18" x14ac:dyDescent="0.35">
      <c r="A862" t="s">
        <v>1486</v>
      </c>
      <c r="B862" t="s">
        <v>541</v>
      </c>
      <c r="C862" t="s">
        <v>200</v>
      </c>
      <c r="D862" t="s">
        <v>53</v>
      </c>
      <c r="E862" t="s">
        <v>84</v>
      </c>
      <c r="F862" t="s">
        <v>85</v>
      </c>
      <c r="G862" t="s">
        <v>176</v>
      </c>
      <c r="H862">
        <v>532</v>
      </c>
      <c r="I862">
        <v>20</v>
      </c>
      <c r="J862">
        <v>20</v>
      </c>
      <c r="K862" t="s">
        <v>29</v>
      </c>
      <c r="L862">
        <v>36</v>
      </c>
      <c r="M862" t="s">
        <v>21</v>
      </c>
      <c r="N862">
        <f>COUNTIF(order_data[Order_ID],order_data[[#This Row],[Order_ID]])</f>
        <v>1</v>
      </c>
      <c r="O862">
        <f>order_data[[#This Row],[Order_Value]]-order_data[[#This Row],[Discount]]</f>
        <v>512</v>
      </c>
      <c r="P862">
        <f>order_data[[#This Row],[Order_Value]]+order_data[[#This Row],[Delivery_Fee]]-order_data[[#This Row],[Discount]]</f>
        <v>532</v>
      </c>
      <c r="Q862" t="str">
        <f>TEXT(order_data[[#This Row],[Order_Date]],"mmm")</f>
        <v>Jan</v>
      </c>
      <c r="R862">
        <f>MONTH(order_data[[#This Row],[Order_Date]])</f>
        <v>1</v>
      </c>
    </row>
    <row r="863" spans="1:18" x14ac:dyDescent="0.35">
      <c r="A863" t="s">
        <v>1487</v>
      </c>
      <c r="B863" t="s">
        <v>600</v>
      </c>
      <c r="C863" t="s">
        <v>521</v>
      </c>
      <c r="D863" t="s">
        <v>40</v>
      </c>
      <c r="E863" t="s">
        <v>41</v>
      </c>
      <c r="F863" t="s">
        <v>27</v>
      </c>
      <c r="G863" t="s">
        <v>176</v>
      </c>
      <c r="H863">
        <v>279</v>
      </c>
      <c r="I863">
        <v>20</v>
      </c>
      <c r="J863">
        <v>0</v>
      </c>
      <c r="K863" t="s">
        <v>36</v>
      </c>
      <c r="L863">
        <v>37</v>
      </c>
      <c r="M863" t="s">
        <v>30</v>
      </c>
      <c r="N863">
        <f>COUNTIF(order_data[Order_ID],order_data[[#This Row],[Order_ID]])</f>
        <v>1</v>
      </c>
      <c r="O863">
        <f>order_data[[#This Row],[Order_Value]]-order_data[[#This Row],[Discount]]</f>
        <v>279</v>
      </c>
      <c r="P863">
        <f>order_data[[#This Row],[Order_Value]]+order_data[[#This Row],[Delivery_Fee]]-order_data[[#This Row],[Discount]]</f>
        <v>299</v>
      </c>
      <c r="Q863" t="str">
        <f>TEXT(order_data[[#This Row],[Order_Date]],"mmm")</f>
        <v>Mar</v>
      </c>
      <c r="R863">
        <f>MONTH(order_data[[#This Row],[Order_Date]])</f>
        <v>3</v>
      </c>
    </row>
    <row r="864" spans="1:18" x14ac:dyDescent="0.35">
      <c r="A864" t="s">
        <v>1488</v>
      </c>
      <c r="B864" t="s">
        <v>286</v>
      </c>
      <c r="C864" t="s">
        <v>884</v>
      </c>
      <c r="D864" t="s">
        <v>46</v>
      </c>
      <c r="E864" t="s">
        <v>47</v>
      </c>
      <c r="F864" t="s">
        <v>48</v>
      </c>
      <c r="G864" t="s">
        <v>19</v>
      </c>
      <c r="H864">
        <v>272</v>
      </c>
      <c r="I864">
        <v>30</v>
      </c>
      <c r="J864">
        <v>20</v>
      </c>
      <c r="K864" t="s">
        <v>36</v>
      </c>
      <c r="L864">
        <v>46</v>
      </c>
      <c r="M864" t="s">
        <v>21</v>
      </c>
      <c r="N864">
        <f>COUNTIF(order_data[Order_ID],order_data[[#This Row],[Order_ID]])</f>
        <v>1</v>
      </c>
      <c r="O864">
        <f>order_data[[#This Row],[Order_Value]]-order_data[[#This Row],[Discount]]</f>
        <v>252</v>
      </c>
      <c r="P864">
        <f>order_data[[#This Row],[Order_Value]]+order_data[[#This Row],[Delivery_Fee]]-order_data[[#This Row],[Discount]]</f>
        <v>282</v>
      </c>
      <c r="Q864" t="str">
        <f>TEXT(order_data[[#This Row],[Order_Date]],"mmm")</f>
        <v>Mar</v>
      </c>
      <c r="R864">
        <f>MONTH(order_data[[#This Row],[Order_Date]])</f>
        <v>3</v>
      </c>
    </row>
    <row r="865" spans="1:18" x14ac:dyDescent="0.35">
      <c r="A865" t="s">
        <v>1489</v>
      </c>
      <c r="B865" t="s">
        <v>38</v>
      </c>
      <c r="C865" t="s">
        <v>1490</v>
      </c>
      <c r="D865" t="s">
        <v>16</v>
      </c>
      <c r="E865" t="s">
        <v>131</v>
      </c>
      <c r="F865" t="s">
        <v>55</v>
      </c>
      <c r="G865" t="s">
        <v>35</v>
      </c>
      <c r="H865">
        <v>736</v>
      </c>
      <c r="I865">
        <v>50</v>
      </c>
      <c r="J865">
        <v>20</v>
      </c>
      <c r="K865" t="s">
        <v>20</v>
      </c>
      <c r="L865">
        <v>60</v>
      </c>
      <c r="M865" t="s">
        <v>21</v>
      </c>
      <c r="N865">
        <f>COUNTIF(order_data[Order_ID],order_data[[#This Row],[Order_ID]])</f>
        <v>1</v>
      </c>
      <c r="O865">
        <f>order_data[[#This Row],[Order_Value]]-order_data[[#This Row],[Discount]]</f>
        <v>716</v>
      </c>
      <c r="P865">
        <f>order_data[[#This Row],[Order_Value]]+order_data[[#This Row],[Delivery_Fee]]-order_data[[#This Row],[Discount]]</f>
        <v>766</v>
      </c>
      <c r="Q865" t="str">
        <f>TEXT(order_data[[#This Row],[Order_Date]],"mmm")</f>
        <v>Jan</v>
      </c>
      <c r="R865">
        <f>MONTH(order_data[[#This Row],[Order_Date]])</f>
        <v>1</v>
      </c>
    </row>
    <row r="866" spans="1:18" x14ac:dyDescent="0.35">
      <c r="A866" t="s">
        <v>1491</v>
      </c>
      <c r="B866" t="s">
        <v>61</v>
      </c>
      <c r="C866" t="s">
        <v>1374</v>
      </c>
      <c r="D866" t="s">
        <v>25</v>
      </c>
      <c r="E866" t="s">
        <v>78</v>
      </c>
      <c r="F866" t="s">
        <v>48</v>
      </c>
      <c r="G866" t="s">
        <v>59</v>
      </c>
      <c r="H866">
        <v>534</v>
      </c>
      <c r="I866">
        <v>20</v>
      </c>
      <c r="J866">
        <v>30</v>
      </c>
      <c r="K866" t="s">
        <v>29</v>
      </c>
      <c r="L866">
        <v>29</v>
      </c>
      <c r="M866" t="s">
        <v>21</v>
      </c>
      <c r="N866">
        <f>COUNTIF(order_data[Order_ID],order_data[[#This Row],[Order_ID]])</f>
        <v>1</v>
      </c>
      <c r="O866">
        <f>order_data[[#This Row],[Order_Value]]-order_data[[#This Row],[Discount]]</f>
        <v>504</v>
      </c>
      <c r="P866">
        <f>order_data[[#This Row],[Order_Value]]+order_data[[#This Row],[Delivery_Fee]]-order_data[[#This Row],[Discount]]</f>
        <v>524</v>
      </c>
      <c r="Q866" t="str">
        <f>TEXT(order_data[[#This Row],[Order_Date]],"mmm")</f>
        <v>Jan</v>
      </c>
      <c r="R866">
        <f>MONTH(order_data[[#This Row],[Order_Date]])</f>
        <v>1</v>
      </c>
    </row>
    <row r="867" spans="1:18" x14ac:dyDescent="0.35">
      <c r="A867" t="s">
        <v>1492</v>
      </c>
      <c r="B867" t="s">
        <v>280</v>
      </c>
      <c r="C867" t="s">
        <v>516</v>
      </c>
      <c r="D867" t="s">
        <v>25</v>
      </c>
      <c r="E867" t="s">
        <v>78</v>
      </c>
      <c r="F867" t="s">
        <v>48</v>
      </c>
      <c r="G867" t="s">
        <v>176</v>
      </c>
      <c r="H867">
        <v>165</v>
      </c>
      <c r="I867">
        <v>50</v>
      </c>
      <c r="J867">
        <v>0</v>
      </c>
      <c r="K867" t="s">
        <v>20</v>
      </c>
      <c r="L867">
        <v>23</v>
      </c>
      <c r="M867" t="s">
        <v>21</v>
      </c>
      <c r="N867">
        <f>COUNTIF(order_data[Order_ID],order_data[[#This Row],[Order_ID]])</f>
        <v>1</v>
      </c>
      <c r="O867">
        <f>order_data[[#This Row],[Order_Value]]-order_data[[#This Row],[Discount]]</f>
        <v>165</v>
      </c>
      <c r="P867">
        <f>order_data[[#This Row],[Order_Value]]+order_data[[#This Row],[Delivery_Fee]]-order_data[[#This Row],[Discount]]</f>
        <v>215</v>
      </c>
      <c r="Q867" t="str">
        <f>TEXT(order_data[[#This Row],[Order_Date]],"mmm")</f>
        <v>Jan</v>
      </c>
      <c r="R867">
        <f>MONTH(order_data[[#This Row],[Order_Date]])</f>
        <v>1</v>
      </c>
    </row>
    <row r="868" spans="1:18" x14ac:dyDescent="0.35">
      <c r="A868" t="s">
        <v>1493</v>
      </c>
      <c r="B868" t="s">
        <v>181</v>
      </c>
      <c r="C868" t="s">
        <v>623</v>
      </c>
      <c r="D868" t="s">
        <v>53</v>
      </c>
      <c r="E868" t="s">
        <v>84</v>
      </c>
      <c r="F868" t="s">
        <v>85</v>
      </c>
      <c r="G868" t="s">
        <v>63</v>
      </c>
      <c r="H868">
        <v>187</v>
      </c>
      <c r="I868">
        <v>20</v>
      </c>
      <c r="J868">
        <v>30</v>
      </c>
      <c r="K868" t="s">
        <v>20</v>
      </c>
      <c r="L868">
        <v>48</v>
      </c>
      <c r="M868" t="s">
        <v>21</v>
      </c>
      <c r="N868">
        <f>COUNTIF(order_data[Order_ID],order_data[[#This Row],[Order_ID]])</f>
        <v>1</v>
      </c>
      <c r="O868">
        <f>order_data[[#This Row],[Order_Value]]-order_data[[#This Row],[Discount]]</f>
        <v>157</v>
      </c>
      <c r="P868">
        <f>order_data[[#This Row],[Order_Value]]+order_data[[#This Row],[Delivery_Fee]]-order_data[[#This Row],[Discount]]</f>
        <v>177</v>
      </c>
      <c r="Q868" t="str">
        <f>TEXT(order_data[[#This Row],[Order_Date]],"mmm")</f>
        <v>Feb</v>
      </c>
      <c r="R868">
        <f>MONTH(order_data[[#This Row],[Order_Date]])</f>
        <v>2</v>
      </c>
    </row>
    <row r="869" spans="1:18" x14ac:dyDescent="0.35">
      <c r="A869" t="s">
        <v>1494</v>
      </c>
      <c r="B869" t="s">
        <v>23</v>
      </c>
      <c r="C869" t="s">
        <v>1495</v>
      </c>
      <c r="D869" t="s">
        <v>16</v>
      </c>
      <c r="E869" t="s">
        <v>89</v>
      </c>
      <c r="F869" t="s">
        <v>18</v>
      </c>
      <c r="G869" t="s">
        <v>35</v>
      </c>
      <c r="H869">
        <v>172</v>
      </c>
      <c r="I869">
        <v>20</v>
      </c>
      <c r="J869">
        <v>30</v>
      </c>
      <c r="K869" t="s">
        <v>36</v>
      </c>
      <c r="L869">
        <v>21</v>
      </c>
      <c r="M869" t="s">
        <v>21</v>
      </c>
      <c r="N869">
        <f>COUNTIF(order_data[Order_ID],order_data[[#This Row],[Order_ID]])</f>
        <v>1</v>
      </c>
      <c r="O869">
        <f>order_data[[#This Row],[Order_Value]]-order_data[[#This Row],[Discount]]</f>
        <v>142</v>
      </c>
      <c r="P869">
        <f>order_data[[#This Row],[Order_Value]]+order_data[[#This Row],[Delivery_Fee]]-order_data[[#This Row],[Discount]]</f>
        <v>162</v>
      </c>
      <c r="Q869" t="str">
        <f>TEXT(order_data[[#This Row],[Order_Date]],"mmm")</f>
        <v>Mar</v>
      </c>
      <c r="R869">
        <f>MONTH(order_data[[#This Row],[Order_Date]])</f>
        <v>3</v>
      </c>
    </row>
    <row r="870" spans="1:18" x14ac:dyDescent="0.35">
      <c r="A870" t="s">
        <v>1496</v>
      </c>
      <c r="B870" t="s">
        <v>244</v>
      </c>
      <c r="C870" t="s">
        <v>1226</v>
      </c>
      <c r="D870" t="s">
        <v>25</v>
      </c>
      <c r="E870" t="s">
        <v>78</v>
      </c>
      <c r="F870" t="s">
        <v>48</v>
      </c>
      <c r="G870" t="s">
        <v>59</v>
      </c>
      <c r="H870">
        <v>418</v>
      </c>
      <c r="I870">
        <v>20</v>
      </c>
      <c r="J870">
        <v>30</v>
      </c>
      <c r="K870" t="s">
        <v>20</v>
      </c>
      <c r="L870">
        <v>40</v>
      </c>
      <c r="M870" t="s">
        <v>30</v>
      </c>
      <c r="N870">
        <f>COUNTIF(order_data[Order_ID],order_data[[#This Row],[Order_ID]])</f>
        <v>1</v>
      </c>
      <c r="O870">
        <f>order_data[[#This Row],[Order_Value]]-order_data[[#This Row],[Discount]]</f>
        <v>388</v>
      </c>
      <c r="P870">
        <f>order_data[[#This Row],[Order_Value]]+order_data[[#This Row],[Delivery_Fee]]-order_data[[#This Row],[Discount]]</f>
        <v>408</v>
      </c>
      <c r="Q870" t="str">
        <f>TEXT(order_data[[#This Row],[Order_Date]],"mmm")</f>
        <v>Feb</v>
      </c>
      <c r="R870">
        <f>MONTH(order_data[[#This Row],[Order_Date]])</f>
        <v>2</v>
      </c>
    </row>
    <row r="871" spans="1:18" x14ac:dyDescent="0.35">
      <c r="A871" t="s">
        <v>1497</v>
      </c>
      <c r="B871" t="s">
        <v>174</v>
      </c>
      <c r="C871" t="s">
        <v>1498</v>
      </c>
      <c r="D871" t="s">
        <v>25</v>
      </c>
      <c r="E871" t="s">
        <v>78</v>
      </c>
      <c r="F871" t="s">
        <v>48</v>
      </c>
      <c r="G871" t="s">
        <v>28</v>
      </c>
      <c r="H871">
        <v>626</v>
      </c>
      <c r="I871">
        <v>40</v>
      </c>
      <c r="J871">
        <v>100</v>
      </c>
      <c r="K871" t="s">
        <v>20</v>
      </c>
      <c r="L871">
        <v>58</v>
      </c>
      <c r="M871" t="s">
        <v>21</v>
      </c>
      <c r="N871">
        <f>COUNTIF(order_data[Order_ID],order_data[[#This Row],[Order_ID]])</f>
        <v>1</v>
      </c>
      <c r="O871">
        <f>order_data[[#This Row],[Order_Value]]-order_data[[#This Row],[Discount]]</f>
        <v>526</v>
      </c>
      <c r="P871">
        <f>order_data[[#This Row],[Order_Value]]+order_data[[#This Row],[Delivery_Fee]]-order_data[[#This Row],[Discount]]</f>
        <v>566</v>
      </c>
      <c r="Q871" t="str">
        <f>TEXT(order_data[[#This Row],[Order_Date]],"mmm")</f>
        <v>Feb</v>
      </c>
      <c r="R871">
        <f>MONTH(order_data[[#This Row],[Order_Date]])</f>
        <v>2</v>
      </c>
    </row>
    <row r="872" spans="1:18" x14ac:dyDescent="0.35">
      <c r="A872" t="s">
        <v>1499</v>
      </c>
      <c r="B872" t="s">
        <v>150</v>
      </c>
      <c r="C872" t="s">
        <v>728</v>
      </c>
      <c r="D872" t="s">
        <v>25</v>
      </c>
      <c r="E872" t="s">
        <v>26</v>
      </c>
      <c r="F872" t="s">
        <v>27</v>
      </c>
      <c r="G872" t="s">
        <v>49</v>
      </c>
      <c r="H872">
        <v>192</v>
      </c>
      <c r="I872">
        <v>40</v>
      </c>
      <c r="J872">
        <v>0</v>
      </c>
      <c r="K872" t="s">
        <v>20</v>
      </c>
      <c r="L872">
        <v>38</v>
      </c>
      <c r="M872" t="s">
        <v>21</v>
      </c>
      <c r="N872">
        <f>COUNTIF(order_data[Order_ID],order_data[[#This Row],[Order_ID]])</f>
        <v>1</v>
      </c>
      <c r="O872">
        <f>order_data[[#This Row],[Order_Value]]-order_data[[#This Row],[Discount]]</f>
        <v>192</v>
      </c>
      <c r="P872">
        <f>order_data[[#This Row],[Order_Value]]+order_data[[#This Row],[Delivery_Fee]]-order_data[[#This Row],[Discount]]</f>
        <v>232</v>
      </c>
      <c r="Q872" t="str">
        <f>TEXT(order_data[[#This Row],[Order_Date]],"mmm")</f>
        <v>Feb</v>
      </c>
      <c r="R872">
        <f>MONTH(order_data[[#This Row],[Order_Date]])</f>
        <v>2</v>
      </c>
    </row>
    <row r="873" spans="1:18" x14ac:dyDescent="0.35">
      <c r="A873" t="s">
        <v>1500</v>
      </c>
      <c r="B873" t="s">
        <v>473</v>
      </c>
      <c r="C873" t="s">
        <v>83</v>
      </c>
      <c r="D873" t="s">
        <v>40</v>
      </c>
      <c r="E873" t="s">
        <v>111</v>
      </c>
      <c r="F873" t="s">
        <v>18</v>
      </c>
      <c r="G873" t="s">
        <v>107</v>
      </c>
      <c r="H873">
        <v>264</v>
      </c>
      <c r="I873">
        <v>50</v>
      </c>
      <c r="J873">
        <v>30</v>
      </c>
      <c r="K873" t="s">
        <v>36</v>
      </c>
      <c r="L873">
        <v>60</v>
      </c>
      <c r="M873" t="s">
        <v>21</v>
      </c>
      <c r="N873">
        <f>COUNTIF(order_data[Order_ID],order_data[[#This Row],[Order_ID]])</f>
        <v>1</v>
      </c>
      <c r="O873">
        <f>order_data[[#This Row],[Order_Value]]-order_data[[#This Row],[Discount]]</f>
        <v>234</v>
      </c>
      <c r="P873">
        <f>order_data[[#This Row],[Order_Value]]+order_data[[#This Row],[Delivery_Fee]]-order_data[[#This Row],[Discount]]</f>
        <v>284</v>
      </c>
      <c r="Q873" t="str">
        <f>TEXT(order_data[[#This Row],[Order_Date]],"mmm")</f>
        <v>Mar</v>
      </c>
      <c r="R873">
        <f>MONTH(order_data[[#This Row],[Order_Date]])</f>
        <v>3</v>
      </c>
    </row>
    <row r="874" spans="1:18" x14ac:dyDescent="0.35">
      <c r="A874" t="s">
        <v>1501</v>
      </c>
      <c r="B874" t="s">
        <v>65</v>
      </c>
      <c r="C874" t="s">
        <v>634</v>
      </c>
      <c r="D874" t="s">
        <v>46</v>
      </c>
      <c r="E874" t="s">
        <v>70</v>
      </c>
      <c r="F874" t="s">
        <v>18</v>
      </c>
      <c r="G874" t="s">
        <v>42</v>
      </c>
      <c r="H874">
        <v>694</v>
      </c>
      <c r="I874">
        <v>40</v>
      </c>
      <c r="J874">
        <v>0</v>
      </c>
      <c r="K874" t="s">
        <v>36</v>
      </c>
      <c r="L874">
        <v>34</v>
      </c>
      <c r="M874" t="s">
        <v>21</v>
      </c>
      <c r="N874">
        <f>COUNTIF(order_data[Order_ID],order_data[[#This Row],[Order_ID]])</f>
        <v>1</v>
      </c>
      <c r="O874">
        <f>order_data[[#This Row],[Order_Value]]-order_data[[#This Row],[Discount]]</f>
        <v>694</v>
      </c>
      <c r="P874">
        <f>order_data[[#This Row],[Order_Value]]+order_data[[#This Row],[Delivery_Fee]]-order_data[[#This Row],[Discount]]</f>
        <v>734</v>
      </c>
      <c r="Q874" t="str">
        <f>TEXT(order_data[[#This Row],[Order_Date]],"mmm")</f>
        <v>Mar</v>
      </c>
      <c r="R874">
        <f>MONTH(order_data[[#This Row],[Order_Date]])</f>
        <v>3</v>
      </c>
    </row>
    <row r="875" spans="1:18" x14ac:dyDescent="0.35">
      <c r="A875" t="s">
        <v>1502</v>
      </c>
      <c r="B875" t="s">
        <v>398</v>
      </c>
      <c r="C875" t="s">
        <v>838</v>
      </c>
      <c r="D875" t="s">
        <v>16</v>
      </c>
      <c r="E875" t="s">
        <v>17</v>
      </c>
      <c r="F875" t="s">
        <v>18</v>
      </c>
      <c r="G875" t="s">
        <v>176</v>
      </c>
      <c r="H875">
        <v>574</v>
      </c>
      <c r="I875">
        <v>40</v>
      </c>
      <c r="J875">
        <v>0</v>
      </c>
      <c r="K875" t="s">
        <v>20</v>
      </c>
      <c r="L875">
        <v>47</v>
      </c>
      <c r="M875" t="s">
        <v>21</v>
      </c>
      <c r="N875">
        <f>COUNTIF(order_data[Order_ID],order_data[[#This Row],[Order_ID]])</f>
        <v>1</v>
      </c>
      <c r="O875">
        <f>order_data[[#This Row],[Order_Value]]-order_data[[#This Row],[Discount]]</f>
        <v>574</v>
      </c>
      <c r="P875">
        <f>order_data[[#This Row],[Order_Value]]+order_data[[#This Row],[Delivery_Fee]]-order_data[[#This Row],[Discount]]</f>
        <v>614</v>
      </c>
      <c r="Q875" t="str">
        <f>TEXT(order_data[[#This Row],[Order_Date]],"mmm")</f>
        <v>Feb</v>
      </c>
      <c r="R875">
        <f>MONTH(order_data[[#This Row],[Order_Date]])</f>
        <v>2</v>
      </c>
    </row>
    <row r="876" spans="1:18" x14ac:dyDescent="0.35">
      <c r="A876" t="s">
        <v>1503</v>
      </c>
      <c r="B876" t="s">
        <v>167</v>
      </c>
      <c r="C876" t="s">
        <v>363</v>
      </c>
      <c r="D876" t="s">
        <v>40</v>
      </c>
      <c r="E876" t="s">
        <v>67</v>
      </c>
      <c r="F876" t="s">
        <v>48</v>
      </c>
      <c r="G876" t="s">
        <v>63</v>
      </c>
      <c r="H876">
        <v>240</v>
      </c>
      <c r="I876">
        <v>40</v>
      </c>
      <c r="J876">
        <v>30</v>
      </c>
      <c r="K876" t="s">
        <v>20</v>
      </c>
      <c r="L876">
        <v>58</v>
      </c>
      <c r="M876" t="s">
        <v>21</v>
      </c>
      <c r="N876">
        <f>COUNTIF(order_data[Order_ID],order_data[[#This Row],[Order_ID]])</f>
        <v>1</v>
      </c>
      <c r="O876">
        <f>order_data[[#This Row],[Order_Value]]-order_data[[#This Row],[Discount]]</f>
        <v>210</v>
      </c>
      <c r="P876">
        <f>order_data[[#This Row],[Order_Value]]+order_data[[#This Row],[Delivery_Fee]]-order_data[[#This Row],[Discount]]</f>
        <v>250</v>
      </c>
      <c r="Q876" t="str">
        <f>TEXT(order_data[[#This Row],[Order_Date]],"mmm")</f>
        <v>Feb</v>
      </c>
      <c r="R876">
        <f>MONTH(order_data[[#This Row],[Order_Date]])</f>
        <v>2</v>
      </c>
    </row>
    <row r="877" spans="1:18" x14ac:dyDescent="0.35">
      <c r="A877" t="s">
        <v>1504</v>
      </c>
      <c r="B877" t="s">
        <v>32</v>
      </c>
      <c r="C877" t="s">
        <v>1505</v>
      </c>
      <c r="D877" t="s">
        <v>46</v>
      </c>
      <c r="E877" t="s">
        <v>148</v>
      </c>
      <c r="F877" t="s">
        <v>27</v>
      </c>
      <c r="G877" t="s">
        <v>19</v>
      </c>
      <c r="H877">
        <v>428</v>
      </c>
      <c r="I877">
        <v>30</v>
      </c>
      <c r="J877">
        <v>50</v>
      </c>
      <c r="K877" t="s">
        <v>20</v>
      </c>
      <c r="L877">
        <v>26</v>
      </c>
      <c r="M877" t="s">
        <v>21</v>
      </c>
      <c r="N877">
        <f>COUNTIF(order_data[Order_ID],order_data[[#This Row],[Order_ID]])</f>
        <v>1</v>
      </c>
      <c r="O877">
        <f>order_data[[#This Row],[Order_Value]]-order_data[[#This Row],[Discount]]</f>
        <v>378</v>
      </c>
      <c r="P877">
        <f>order_data[[#This Row],[Order_Value]]+order_data[[#This Row],[Delivery_Fee]]-order_data[[#This Row],[Discount]]</f>
        <v>408</v>
      </c>
      <c r="Q877" t="str">
        <f>TEXT(order_data[[#This Row],[Order_Date]],"mmm")</f>
        <v>Jan</v>
      </c>
      <c r="R877">
        <f>MONTH(order_data[[#This Row],[Order_Date]])</f>
        <v>1</v>
      </c>
    </row>
    <row r="878" spans="1:18" x14ac:dyDescent="0.35">
      <c r="A878" t="s">
        <v>1506</v>
      </c>
      <c r="B878" t="s">
        <v>339</v>
      </c>
      <c r="C878" t="s">
        <v>1507</v>
      </c>
      <c r="D878" t="s">
        <v>46</v>
      </c>
      <c r="E878" t="s">
        <v>148</v>
      </c>
      <c r="F878" t="s">
        <v>27</v>
      </c>
      <c r="G878" t="s">
        <v>49</v>
      </c>
      <c r="H878">
        <v>502</v>
      </c>
      <c r="I878">
        <v>20</v>
      </c>
      <c r="J878">
        <v>100</v>
      </c>
      <c r="K878" t="s">
        <v>29</v>
      </c>
      <c r="L878">
        <v>24</v>
      </c>
      <c r="M878" t="s">
        <v>21</v>
      </c>
      <c r="N878">
        <f>COUNTIF(order_data[Order_ID],order_data[[#This Row],[Order_ID]])</f>
        <v>1</v>
      </c>
      <c r="O878">
        <f>order_data[[#This Row],[Order_Value]]-order_data[[#This Row],[Discount]]</f>
        <v>402</v>
      </c>
      <c r="P878">
        <f>order_data[[#This Row],[Order_Value]]+order_data[[#This Row],[Delivery_Fee]]-order_data[[#This Row],[Discount]]</f>
        <v>422</v>
      </c>
      <c r="Q878" t="str">
        <f>TEXT(order_data[[#This Row],[Order_Date]],"mmm")</f>
        <v>Jan</v>
      </c>
      <c r="R878">
        <f>MONTH(order_data[[#This Row],[Order_Date]])</f>
        <v>1</v>
      </c>
    </row>
    <row r="879" spans="1:18" x14ac:dyDescent="0.35">
      <c r="A879" t="s">
        <v>1508</v>
      </c>
      <c r="B879" t="s">
        <v>154</v>
      </c>
      <c r="C879" t="s">
        <v>233</v>
      </c>
      <c r="D879" t="s">
        <v>16</v>
      </c>
      <c r="E879" t="s">
        <v>131</v>
      </c>
      <c r="F879" t="s">
        <v>55</v>
      </c>
      <c r="G879" t="s">
        <v>35</v>
      </c>
      <c r="H879">
        <v>736</v>
      </c>
      <c r="I879">
        <v>50</v>
      </c>
      <c r="J879">
        <v>30</v>
      </c>
      <c r="K879" t="s">
        <v>36</v>
      </c>
      <c r="L879">
        <v>29</v>
      </c>
      <c r="M879" t="s">
        <v>21</v>
      </c>
      <c r="N879">
        <f>COUNTIF(order_data[Order_ID],order_data[[#This Row],[Order_ID]])</f>
        <v>1</v>
      </c>
      <c r="O879">
        <f>order_data[[#This Row],[Order_Value]]-order_data[[#This Row],[Discount]]</f>
        <v>706</v>
      </c>
      <c r="P879">
        <f>order_data[[#This Row],[Order_Value]]+order_data[[#This Row],[Delivery_Fee]]-order_data[[#This Row],[Discount]]</f>
        <v>756</v>
      </c>
      <c r="Q879" t="str">
        <f>TEXT(order_data[[#This Row],[Order_Date]],"mmm")</f>
        <v>Jan</v>
      </c>
      <c r="R879">
        <f>MONTH(order_data[[#This Row],[Order_Date]])</f>
        <v>1</v>
      </c>
    </row>
    <row r="880" spans="1:18" x14ac:dyDescent="0.35">
      <c r="A880" t="s">
        <v>1509</v>
      </c>
      <c r="B880" t="s">
        <v>87</v>
      </c>
      <c r="C880" t="s">
        <v>421</v>
      </c>
      <c r="D880" t="s">
        <v>25</v>
      </c>
      <c r="E880" t="s">
        <v>78</v>
      </c>
      <c r="F880" t="s">
        <v>48</v>
      </c>
      <c r="G880" t="s">
        <v>176</v>
      </c>
      <c r="H880">
        <v>784</v>
      </c>
      <c r="I880">
        <v>30</v>
      </c>
      <c r="J880">
        <v>20</v>
      </c>
      <c r="K880" t="s">
        <v>29</v>
      </c>
      <c r="L880">
        <v>38</v>
      </c>
      <c r="M880" t="s">
        <v>21</v>
      </c>
      <c r="N880">
        <f>COUNTIF(order_data[Order_ID],order_data[[#This Row],[Order_ID]])</f>
        <v>1</v>
      </c>
      <c r="O880">
        <f>order_data[[#This Row],[Order_Value]]-order_data[[#This Row],[Discount]]</f>
        <v>764</v>
      </c>
      <c r="P880">
        <f>order_data[[#This Row],[Order_Value]]+order_data[[#This Row],[Delivery_Fee]]-order_data[[#This Row],[Discount]]</f>
        <v>794</v>
      </c>
      <c r="Q880" t="str">
        <f>TEXT(order_data[[#This Row],[Order_Date]],"mmm")</f>
        <v>Jan</v>
      </c>
      <c r="R880">
        <f>MONTH(order_data[[#This Row],[Order_Date]])</f>
        <v>1</v>
      </c>
    </row>
    <row r="881" spans="1:18" x14ac:dyDescent="0.35">
      <c r="A881" t="s">
        <v>1510</v>
      </c>
      <c r="B881" t="s">
        <v>300</v>
      </c>
      <c r="C881" t="s">
        <v>1313</v>
      </c>
      <c r="D881" t="s">
        <v>25</v>
      </c>
      <c r="E881" t="s">
        <v>26</v>
      </c>
      <c r="F881" t="s">
        <v>27</v>
      </c>
      <c r="G881" t="s">
        <v>107</v>
      </c>
      <c r="H881">
        <v>468</v>
      </c>
      <c r="I881">
        <v>40</v>
      </c>
      <c r="J881">
        <v>100</v>
      </c>
      <c r="K881" t="s">
        <v>36</v>
      </c>
      <c r="L881">
        <v>39</v>
      </c>
      <c r="M881" t="s">
        <v>21</v>
      </c>
      <c r="N881">
        <f>COUNTIF(order_data[Order_ID],order_data[[#This Row],[Order_ID]])</f>
        <v>1</v>
      </c>
      <c r="O881">
        <f>order_data[[#This Row],[Order_Value]]-order_data[[#This Row],[Discount]]</f>
        <v>368</v>
      </c>
      <c r="P881">
        <f>order_data[[#This Row],[Order_Value]]+order_data[[#This Row],[Delivery_Fee]]-order_data[[#This Row],[Discount]]</f>
        <v>408</v>
      </c>
      <c r="Q881" t="str">
        <f>TEXT(order_data[[#This Row],[Order_Date]],"mmm")</f>
        <v>Mar</v>
      </c>
      <c r="R881">
        <f>MONTH(order_data[[#This Row],[Order_Date]])</f>
        <v>3</v>
      </c>
    </row>
    <row r="882" spans="1:18" x14ac:dyDescent="0.35">
      <c r="A882" t="s">
        <v>1511</v>
      </c>
      <c r="B882" t="s">
        <v>600</v>
      </c>
      <c r="C882" t="s">
        <v>337</v>
      </c>
      <c r="D882" t="s">
        <v>25</v>
      </c>
      <c r="E882" t="s">
        <v>34</v>
      </c>
      <c r="F882" t="s">
        <v>27</v>
      </c>
      <c r="G882" t="s">
        <v>176</v>
      </c>
      <c r="H882">
        <v>552</v>
      </c>
      <c r="I882">
        <v>30</v>
      </c>
      <c r="J882">
        <v>100</v>
      </c>
      <c r="K882" t="s">
        <v>20</v>
      </c>
      <c r="L882">
        <v>22</v>
      </c>
      <c r="M882" t="s">
        <v>21</v>
      </c>
      <c r="N882">
        <f>COUNTIF(order_data[Order_ID],order_data[[#This Row],[Order_ID]])</f>
        <v>1</v>
      </c>
      <c r="O882">
        <f>order_data[[#This Row],[Order_Value]]-order_data[[#This Row],[Discount]]</f>
        <v>452</v>
      </c>
      <c r="P882">
        <f>order_data[[#This Row],[Order_Value]]+order_data[[#This Row],[Delivery_Fee]]-order_data[[#This Row],[Discount]]</f>
        <v>482</v>
      </c>
      <c r="Q882" t="str">
        <f>TEXT(order_data[[#This Row],[Order_Date]],"mmm")</f>
        <v>Mar</v>
      </c>
      <c r="R882">
        <f>MONTH(order_data[[#This Row],[Order_Date]])</f>
        <v>3</v>
      </c>
    </row>
    <row r="883" spans="1:18" x14ac:dyDescent="0.35">
      <c r="A883" t="s">
        <v>1512</v>
      </c>
      <c r="B883" t="s">
        <v>342</v>
      </c>
      <c r="C883" t="s">
        <v>686</v>
      </c>
      <c r="D883" t="s">
        <v>25</v>
      </c>
      <c r="E883" t="s">
        <v>78</v>
      </c>
      <c r="F883" t="s">
        <v>48</v>
      </c>
      <c r="G883" t="s">
        <v>107</v>
      </c>
      <c r="H883">
        <v>568</v>
      </c>
      <c r="I883">
        <v>30</v>
      </c>
      <c r="J883">
        <v>30</v>
      </c>
      <c r="K883" t="s">
        <v>20</v>
      </c>
      <c r="L883">
        <v>51</v>
      </c>
      <c r="M883" t="s">
        <v>21</v>
      </c>
      <c r="N883">
        <f>COUNTIF(order_data[Order_ID],order_data[[#This Row],[Order_ID]])</f>
        <v>1</v>
      </c>
      <c r="O883">
        <f>order_data[[#This Row],[Order_Value]]-order_data[[#This Row],[Discount]]</f>
        <v>538</v>
      </c>
      <c r="P883">
        <f>order_data[[#This Row],[Order_Value]]+order_data[[#This Row],[Delivery_Fee]]-order_data[[#This Row],[Discount]]</f>
        <v>568</v>
      </c>
      <c r="Q883" t="str">
        <f>TEXT(order_data[[#This Row],[Order_Date]],"mmm")</f>
        <v>Jan</v>
      </c>
      <c r="R883">
        <f>MONTH(order_data[[#This Row],[Order_Date]])</f>
        <v>1</v>
      </c>
    </row>
    <row r="884" spans="1:18" x14ac:dyDescent="0.35">
      <c r="A884" t="s">
        <v>1513</v>
      </c>
      <c r="B884" t="s">
        <v>99</v>
      </c>
      <c r="C884" t="s">
        <v>1514</v>
      </c>
      <c r="D884" t="s">
        <v>46</v>
      </c>
      <c r="E884" t="s">
        <v>148</v>
      </c>
      <c r="F884" t="s">
        <v>27</v>
      </c>
      <c r="G884" t="s">
        <v>176</v>
      </c>
      <c r="H884">
        <v>601</v>
      </c>
      <c r="I884">
        <v>40</v>
      </c>
      <c r="J884">
        <v>100</v>
      </c>
      <c r="K884" t="s">
        <v>29</v>
      </c>
      <c r="L884">
        <v>58</v>
      </c>
      <c r="M884" t="s">
        <v>21</v>
      </c>
      <c r="N884">
        <f>COUNTIF(order_data[Order_ID],order_data[[#This Row],[Order_ID]])</f>
        <v>1</v>
      </c>
      <c r="O884">
        <f>order_data[[#This Row],[Order_Value]]-order_data[[#This Row],[Discount]]</f>
        <v>501</v>
      </c>
      <c r="P884">
        <f>order_data[[#This Row],[Order_Value]]+order_data[[#This Row],[Delivery_Fee]]-order_data[[#This Row],[Discount]]</f>
        <v>541</v>
      </c>
      <c r="Q884" t="str">
        <f>TEXT(order_data[[#This Row],[Order_Date]],"mmm")</f>
        <v>Mar</v>
      </c>
      <c r="R884">
        <f>MONTH(order_data[[#This Row],[Order_Date]])</f>
        <v>3</v>
      </c>
    </row>
    <row r="885" spans="1:18" x14ac:dyDescent="0.35">
      <c r="A885" t="s">
        <v>1515</v>
      </c>
      <c r="B885" t="s">
        <v>247</v>
      </c>
      <c r="C885" t="s">
        <v>263</v>
      </c>
      <c r="D885" t="s">
        <v>40</v>
      </c>
      <c r="E885" t="s">
        <v>41</v>
      </c>
      <c r="F885" t="s">
        <v>27</v>
      </c>
      <c r="G885" t="s">
        <v>74</v>
      </c>
      <c r="H885">
        <v>391</v>
      </c>
      <c r="I885">
        <v>50</v>
      </c>
      <c r="J885">
        <v>0</v>
      </c>
      <c r="K885" t="s">
        <v>29</v>
      </c>
      <c r="L885">
        <v>59</v>
      </c>
      <c r="M885" t="s">
        <v>21</v>
      </c>
      <c r="N885">
        <f>COUNTIF(order_data[Order_ID],order_data[[#This Row],[Order_ID]])</f>
        <v>1</v>
      </c>
      <c r="O885">
        <f>order_data[[#This Row],[Order_Value]]-order_data[[#This Row],[Discount]]</f>
        <v>391</v>
      </c>
      <c r="P885">
        <f>order_data[[#This Row],[Order_Value]]+order_data[[#This Row],[Delivery_Fee]]-order_data[[#This Row],[Discount]]</f>
        <v>441</v>
      </c>
      <c r="Q885" t="str">
        <f>TEXT(order_data[[#This Row],[Order_Date]],"mmm")</f>
        <v>Mar</v>
      </c>
      <c r="R885">
        <f>MONTH(order_data[[#This Row],[Order_Date]])</f>
        <v>3</v>
      </c>
    </row>
    <row r="886" spans="1:18" x14ac:dyDescent="0.35">
      <c r="A886" t="s">
        <v>1516</v>
      </c>
      <c r="B886" t="s">
        <v>252</v>
      </c>
      <c r="C886" t="s">
        <v>211</v>
      </c>
      <c r="D886" t="s">
        <v>40</v>
      </c>
      <c r="E886" t="s">
        <v>111</v>
      </c>
      <c r="F886" t="s">
        <v>18</v>
      </c>
      <c r="G886" t="s">
        <v>176</v>
      </c>
      <c r="H886">
        <v>582</v>
      </c>
      <c r="I886">
        <v>30</v>
      </c>
      <c r="J886">
        <v>50</v>
      </c>
      <c r="K886" t="s">
        <v>20</v>
      </c>
      <c r="L886">
        <v>26</v>
      </c>
      <c r="M886" t="s">
        <v>21</v>
      </c>
      <c r="N886">
        <f>COUNTIF(order_data[Order_ID],order_data[[#This Row],[Order_ID]])</f>
        <v>1</v>
      </c>
      <c r="O886">
        <f>order_data[[#This Row],[Order_Value]]-order_data[[#This Row],[Discount]]</f>
        <v>532</v>
      </c>
      <c r="P886">
        <f>order_data[[#This Row],[Order_Value]]+order_data[[#This Row],[Delivery_Fee]]-order_data[[#This Row],[Discount]]</f>
        <v>562</v>
      </c>
      <c r="Q886" t="str">
        <f>TEXT(order_data[[#This Row],[Order_Date]],"mmm")</f>
        <v>Jan</v>
      </c>
      <c r="R886">
        <f>MONTH(order_data[[#This Row],[Order_Date]])</f>
        <v>1</v>
      </c>
    </row>
    <row r="887" spans="1:18" x14ac:dyDescent="0.35">
      <c r="A887" t="s">
        <v>1517</v>
      </c>
      <c r="B887" t="s">
        <v>136</v>
      </c>
      <c r="C887" t="s">
        <v>1518</v>
      </c>
      <c r="D887" t="s">
        <v>16</v>
      </c>
      <c r="E887" t="s">
        <v>89</v>
      </c>
      <c r="F887" t="s">
        <v>18</v>
      </c>
      <c r="G887" t="s">
        <v>176</v>
      </c>
      <c r="H887">
        <v>438</v>
      </c>
      <c r="I887">
        <v>20</v>
      </c>
      <c r="J887">
        <v>50</v>
      </c>
      <c r="K887" t="s">
        <v>36</v>
      </c>
      <c r="L887">
        <v>27</v>
      </c>
      <c r="M887" t="s">
        <v>21</v>
      </c>
      <c r="N887">
        <f>COUNTIF(order_data[Order_ID],order_data[[#This Row],[Order_ID]])</f>
        <v>1</v>
      </c>
      <c r="O887">
        <f>order_data[[#This Row],[Order_Value]]-order_data[[#This Row],[Discount]]</f>
        <v>388</v>
      </c>
      <c r="P887">
        <f>order_data[[#This Row],[Order_Value]]+order_data[[#This Row],[Delivery_Fee]]-order_data[[#This Row],[Discount]]</f>
        <v>408</v>
      </c>
      <c r="Q887" t="str">
        <f>TEXT(order_data[[#This Row],[Order_Date]],"mmm")</f>
        <v>Feb</v>
      </c>
      <c r="R887">
        <f>MONTH(order_data[[#This Row],[Order_Date]])</f>
        <v>2</v>
      </c>
    </row>
    <row r="888" spans="1:18" x14ac:dyDescent="0.35">
      <c r="A888" t="s">
        <v>1519</v>
      </c>
      <c r="B888" t="s">
        <v>388</v>
      </c>
      <c r="C888" t="s">
        <v>66</v>
      </c>
      <c r="D888" t="s">
        <v>53</v>
      </c>
      <c r="E888" t="s">
        <v>54</v>
      </c>
      <c r="F888" t="s">
        <v>55</v>
      </c>
      <c r="G888" t="s">
        <v>49</v>
      </c>
      <c r="H888">
        <v>337</v>
      </c>
      <c r="I888">
        <v>50</v>
      </c>
      <c r="J888">
        <v>0</v>
      </c>
      <c r="K888" t="s">
        <v>29</v>
      </c>
      <c r="L888">
        <v>25</v>
      </c>
      <c r="M888" t="s">
        <v>21</v>
      </c>
      <c r="N888">
        <f>COUNTIF(order_data[Order_ID],order_data[[#This Row],[Order_ID]])</f>
        <v>1</v>
      </c>
      <c r="O888">
        <f>order_data[[#This Row],[Order_Value]]-order_data[[#This Row],[Discount]]</f>
        <v>337</v>
      </c>
      <c r="P888">
        <f>order_data[[#This Row],[Order_Value]]+order_data[[#This Row],[Delivery_Fee]]-order_data[[#This Row],[Discount]]</f>
        <v>387</v>
      </c>
      <c r="Q888" t="str">
        <f>TEXT(order_data[[#This Row],[Order_Date]],"mmm")</f>
        <v>Mar</v>
      </c>
      <c r="R888">
        <f>MONTH(order_data[[#This Row],[Order_Date]])</f>
        <v>3</v>
      </c>
    </row>
    <row r="889" spans="1:18" x14ac:dyDescent="0.35">
      <c r="A889" t="s">
        <v>1520</v>
      </c>
      <c r="B889" t="s">
        <v>72</v>
      </c>
      <c r="C889" t="s">
        <v>1521</v>
      </c>
      <c r="D889" t="s">
        <v>16</v>
      </c>
      <c r="E889" t="s">
        <v>89</v>
      </c>
      <c r="F889" t="s">
        <v>18</v>
      </c>
      <c r="G889" t="s">
        <v>28</v>
      </c>
      <c r="H889">
        <v>467</v>
      </c>
      <c r="I889">
        <v>20</v>
      </c>
      <c r="J889">
        <v>30</v>
      </c>
      <c r="K889" t="s">
        <v>36</v>
      </c>
      <c r="L889">
        <v>31</v>
      </c>
      <c r="M889" t="s">
        <v>21</v>
      </c>
      <c r="N889">
        <f>COUNTIF(order_data[Order_ID],order_data[[#This Row],[Order_ID]])</f>
        <v>1</v>
      </c>
      <c r="O889">
        <f>order_data[[#This Row],[Order_Value]]-order_data[[#This Row],[Discount]]</f>
        <v>437</v>
      </c>
      <c r="P889">
        <f>order_data[[#This Row],[Order_Value]]+order_data[[#This Row],[Delivery_Fee]]-order_data[[#This Row],[Discount]]</f>
        <v>457</v>
      </c>
      <c r="Q889" t="str">
        <f>TEXT(order_data[[#This Row],[Order_Date]],"mmm")</f>
        <v>Jan</v>
      </c>
      <c r="R889">
        <f>MONTH(order_data[[#This Row],[Order_Date]])</f>
        <v>1</v>
      </c>
    </row>
    <row r="890" spans="1:18" x14ac:dyDescent="0.35">
      <c r="A890" t="s">
        <v>1522</v>
      </c>
      <c r="B890" t="s">
        <v>435</v>
      </c>
      <c r="C890" t="s">
        <v>1247</v>
      </c>
      <c r="D890" t="s">
        <v>40</v>
      </c>
      <c r="E890" t="s">
        <v>67</v>
      </c>
      <c r="F890" t="s">
        <v>48</v>
      </c>
      <c r="G890" t="s">
        <v>42</v>
      </c>
      <c r="H890">
        <v>781</v>
      </c>
      <c r="I890">
        <v>20</v>
      </c>
      <c r="J890">
        <v>100</v>
      </c>
      <c r="K890" t="s">
        <v>36</v>
      </c>
      <c r="L890">
        <v>55</v>
      </c>
      <c r="M890" t="s">
        <v>21</v>
      </c>
      <c r="N890">
        <f>COUNTIF(order_data[Order_ID],order_data[[#This Row],[Order_ID]])</f>
        <v>1</v>
      </c>
      <c r="O890">
        <f>order_data[[#This Row],[Order_Value]]-order_data[[#This Row],[Discount]]</f>
        <v>681</v>
      </c>
      <c r="P890">
        <f>order_data[[#This Row],[Order_Value]]+order_data[[#This Row],[Delivery_Fee]]-order_data[[#This Row],[Discount]]</f>
        <v>701</v>
      </c>
      <c r="Q890" t="str">
        <f>TEXT(order_data[[#This Row],[Order_Date]],"mmm")</f>
        <v>Feb</v>
      </c>
      <c r="R890">
        <f>MONTH(order_data[[#This Row],[Order_Date]])</f>
        <v>2</v>
      </c>
    </row>
    <row r="891" spans="1:18" x14ac:dyDescent="0.35">
      <c r="A891" t="s">
        <v>1523</v>
      </c>
      <c r="B891" t="s">
        <v>339</v>
      </c>
      <c r="C891" t="s">
        <v>694</v>
      </c>
      <c r="D891" t="s">
        <v>40</v>
      </c>
      <c r="E891" t="s">
        <v>41</v>
      </c>
      <c r="F891" t="s">
        <v>27</v>
      </c>
      <c r="G891" t="s">
        <v>176</v>
      </c>
      <c r="H891">
        <v>519</v>
      </c>
      <c r="I891">
        <v>30</v>
      </c>
      <c r="J891">
        <v>30</v>
      </c>
      <c r="K891" t="s">
        <v>20</v>
      </c>
      <c r="L891">
        <v>54</v>
      </c>
      <c r="M891" t="s">
        <v>21</v>
      </c>
      <c r="N891">
        <f>COUNTIF(order_data[Order_ID],order_data[[#This Row],[Order_ID]])</f>
        <v>1</v>
      </c>
      <c r="O891">
        <f>order_data[[#This Row],[Order_Value]]-order_data[[#This Row],[Discount]]</f>
        <v>489</v>
      </c>
      <c r="P891">
        <f>order_data[[#This Row],[Order_Value]]+order_data[[#This Row],[Delivery_Fee]]-order_data[[#This Row],[Discount]]</f>
        <v>519</v>
      </c>
      <c r="Q891" t="str">
        <f>TEXT(order_data[[#This Row],[Order_Date]],"mmm")</f>
        <v>Jan</v>
      </c>
      <c r="R891">
        <f>MONTH(order_data[[#This Row],[Order_Date]])</f>
        <v>1</v>
      </c>
    </row>
    <row r="892" spans="1:18" x14ac:dyDescent="0.35">
      <c r="A892" t="s">
        <v>1524</v>
      </c>
      <c r="B892" t="s">
        <v>339</v>
      </c>
      <c r="C892" t="s">
        <v>557</v>
      </c>
      <c r="D892" t="s">
        <v>46</v>
      </c>
      <c r="E892" t="s">
        <v>47</v>
      </c>
      <c r="F892" t="s">
        <v>48</v>
      </c>
      <c r="G892" t="s">
        <v>59</v>
      </c>
      <c r="H892">
        <v>173</v>
      </c>
      <c r="I892">
        <v>30</v>
      </c>
      <c r="J892">
        <v>30</v>
      </c>
      <c r="K892" t="s">
        <v>36</v>
      </c>
      <c r="L892">
        <v>51</v>
      </c>
      <c r="M892" t="s">
        <v>21</v>
      </c>
      <c r="N892">
        <f>COUNTIF(order_data[Order_ID],order_data[[#This Row],[Order_ID]])</f>
        <v>1</v>
      </c>
      <c r="O892">
        <f>order_data[[#This Row],[Order_Value]]-order_data[[#This Row],[Discount]]</f>
        <v>143</v>
      </c>
      <c r="P892">
        <f>order_data[[#This Row],[Order_Value]]+order_data[[#This Row],[Delivery_Fee]]-order_data[[#This Row],[Discount]]</f>
        <v>173</v>
      </c>
      <c r="Q892" t="str">
        <f>TEXT(order_data[[#This Row],[Order_Date]],"mmm")</f>
        <v>Jan</v>
      </c>
      <c r="R892">
        <f>MONTH(order_data[[#This Row],[Order_Date]])</f>
        <v>1</v>
      </c>
    </row>
    <row r="893" spans="1:18" x14ac:dyDescent="0.35">
      <c r="A893" t="s">
        <v>1525</v>
      </c>
      <c r="B893" t="s">
        <v>189</v>
      </c>
      <c r="C893" t="s">
        <v>553</v>
      </c>
      <c r="D893" t="s">
        <v>46</v>
      </c>
      <c r="E893" t="s">
        <v>70</v>
      </c>
      <c r="F893" t="s">
        <v>18</v>
      </c>
      <c r="G893" t="s">
        <v>63</v>
      </c>
      <c r="H893">
        <v>512</v>
      </c>
      <c r="I893">
        <v>20</v>
      </c>
      <c r="J893">
        <v>50</v>
      </c>
      <c r="K893" t="s">
        <v>20</v>
      </c>
      <c r="L893">
        <v>29</v>
      </c>
      <c r="M893" t="s">
        <v>21</v>
      </c>
      <c r="N893">
        <f>COUNTIF(order_data[Order_ID],order_data[[#This Row],[Order_ID]])</f>
        <v>1</v>
      </c>
      <c r="O893">
        <f>order_data[[#This Row],[Order_Value]]-order_data[[#This Row],[Discount]]</f>
        <v>462</v>
      </c>
      <c r="P893">
        <f>order_data[[#This Row],[Order_Value]]+order_data[[#This Row],[Delivery_Fee]]-order_data[[#This Row],[Discount]]</f>
        <v>482</v>
      </c>
      <c r="Q893" t="str">
        <f>TEXT(order_data[[#This Row],[Order_Date]],"mmm")</f>
        <v>Feb</v>
      </c>
      <c r="R893">
        <f>MONTH(order_data[[#This Row],[Order_Date]])</f>
        <v>2</v>
      </c>
    </row>
    <row r="894" spans="1:18" x14ac:dyDescent="0.35">
      <c r="A894" t="s">
        <v>1526</v>
      </c>
      <c r="B894" t="s">
        <v>213</v>
      </c>
      <c r="C894" t="s">
        <v>484</v>
      </c>
      <c r="D894" t="s">
        <v>40</v>
      </c>
      <c r="E894" t="s">
        <v>41</v>
      </c>
      <c r="F894" t="s">
        <v>27</v>
      </c>
      <c r="G894" t="s">
        <v>63</v>
      </c>
      <c r="H894">
        <v>754</v>
      </c>
      <c r="I894">
        <v>20</v>
      </c>
      <c r="J894">
        <v>100</v>
      </c>
      <c r="K894" t="s">
        <v>29</v>
      </c>
      <c r="L894">
        <v>23</v>
      </c>
      <c r="M894" t="s">
        <v>21</v>
      </c>
      <c r="N894">
        <f>COUNTIF(order_data[Order_ID],order_data[[#This Row],[Order_ID]])</f>
        <v>1</v>
      </c>
      <c r="O894">
        <f>order_data[[#This Row],[Order_Value]]-order_data[[#This Row],[Discount]]</f>
        <v>654</v>
      </c>
      <c r="P894">
        <f>order_data[[#This Row],[Order_Value]]+order_data[[#This Row],[Delivery_Fee]]-order_data[[#This Row],[Discount]]</f>
        <v>674</v>
      </c>
      <c r="Q894" t="str">
        <f>TEXT(order_data[[#This Row],[Order_Date]],"mmm")</f>
        <v>Jan</v>
      </c>
      <c r="R894">
        <f>MONTH(order_data[[#This Row],[Order_Date]])</f>
        <v>1</v>
      </c>
    </row>
    <row r="895" spans="1:18" x14ac:dyDescent="0.35">
      <c r="A895" t="s">
        <v>1527</v>
      </c>
      <c r="B895" t="s">
        <v>109</v>
      </c>
      <c r="C895" t="s">
        <v>1528</v>
      </c>
      <c r="D895" t="s">
        <v>16</v>
      </c>
      <c r="E895" t="s">
        <v>89</v>
      </c>
      <c r="F895" t="s">
        <v>18</v>
      </c>
      <c r="G895" t="s">
        <v>59</v>
      </c>
      <c r="H895">
        <v>471</v>
      </c>
      <c r="I895">
        <v>20</v>
      </c>
      <c r="J895">
        <v>100</v>
      </c>
      <c r="K895" t="s">
        <v>20</v>
      </c>
      <c r="L895">
        <v>53</v>
      </c>
      <c r="M895" t="s">
        <v>21</v>
      </c>
      <c r="N895">
        <f>COUNTIF(order_data[Order_ID],order_data[[#This Row],[Order_ID]])</f>
        <v>1</v>
      </c>
      <c r="O895">
        <f>order_data[[#This Row],[Order_Value]]-order_data[[#This Row],[Discount]]</f>
        <v>371</v>
      </c>
      <c r="P895">
        <f>order_data[[#This Row],[Order_Value]]+order_data[[#This Row],[Delivery_Fee]]-order_data[[#This Row],[Discount]]</f>
        <v>391</v>
      </c>
      <c r="Q895" t="str">
        <f>TEXT(order_data[[#This Row],[Order_Date]],"mmm")</f>
        <v>Jan</v>
      </c>
      <c r="R895">
        <f>MONTH(order_data[[#This Row],[Order_Date]])</f>
        <v>1</v>
      </c>
    </row>
    <row r="896" spans="1:18" x14ac:dyDescent="0.35">
      <c r="A896" t="s">
        <v>1529</v>
      </c>
      <c r="B896" t="s">
        <v>562</v>
      </c>
      <c r="C896" t="s">
        <v>1530</v>
      </c>
      <c r="D896" t="s">
        <v>46</v>
      </c>
      <c r="E896" t="s">
        <v>148</v>
      </c>
      <c r="F896" t="s">
        <v>27</v>
      </c>
      <c r="G896" t="s">
        <v>63</v>
      </c>
      <c r="H896">
        <v>290</v>
      </c>
      <c r="I896">
        <v>50</v>
      </c>
      <c r="J896">
        <v>100</v>
      </c>
      <c r="K896" t="s">
        <v>36</v>
      </c>
      <c r="L896">
        <v>41</v>
      </c>
      <c r="M896" t="s">
        <v>21</v>
      </c>
      <c r="N896">
        <f>COUNTIF(order_data[Order_ID],order_data[[#This Row],[Order_ID]])</f>
        <v>1</v>
      </c>
      <c r="O896">
        <f>order_data[[#This Row],[Order_Value]]-order_data[[#This Row],[Discount]]</f>
        <v>190</v>
      </c>
      <c r="P896">
        <f>order_data[[#This Row],[Order_Value]]+order_data[[#This Row],[Delivery_Fee]]-order_data[[#This Row],[Discount]]</f>
        <v>240</v>
      </c>
      <c r="Q896" t="str">
        <f>TEXT(order_data[[#This Row],[Order_Date]],"mmm")</f>
        <v>Feb</v>
      </c>
      <c r="R896">
        <f>MONTH(order_data[[#This Row],[Order_Date]])</f>
        <v>2</v>
      </c>
    </row>
    <row r="897" spans="1:18" x14ac:dyDescent="0.35">
      <c r="A897" t="s">
        <v>1531</v>
      </c>
      <c r="B897" t="s">
        <v>109</v>
      </c>
      <c r="C897" t="s">
        <v>1532</v>
      </c>
      <c r="D897" t="s">
        <v>46</v>
      </c>
      <c r="E897" t="s">
        <v>70</v>
      </c>
      <c r="F897" t="s">
        <v>18</v>
      </c>
      <c r="G897" t="s">
        <v>176</v>
      </c>
      <c r="H897">
        <v>647</v>
      </c>
      <c r="I897">
        <v>30</v>
      </c>
      <c r="J897">
        <v>30</v>
      </c>
      <c r="K897" t="s">
        <v>36</v>
      </c>
      <c r="L897">
        <v>55</v>
      </c>
      <c r="M897" t="s">
        <v>21</v>
      </c>
      <c r="N897">
        <f>COUNTIF(order_data[Order_ID],order_data[[#This Row],[Order_ID]])</f>
        <v>1</v>
      </c>
      <c r="O897">
        <f>order_data[[#This Row],[Order_Value]]-order_data[[#This Row],[Discount]]</f>
        <v>617</v>
      </c>
      <c r="P897">
        <f>order_data[[#This Row],[Order_Value]]+order_data[[#This Row],[Delivery_Fee]]-order_data[[#This Row],[Discount]]</f>
        <v>647</v>
      </c>
      <c r="Q897" t="str">
        <f>TEXT(order_data[[#This Row],[Order_Date]],"mmm")</f>
        <v>Jan</v>
      </c>
      <c r="R897">
        <f>MONTH(order_data[[#This Row],[Order_Date]])</f>
        <v>1</v>
      </c>
    </row>
    <row r="898" spans="1:18" x14ac:dyDescent="0.35">
      <c r="A898" t="s">
        <v>1533</v>
      </c>
      <c r="B898" t="s">
        <v>102</v>
      </c>
      <c r="C898" t="s">
        <v>1534</v>
      </c>
      <c r="D898" t="s">
        <v>53</v>
      </c>
      <c r="E898" t="s">
        <v>54</v>
      </c>
      <c r="F898" t="s">
        <v>55</v>
      </c>
      <c r="G898" t="s">
        <v>63</v>
      </c>
      <c r="H898">
        <v>315</v>
      </c>
      <c r="I898">
        <v>20</v>
      </c>
      <c r="J898">
        <v>20</v>
      </c>
      <c r="K898" t="s">
        <v>20</v>
      </c>
      <c r="L898">
        <v>29</v>
      </c>
      <c r="M898" t="s">
        <v>21</v>
      </c>
      <c r="N898">
        <f>COUNTIF(order_data[Order_ID],order_data[[#This Row],[Order_ID]])</f>
        <v>1</v>
      </c>
      <c r="O898">
        <f>order_data[[#This Row],[Order_Value]]-order_data[[#This Row],[Discount]]</f>
        <v>295</v>
      </c>
      <c r="P898">
        <f>order_data[[#This Row],[Order_Value]]+order_data[[#This Row],[Delivery_Fee]]-order_data[[#This Row],[Discount]]</f>
        <v>315</v>
      </c>
      <c r="Q898" t="str">
        <f>TEXT(order_data[[#This Row],[Order_Date]],"mmm")</f>
        <v>Mar</v>
      </c>
      <c r="R898">
        <f>MONTH(order_data[[#This Row],[Order_Date]])</f>
        <v>3</v>
      </c>
    </row>
    <row r="899" spans="1:18" x14ac:dyDescent="0.35">
      <c r="A899" t="s">
        <v>1535</v>
      </c>
      <c r="B899" t="s">
        <v>150</v>
      </c>
      <c r="C899" t="s">
        <v>501</v>
      </c>
      <c r="D899" t="s">
        <v>40</v>
      </c>
      <c r="E899" t="s">
        <v>111</v>
      </c>
      <c r="F899" t="s">
        <v>18</v>
      </c>
      <c r="G899" t="s">
        <v>176</v>
      </c>
      <c r="H899">
        <v>415</v>
      </c>
      <c r="I899">
        <v>30</v>
      </c>
      <c r="J899">
        <v>30</v>
      </c>
      <c r="K899" t="s">
        <v>20</v>
      </c>
      <c r="L899">
        <v>60</v>
      </c>
      <c r="M899" t="s">
        <v>21</v>
      </c>
      <c r="N899">
        <f>COUNTIF(order_data[Order_ID],order_data[[#This Row],[Order_ID]])</f>
        <v>1</v>
      </c>
      <c r="O899">
        <f>order_data[[#This Row],[Order_Value]]-order_data[[#This Row],[Discount]]</f>
        <v>385</v>
      </c>
      <c r="P899">
        <f>order_data[[#This Row],[Order_Value]]+order_data[[#This Row],[Delivery_Fee]]-order_data[[#This Row],[Discount]]</f>
        <v>415</v>
      </c>
      <c r="Q899" t="str">
        <f>TEXT(order_data[[#This Row],[Order_Date]],"mmm")</f>
        <v>Feb</v>
      </c>
      <c r="R899">
        <f>MONTH(order_data[[#This Row],[Order_Date]])</f>
        <v>2</v>
      </c>
    </row>
    <row r="900" spans="1:18" x14ac:dyDescent="0.35">
      <c r="A900" t="s">
        <v>1536</v>
      </c>
      <c r="B900" t="s">
        <v>476</v>
      </c>
      <c r="C900" t="s">
        <v>1537</v>
      </c>
      <c r="D900" t="s">
        <v>40</v>
      </c>
      <c r="E900" t="s">
        <v>111</v>
      </c>
      <c r="F900" t="s">
        <v>18</v>
      </c>
      <c r="G900" t="s">
        <v>49</v>
      </c>
      <c r="H900">
        <v>327</v>
      </c>
      <c r="I900">
        <v>40</v>
      </c>
      <c r="J900">
        <v>20</v>
      </c>
      <c r="K900" t="s">
        <v>20</v>
      </c>
      <c r="L900">
        <v>42</v>
      </c>
      <c r="M900" t="s">
        <v>21</v>
      </c>
      <c r="N900">
        <f>COUNTIF(order_data[Order_ID],order_data[[#This Row],[Order_ID]])</f>
        <v>1</v>
      </c>
      <c r="O900">
        <f>order_data[[#This Row],[Order_Value]]-order_data[[#This Row],[Discount]]</f>
        <v>307</v>
      </c>
      <c r="P900">
        <f>order_data[[#This Row],[Order_Value]]+order_data[[#This Row],[Delivery_Fee]]-order_data[[#This Row],[Discount]]</f>
        <v>347</v>
      </c>
      <c r="Q900" t="str">
        <f>TEXT(order_data[[#This Row],[Order_Date]],"mmm")</f>
        <v>Jan</v>
      </c>
      <c r="R900">
        <f>MONTH(order_data[[#This Row],[Order_Date]])</f>
        <v>1</v>
      </c>
    </row>
    <row r="901" spans="1:18" x14ac:dyDescent="0.35">
      <c r="A901" t="s">
        <v>1538</v>
      </c>
      <c r="B901" t="s">
        <v>226</v>
      </c>
      <c r="C901" t="s">
        <v>1539</v>
      </c>
      <c r="D901" t="s">
        <v>16</v>
      </c>
      <c r="E901" t="s">
        <v>89</v>
      </c>
      <c r="F901" t="s">
        <v>18</v>
      </c>
      <c r="G901" t="s">
        <v>35</v>
      </c>
      <c r="H901">
        <v>478</v>
      </c>
      <c r="I901">
        <v>30</v>
      </c>
      <c r="J901">
        <v>0</v>
      </c>
      <c r="K901" t="s">
        <v>36</v>
      </c>
      <c r="L901">
        <v>33</v>
      </c>
      <c r="M901" t="s">
        <v>21</v>
      </c>
      <c r="N901">
        <f>COUNTIF(order_data[Order_ID],order_data[[#This Row],[Order_ID]])</f>
        <v>1</v>
      </c>
      <c r="O901">
        <f>order_data[[#This Row],[Order_Value]]-order_data[[#This Row],[Discount]]</f>
        <v>478</v>
      </c>
      <c r="P901">
        <f>order_data[[#This Row],[Order_Value]]+order_data[[#This Row],[Delivery_Fee]]-order_data[[#This Row],[Discount]]</f>
        <v>508</v>
      </c>
      <c r="Q901" t="str">
        <f>TEXT(order_data[[#This Row],[Order_Date]],"mmm")</f>
        <v>Jan</v>
      </c>
      <c r="R901">
        <f>MONTH(order_data[[#This Row],[Order_Date]])</f>
        <v>1</v>
      </c>
    </row>
    <row r="902" spans="1:18" x14ac:dyDescent="0.35">
      <c r="A902" t="s">
        <v>1540</v>
      </c>
      <c r="B902" t="s">
        <v>388</v>
      </c>
      <c r="C902" t="s">
        <v>496</v>
      </c>
      <c r="D902" t="s">
        <v>53</v>
      </c>
      <c r="E902" t="s">
        <v>54</v>
      </c>
      <c r="F902" t="s">
        <v>55</v>
      </c>
      <c r="G902" t="s">
        <v>59</v>
      </c>
      <c r="H902">
        <v>249</v>
      </c>
      <c r="I902">
        <v>50</v>
      </c>
      <c r="J902">
        <v>100</v>
      </c>
      <c r="K902" t="s">
        <v>29</v>
      </c>
      <c r="L902">
        <v>31</v>
      </c>
      <c r="M902" t="s">
        <v>21</v>
      </c>
      <c r="N902">
        <f>COUNTIF(order_data[Order_ID],order_data[[#This Row],[Order_ID]])</f>
        <v>1</v>
      </c>
      <c r="O902">
        <f>order_data[[#This Row],[Order_Value]]-order_data[[#This Row],[Discount]]</f>
        <v>149</v>
      </c>
      <c r="P902">
        <f>order_data[[#This Row],[Order_Value]]+order_data[[#This Row],[Delivery_Fee]]-order_data[[#This Row],[Discount]]</f>
        <v>199</v>
      </c>
      <c r="Q902" t="str">
        <f>TEXT(order_data[[#This Row],[Order_Date]],"mmm")</f>
        <v>Mar</v>
      </c>
      <c r="R902">
        <f>MONTH(order_data[[#This Row],[Order_Date]])</f>
        <v>3</v>
      </c>
    </row>
    <row r="903" spans="1:18" x14ac:dyDescent="0.35">
      <c r="A903" t="s">
        <v>1541</v>
      </c>
      <c r="B903" t="s">
        <v>326</v>
      </c>
      <c r="C903" t="s">
        <v>94</v>
      </c>
      <c r="D903" t="s">
        <v>46</v>
      </c>
      <c r="E903" t="s">
        <v>148</v>
      </c>
      <c r="F903" t="s">
        <v>27</v>
      </c>
      <c r="G903" t="s">
        <v>28</v>
      </c>
      <c r="H903">
        <v>664</v>
      </c>
      <c r="I903">
        <v>50</v>
      </c>
      <c r="J903">
        <v>30</v>
      </c>
      <c r="K903" t="s">
        <v>20</v>
      </c>
      <c r="L903">
        <v>39</v>
      </c>
      <c r="M903" t="s">
        <v>21</v>
      </c>
      <c r="N903">
        <f>COUNTIF(order_data[Order_ID],order_data[[#This Row],[Order_ID]])</f>
        <v>1</v>
      </c>
      <c r="O903">
        <f>order_data[[#This Row],[Order_Value]]-order_data[[#This Row],[Discount]]</f>
        <v>634</v>
      </c>
      <c r="P903">
        <f>order_data[[#This Row],[Order_Value]]+order_data[[#This Row],[Delivery_Fee]]-order_data[[#This Row],[Discount]]</f>
        <v>684</v>
      </c>
      <c r="Q903" t="str">
        <f>TEXT(order_data[[#This Row],[Order_Date]],"mmm")</f>
        <v>Mar</v>
      </c>
      <c r="R903">
        <f>MONTH(order_data[[#This Row],[Order_Date]])</f>
        <v>3</v>
      </c>
    </row>
    <row r="904" spans="1:18" x14ac:dyDescent="0.35">
      <c r="A904" t="s">
        <v>1542</v>
      </c>
      <c r="B904" t="s">
        <v>32</v>
      </c>
      <c r="C904" t="s">
        <v>702</v>
      </c>
      <c r="D904" t="s">
        <v>53</v>
      </c>
      <c r="E904" t="s">
        <v>84</v>
      </c>
      <c r="F904" t="s">
        <v>85</v>
      </c>
      <c r="G904" t="s">
        <v>42</v>
      </c>
      <c r="H904">
        <v>678</v>
      </c>
      <c r="I904">
        <v>20</v>
      </c>
      <c r="J904">
        <v>100</v>
      </c>
      <c r="K904" t="s">
        <v>36</v>
      </c>
      <c r="L904">
        <v>60</v>
      </c>
      <c r="M904" t="s">
        <v>21</v>
      </c>
      <c r="N904">
        <f>COUNTIF(order_data[Order_ID],order_data[[#This Row],[Order_ID]])</f>
        <v>1</v>
      </c>
      <c r="O904">
        <f>order_data[[#This Row],[Order_Value]]-order_data[[#This Row],[Discount]]</f>
        <v>578</v>
      </c>
      <c r="P904">
        <f>order_data[[#This Row],[Order_Value]]+order_data[[#This Row],[Delivery_Fee]]-order_data[[#This Row],[Discount]]</f>
        <v>598</v>
      </c>
      <c r="Q904" t="str">
        <f>TEXT(order_data[[#This Row],[Order_Date]],"mmm")</f>
        <v>Jan</v>
      </c>
      <c r="R904">
        <f>MONTH(order_data[[#This Row],[Order_Date]])</f>
        <v>1</v>
      </c>
    </row>
    <row r="905" spans="1:18" x14ac:dyDescent="0.35">
      <c r="A905" t="s">
        <v>1543</v>
      </c>
      <c r="B905" t="s">
        <v>205</v>
      </c>
      <c r="C905" t="s">
        <v>399</v>
      </c>
      <c r="D905" t="s">
        <v>40</v>
      </c>
      <c r="E905" t="s">
        <v>67</v>
      </c>
      <c r="F905" t="s">
        <v>48</v>
      </c>
      <c r="G905" t="s">
        <v>59</v>
      </c>
      <c r="H905">
        <v>728</v>
      </c>
      <c r="I905">
        <v>30</v>
      </c>
      <c r="J905">
        <v>100</v>
      </c>
      <c r="K905" t="s">
        <v>29</v>
      </c>
      <c r="L905">
        <v>20</v>
      </c>
      <c r="M905" t="s">
        <v>30</v>
      </c>
      <c r="N905">
        <f>COUNTIF(order_data[Order_ID],order_data[[#This Row],[Order_ID]])</f>
        <v>1</v>
      </c>
      <c r="O905">
        <f>order_data[[#This Row],[Order_Value]]-order_data[[#This Row],[Discount]]</f>
        <v>628</v>
      </c>
      <c r="P905">
        <f>order_data[[#This Row],[Order_Value]]+order_data[[#This Row],[Delivery_Fee]]-order_data[[#This Row],[Discount]]</f>
        <v>658</v>
      </c>
      <c r="Q905" t="str">
        <f>TEXT(order_data[[#This Row],[Order_Date]],"mmm")</f>
        <v>Jan</v>
      </c>
      <c r="R905">
        <f>MONTH(order_data[[#This Row],[Order_Date]])</f>
        <v>1</v>
      </c>
    </row>
    <row r="906" spans="1:18" x14ac:dyDescent="0.35">
      <c r="A906" t="s">
        <v>1544</v>
      </c>
      <c r="B906" t="s">
        <v>136</v>
      </c>
      <c r="C906" t="s">
        <v>918</v>
      </c>
      <c r="D906" t="s">
        <v>53</v>
      </c>
      <c r="E906" t="s">
        <v>152</v>
      </c>
      <c r="F906" t="s">
        <v>18</v>
      </c>
      <c r="G906" t="s">
        <v>49</v>
      </c>
      <c r="H906">
        <v>577</v>
      </c>
      <c r="I906">
        <v>40</v>
      </c>
      <c r="J906">
        <v>0</v>
      </c>
      <c r="K906" t="s">
        <v>29</v>
      </c>
      <c r="L906">
        <v>33</v>
      </c>
      <c r="M906" t="s">
        <v>21</v>
      </c>
      <c r="N906">
        <f>COUNTIF(order_data[Order_ID],order_data[[#This Row],[Order_ID]])</f>
        <v>1</v>
      </c>
      <c r="O906">
        <f>order_data[[#This Row],[Order_Value]]-order_data[[#This Row],[Discount]]</f>
        <v>577</v>
      </c>
      <c r="P906">
        <f>order_data[[#This Row],[Order_Value]]+order_data[[#This Row],[Delivery_Fee]]-order_data[[#This Row],[Discount]]</f>
        <v>617</v>
      </c>
      <c r="Q906" t="str">
        <f>TEXT(order_data[[#This Row],[Order_Date]],"mmm")</f>
        <v>Feb</v>
      </c>
      <c r="R906">
        <f>MONTH(order_data[[#This Row],[Order_Date]])</f>
        <v>2</v>
      </c>
    </row>
    <row r="907" spans="1:18" x14ac:dyDescent="0.35">
      <c r="A907" t="s">
        <v>1545</v>
      </c>
      <c r="B907" t="s">
        <v>568</v>
      </c>
      <c r="C907" t="s">
        <v>899</v>
      </c>
      <c r="D907" t="s">
        <v>53</v>
      </c>
      <c r="E907" t="s">
        <v>84</v>
      </c>
      <c r="F907" t="s">
        <v>85</v>
      </c>
      <c r="G907" t="s">
        <v>59</v>
      </c>
      <c r="H907">
        <v>613</v>
      </c>
      <c r="I907">
        <v>40</v>
      </c>
      <c r="J907">
        <v>0</v>
      </c>
      <c r="K907" t="s">
        <v>36</v>
      </c>
      <c r="L907">
        <v>54</v>
      </c>
      <c r="M907" t="s">
        <v>21</v>
      </c>
      <c r="N907">
        <f>COUNTIF(order_data[Order_ID],order_data[[#This Row],[Order_ID]])</f>
        <v>1</v>
      </c>
      <c r="O907">
        <f>order_data[[#This Row],[Order_Value]]-order_data[[#This Row],[Discount]]</f>
        <v>613</v>
      </c>
      <c r="P907">
        <f>order_data[[#This Row],[Order_Value]]+order_data[[#This Row],[Delivery_Fee]]-order_data[[#This Row],[Discount]]</f>
        <v>653</v>
      </c>
      <c r="Q907" t="str">
        <f>TEXT(order_data[[#This Row],[Order_Date]],"mmm")</f>
        <v>Mar</v>
      </c>
      <c r="R907">
        <f>MONTH(order_data[[#This Row],[Order_Date]])</f>
        <v>3</v>
      </c>
    </row>
    <row r="908" spans="1:18" x14ac:dyDescent="0.35">
      <c r="A908" t="s">
        <v>1546</v>
      </c>
      <c r="B908" t="s">
        <v>449</v>
      </c>
      <c r="C908" t="s">
        <v>1547</v>
      </c>
      <c r="D908" t="s">
        <v>46</v>
      </c>
      <c r="E908" t="s">
        <v>47</v>
      </c>
      <c r="F908" t="s">
        <v>48</v>
      </c>
      <c r="G908" t="s">
        <v>176</v>
      </c>
      <c r="H908">
        <v>555</v>
      </c>
      <c r="I908">
        <v>30</v>
      </c>
      <c r="J908">
        <v>100</v>
      </c>
      <c r="K908" t="s">
        <v>29</v>
      </c>
      <c r="L908">
        <v>48</v>
      </c>
      <c r="M908" t="s">
        <v>21</v>
      </c>
      <c r="N908">
        <f>COUNTIF(order_data[Order_ID],order_data[[#This Row],[Order_ID]])</f>
        <v>1</v>
      </c>
      <c r="O908">
        <f>order_data[[#This Row],[Order_Value]]-order_data[[#This Row],[Discount]]</f>
        <v>455</v>
      </c>
      <c r="P908">
        <f>order_data[[#This Row],[Order_Value]]+order_data[[#This Row],[Delivery_Fee]]-order_data[[#This Row],[Discount]]</f>
        <v>485</v>
      </c>
      <c r="Q908" t="str">
        <f>TEXT(order_data[[#This Row],[Order_Date]],"mmm")</f>
        <v>Mar</v>
      </c>
      <c r="R908">
        <f>MONTH(order_data[[#This Row],[Order_Date]])</f>
        <v>3</v>
      </c>
    </row>
    <row r="909" spans="1:18" x14ac:dyDescent="0.35">
      <c r="A909" t="s">
        <v>1548</v>
      </c>
      <c r="B909" t="s">
        <v>174</v>
      </c>
      <c r="C909" t="s">
        <v>1423</v>
      </c>
      <c r="D909" t="s">
        <v>53</v>
      </c>
      <c r="E909" t="s">
        <v>54</v>
      </c>
      <c r="F909" t="s">
        <v>55</v>
      </c>
      <c r="G909" t="s">
        <v>35</v>
      </c>
      <c r="H909">
        <v>730</v>
      </c>
      <c r="I909">
        <v>20</v>
      </c>
      <c r="J909">
        <v>100</v>
      </c>
      <c r="K909" t="s">
        <v>20</v>
      </c>
      <c r="L909">
        <v>23</v>
      </c>
      <c r="M909" t="s">
        <v>21</v>
      </c>
      <c r="N909">
        <f>COUNTIF(order_data[Order_ID],order_data[[#This Row],[Order_ID]])</f>
        <v>1</v>
      </c>
      <c r="O909">
        <f>order_data[[#This Row],[Order_Value]]-order_data[[#This Row],[Discount]]</f>
        <v>630</v>
      </c>
      <c r="P909">
        <f>order_data[[#This Row],[Order_Value]]+order_data[[#This Row],[Delivery_Fee]]-order_data[[#This Row],[Discount]]</f>
        <v>650</v>
      </c>
      <c r="Q909" t="str">
        <f>TEXT(order_data[[#This Row],[Order_Date]],"mmm")</f>
        <v>Feb</v>
      </c>
      <c r="R909">
        <f>MONTH(order_data[[#This Row],[Order_Date]])</f>
        <v>2</v>
      </c>
    </row>
    <row r="910" spans="1:18" x14ac:dyDescent="0.35">
      <c r="A910" t="s">
        <v>1549</v>
      </c>
      <c r="B910" t="s">
        <v>154</v>
      </c>
      <c r="C910" t="s">
        <v>844</v>
      </c>
      <c r="D910" t="s">
        <v>16</v>
      </c>
      <c r="E910" t="s">
        <v>17</v>
      </c>
      <c r="F910" t="s">
        <v>18</v>
      </c>
      <c r="G910" t="s">
        <v>28</v>
      </c>
      <c r="H910">
        <v>312</v>
      </c>
      <c r="I910">
        <v>40</v>
      </c>
      <c r="J910">
        <v>0</v>
      </c>
      <c r="K910" t="s">
        <v>36</v>
      </c>
      <c r="L910">
        <v>54</v>
      </c>
      <c r="M910" t="s">
        <v>21</v>
      </c>
      <c r="N910">
        <f>COUNTIF(order_data[Order_ID],order_data[[#This Row],[Order_ID]])</f>
        <v>1</v>
      </c>
      <c r="O910">
        <f>order_data[[#This Row],[Order_Value]]-order_data[[#This Row],[Discount]]</f>
        <v>312</v>
      </c>
      <c r="P910">
        <f>order_data[[#This Row],[Order_Value]]+order_data[[#This Row],[Delivery_Fee]]-order_data[[#This Row],[Discount]]</f>
        <v>352</v>
      </c>
      <c r="Q910" t="str">
        <f>TEXT(order_data[[#This Row],[Order_Date]],"mmm")</f>
        <v>Jan</v>
      </c>
      <c r="R910">
        <f>MONTH(order_data[[#This Row],[Order_Date]])</f>
        <v>1</v>
      </c>
    </row>
    <row r="911" spans="1:18" x14ac:dyDescent="0.35">
      <c r="A911" t="s">
        <v>1550</v>
      </c>
      <c r="B911" t="s">
        <v>109</v>
      </c>
      <c r="C911" t="s">
        <v>73</v>
      </c>
      <c r="D911" t="s">
        <v>46</v>
      </c>
      <c r="E911" t="s">
        <v>70</v>
      </c>
      <c r="F911" t="s">
        <v>18</v>
      </c>
      <c r="G911" t="s">
        <v>63</v>
      </c>
      <c r="H911">
        <v>536</v>
      </c>
      <c r="I911">
        <v>40</v>
      </c>
      <c r="J911">
        <v>20</v>
      </c>
      <c r="K911" t="s">
        <v>29</v>
      </c>
      <c r="L911">
        <v>35</v>
      </c>
      <c r="M911" t="s">
        <v>21</v>
      </c>
      <c r="N911">
        <f>COUNTIF(order_data[Order_ID],order_data[[#This Row],[Order_ID]])</f>
        <v>1</v>
      </c>
      <c r="O911">
        <f>order_data[[#This Row],[Order_Value]]-order_data[[#This Row],[Discount]]</f>
        <v>516</v>
      </c>
      <c r="P911">
        <f>order_data[[#This Row],[Order_Value]]+order_data[[#This Row],[Delivery_Fee]]-order_data[[#This Row],[Discount]]</f>
        <v>556</v>
      </c>
      <c r="Q911" t="str">
        <f>TEXT(order_data[[#This Row],[Order_Date]],"mmm")</f>
        <v>Jan</v>
      </c>
      <c r="R911">
        <f>MONTH(order_data[[#This Row],[Order_Date]])</f>
        <v>1</v>
      </c>
    </row>
    <row r="912" spans="1:18" x14ac:dyDescent="0.35">
      <c r="A912" t="s">
        <v>1551</v>
      </c>
      <c r="B912" t="s">
        <v>280</v>
      </c>
      <c r="C912" t="s">
        <v>430</v>
      </c>
      <c r="D912" t="s">
        <v>40</v>
      </c>
      <c r="E912" t="s">
        <v>67</v>
      </c>
      <c r="F912" t="s">
        <v>48</v>
      </c>
      <c r="G912" t="s">
        <v>107</v>
      </c>
      <c r="H912">
        <v>259</v>
      </c>
      <c r="I912">
        <v>50</v>
      </c>
      <c r="J912">
        <v>50</v>
      </c>
      <c r="K912" t="s">
        <v>36</v>
      </c>
      <c r="L912">
        <v>43</v>
      </c>
      <c r="M912" t="s">
        <v>21</v>
      </c>
      <c r="N912">
        <f>COUNTIF(order_data[Order_ID],order_data[[#This Row],[Order_ID]])</f>
        <v>1</v>
      </c>
      <c r="O912">
        <f>order_data[[#This Row],[Order_Value]]-order_data[[#This Row],[Discount]]</f>
        <v>209</v>
      </c>
      <c r="P912">
        <f>order_data[[#This Row],[Order_Value]]+order_data[[#This Row],[Delivery_Fee]]-order_data[[#This Row],[Discount]]</f>
        <v>259</v>
      </c>
      <c r="Q912" t="str">
        <f>TEXT(order_data[[#This Row],[Order_Date]],"mmm")</f>
        <v>Jan</v>
      </c>
      <c r="R912">
        <f>MONTH(order_data[[#This Row],[Order_Date]])</f>
        <v>1</v>
      </c>
    </row>
    <row r="913" spans="1:18" x14ac:dyDescent="0.35">
      <c r="A913" t="s">
        <v>1552</v>
      </c>
      <c r="B913" t="s">
        <v>393</v>
      </c>
      <c r="C913" t="s">
        <v>1098</v>
      </c>
      <c r="D913" t="s">
        <v>46</v>
      </c>
      <c r="E913" t="s">
        <v>148</v>
      </c>
      <c r="F913" t="s">
        <v>27</v>
      </c>
      <c r="G913" t="s">
        <v>28</v>
      </c>
      <c r="H913">
        <v>536</v>
      </c>
      <c r="I913">
        <v>40</v>
      </c>
      <c r="J913">
        <v>20</v>
      </c>
      <c r="K913" t="s">
        <v>29</v>
      </c>
      <c r="L913">
        <v>31</v>
      </c>
      <c r="M913" t="s">
        <v>21</v>
      </c>
      <c r="N913">
        <f>COUNTIF(order_data[Order_ID],order_data[[#This Row],[Order_ID]])</f>
        <v>1</v>
      </c>
      <c r="O913">
        <f>order_data[[#This Row],[Order_Value]]-order_data[[#This Row],[Discount]]</f>
        <v>516</v>
      </c>
      <c r="P913">
        <f>order_data[[#This Row],[Order_Value]]+order_data[[#This Row],[Delivery_Fee]]-order_data[[#This Row],[Discount]]</f>
        <v>556</v>
      </c>
      <c r="Q913" t="str">
        <f>TEXT(order_data[[#This Row],[Order_Date]],"mmm")</f>
        <v>Feb</v>
      </c>
      <c r="R913">
        <f>MONTH(order_data[[#This Row],[Order_Date]])</f>
        <v>2</v>
      </c>
    </row>
    <row r="914" spans="1:18" x14ac:dyDescent="0.35">
      <c r="A914" t="s">
        <v>1553</v>
      </c>
      <c r="B914" t="s">
        <v>291</v>
      </c>
      <c r="C914" t="s">
        <v>1012</v>
      </c>
      <c r="D914" t="s">
        <v>25</v>
      </c>
      <c r="E914" t="s">
        <v>78</v>
      </c>
      <c r="F914" t="s">
        <v>48</v>
      </c>
      <c r="G914" t="s">
        <v>28</v>
      </c>
      <c r="H914">
        <v>635</v>
      </c>
      <c r="I914">
        <v>50</v>
      </c>
      <c r="J914">
        <v>100</v>
      </c>
      <c r="K914" t="s">
        <v>20</v>
      </c>
      <c r="L914">
        <v>47</v>
      </c>
      <c r="M914" t="s">
        <v>21</v>
      </c>
      <c r="N914">
        <f>COUNTIF(order_data[Order_ID],order_data[[#This Row],[Order_ID]])</f>
        <v>1</v>
      </c>
      <c r="O914">
        <f>order_data[[#This Row],[Order_Value]]-order_data[[#This Row],[Discount]]</f>
        <v>535</v>
      </c>
      <c r="P914">
        <f>order_data[[#This Row],[Order_Value]]+order_data[[#This Row],[Delivery_Fee]]-order_data[[#This Row],[Discount]]</f>
        <v>585</v>
      </c>
      <c r="Q914" t="str">
        <f>TEXT(order_data[[#This Row],[Order_Date]],"mmm")</f>
        <v>Feb</v>
      </c>
      <c r="R914">
        <f>MONTH(order_data[[#This Row],[Order_Date]])</f>
        <v>2</v>
      </c>
    </row>
    <row r="915" spans="1:18" x14ac:dyDescent="0.35">
      <c r="A915" t="s">
        <v>1554</v>
      </c>
      <c r="B915" t="s">
        <v>14</v>
      </c>
      <c r="C915" t="s">
        <v>1406</v>
      </c>
      <c r="D915" t="s">
        <v>40</v>
      </c>
      <c r="E915" t="s">
        <v>41</v>
      </c>
      <c r="F915" t="s">
        <v>27</v>
      </c>
      <c r="G915" t="s">
        <v>176</v>
      </c>
      <c r="H915">
        <v>377</v>
      </c>
      <c r="I915">
        <v>30</v>
      </c>
      <c r="J915">
        <v>30</v>
      </c>
      <c r="K915" t="s">
        <v>36</v>
      </c>
      <c r="L915">
        <v>30</v>
      </c>
      <c r="M915" t="s">
        <v>21</v>
      </c>
      <c r="N915">
        <f>COUNTIF(order_data[Order_ID],order_data[[#This Row],[Order_ID]])</f>
        <v>1</v>
      </c>
      <c r="O915">
        <f>order_data[[#This Row],[Order_Value]]-order_data[[#This Row],[Discount]]</f>
        <v>347</v>
      </c>
      <c r="P915">
        <f>order_data[[#This Row],[Order_Value]]+order_data[[#This Row],[Delivery_Fee]]-order_data[[#This Row],[Discount]]</f>
        <v>377</v>
      </c>
      <c r="Q915" t="str">
        <f>TEXT(order_data[[#This Row],[Order_Date]],"mmm")</f>
        <v>Mar</v>
      </c>
      <c r="R915">
        <f>MONTH(order_data[[#This Row],[Order_Date]])</f>
        <v>3</v>
      </c>
    </row>
    <row r="916" spans="1:18" x14ac:dyDescent="0.35">
      <c r="A916" t="s">
        <v>1555</v>
      </c>
      <c r="B916" t="s">
        <v>454</v>
      </c>
      <c r="C916" t="s">
        <v>849</v>
      </c>
      <c r="D916" t="s">
        <v>25</v>
      </c>
      <c r="E916" t="s">
        <v>78</v>
      </c>
      <c r="F916" t="s">
        <v>48</v>
      </c>
      <c r="G916" t="s">
        <v>107</v>
      </c>
      <c r="H916">
        <v>462</v>
      </c>
      <c r="I916">
        <v>20</v>
      </c>
      <c r="J916">
        <v>0</v>
      </c>
      <c r="K916" t="s">
        <v>29</v>
      </c>
      <c r="L916">
        <v>45</v>
      </c>
      <c r="M916" t="s">
        <v>21</v>
      </c>
      <c r="N916">
        <f>COUNTIF(order_data[Order_ID],order_data[[#This Row],[Order_ID]])</f>
        <v>1</v>
      </c>
      <c r="O916">
        <f>order_data[[#This Row],[Order_Value]]-order_data[[#This Row],[Discount]]</f>
        <v>462</v>
      </c>
      <c r="P916">
        <f>order_data[[#This Row],[Order_Value]]+order_data[[#This Row],[Delivery_Fee]]-order_data[[#This Row],[Discount]]</f>
        <v>482</v>
      </c>
      <c r="Q916" t="str">
        <f>TEXT(order_data[[#This Row],[Order_Date]],"mmm")</f>
        <v>Jan</v>
      </c>
      <c r="R916">
        <f>MONTH(order_data[[#This Row],[Order_Date]])</f>
        <v>1</v>
      </c>
    </row>
    <row r="917" spans="1:18" x14ac:dyDescent="0.35">
      <c r="A917" t="s">
        <v>1556</v>
      </c>
      <c r="B917" t="s">
        <v>109</v>
      </c>
      <c r="C917" t="s">
        <v>94</v>
      </c>
      <c r="D917" t="s">
        <v>16</v>
      </c>
      <c r="E917" t="s">
        <v>89</v>
      </c>
      <c r="F917" t="s">
        <v>18</v>
      </c>
      <c r="G917" t="s">
        <v>59</v>
      </c>
      <c r="H917">
        <v>425</v>
      </c>
      <c r="I917">
        <v>20</v>
      </c>
      <c r="J917">
        <v>20</v>
      </c>
      <c r="K917" t="s">
        <v>36</v>
      </c>
      <c r="L917">
        <v>23</v>
      </c>
      <c r="M917" t="s">
        <v>21</v>
      </c>
      <c r="N917">
        <f>COUNTIF(order_data[Order_ID],order_data[[#This Row],[Order_ID]])</f>
        <v>1</v>
      </c>
      <c r="O917">
        <f>order_data[[#This Row],[Order_Value]]-order_data[[#This Row],[Discount]]</f>
        <v>405</v>
      </c>
      <c r="P917">
        <f>order_data[[#This Row],[Order_Value]]+order_data[[#This Row],[Delivery_Fee]]-order_data[[#This Row],[Discount]]</f>
        <v>425</v>
      </c>
      <c r="Q917" t="str">
        <f>TEXT(order_data[[#This Row],[Order_Date]],"mmm")</f>
        <v>Jan</v>
      </c>
      <c r="R917">
        <f>MONTH(order_data[[#This Row],[Order_Date]])</f>
        <v>1</v>
      </c>
    </row>
    <row r="918" spans="1:18" x14ac:dyDescent="0.35">
      <c r="A918" t="s">
        <v>1557</v>
      </c>
      <c r="B918" t="s">
        <v>305</v>
      </c>
      <c r="C918" t="s">
        <v>1378</v>
      </c>
      <c r="D918" t="s">
        <v>40</v>
      </c>
      <c r="E918" t="s">
        <v>67</v>
      </c>
      <c r="F918" t="s">
        <v>48</v>
      </c>
      <c r="G918" t="s">
        <v>63</v>
      </c>
      <c r="H918">
        <v>461</v>
      </c>
      <c r="I918">
        <v>40</v>
      </c>
      <c r="J918">
        <v>50</v>
      </c>
      <c r="K918" t="s">
        <v>36</v>
      </c>
      <c r="L918">
        <v>58</v>
      </c>
      <c r="M918" t="s">
        <v>21</v>
      </c>
      <c r="N918">
        <f>COUNTIF(order_data[Order_ID],order_data[[#This Row],[Order_ID]])</f>
        <v>1</v>
      </c>
      <c r="O918">
        <f>order_data[[#This Row],[Order_Value]]-order_data[[#This Row],[Discount]]</f>
        <v>411</v>
      </c>
      <c r="P918">
        <f>order_data[[#This Row],[Order_Value]]+order_data[[#This Row],[Delivery_Fee]]-order_data[[#This Row],[Discount]]</f>
        <v>451</v>
      </c>
      <c r="Q918" t="str">
        <f>TEXT(order_data[[#This Row],[Order_Date]],"mmm")</f>
        <v>Jan</v>
      </c>
      <c r="R918">
        <f>MONTH(order_data[[#This Row],[Order_Date]])</f>
        <v>1</v>
      </c>
    </row>
    <row r="919" spans="1:18" x14ac:dyDescent="0.35">
      <c r="A919" t="s">
        <v>1558</v>
      </c>
      <c r="B919" t="s">
        <v>326</v>
      </c>
      <c r="C919" t="s">
        <v>1152</v>
      </c>
      <c r="D919" t="s">
        <v>46</v>
      </c>
      <c r="E919" t="s">
        <v>148</v>
      </c>
      <c r="F919" t="s">
        <v>27</v>
      </c>
      <c r="G919" t="s">
        <v>59</v>
      </c>
      <c r="H919">
        <v>485</v>
      </c>
      <c r="I919">
        <v>40</v>
      </c>
      <c r="J919">
        <v>50</v>
      </c>
      <c r="K919" t="s">
        <v>29</v>
      </c>
      <c r="L919">
        <v>38</v>
      </c>
      <c r="M919" t="s">
        <v>21</v>
      </c>
      <c r="N919">
        <f>COUNTIF(order_data[Order_ID],order_data[[#This Row],[Order_ID]])</f>
        <v>1</v>
      </c>
      <c r="O919">
        <f>order_data[[#This Row],[Order_Value]]-order_data[[#This Row],[Discount]]</f>
        <v>435</v>
      </c>
      <c r="P919">
        <f>order_data[[#This Row],[Order_Value]]+order_data[[#This Row],[Delivery_Fee]]-order_data[[#This Row],[Discount]]</f>
        <v>475</v>
      </c>
      <c r="Q919" t="str">
        <f>TEXT(order_data[[#This Row],[Order_Date]],"mmm")</f>
        <v>Mar</v>
      </c>
      <c r="R919">
        <f>MONTH(order_data[[#This Row],[Order_Date]])</f>
        <v>3</v>
      </c>
    </row>
    <row r="920" spans="1:18" x14ac:dyDescent="0.35">
      <c r="A920" t="s">
        <v>1559</v>
      </c>
      <c r="B920" t="s">
        <v>473</v>
      </c>
      <c r="C920" t="s">
        <v>1014</v>
      </c>
      <c r="D920" t="s">
        <v>46</v>
      </c>
      <c r="E920" t="s">
        <v>148</v>
      </c>
      <c r="F920" t="s">
        <v>27</v>
      </c>
      <c r="G920" t="s">
        <v>107</v>
      </c>
      <c r="H920">
        <v>587</v>
      </c>
      <c r="I920">
        <v>20</v>
      </c>
      <c r="J920">
        <v>50</v>
      </c>
      <c r="K920" t="s">
        <v>29</v>
      </c>
      <c r="L920">
        <v>21</v>
      </c>
      <c r="M920" t="s">
        <v>21</v>
      </c>
      <c r="N920">
        <f>COUNTIF(order_data[Order_ID],order_data[[#This Row],[Order_ID]])</f>
        <v>1</v>
      </c>
      <c r="O920">
        <f>order_data[[#This Row],[Order_Value]]-order_data[[#This Row],[Discount]]</f>
        <v>537</v>
      </c>
      <c r="P920">
        <f>order_data[[#This Row],[Order_Value]]+order_data[[#This Row],[Delivery_Fee]]-order_data[[#This Row],[Discount]]</f>
        <v>557</v>
      </c>
      <c r="Q920" t="str">
        <f>TEXT(order_data[[#This Row],[Order_Date]],"mmm")</f>
        <v>Mar</v>
      </c>
      <c r="R920">
        <f>MONTH(order_data[[#This Row],[Order_Date]])</f>
        <v>3</v>
      </c>
    </row>
    <row r="921" spans="1:18" x14ac:dyDescent="0.35">
      <c r="A921" t="s">
        <v>1560</v>
      </c>
      <c r="B921" t="s">
        <v>57</v>
      </c>
      <c r="C921" t="s">
        <v>1561</v>
      </c>
      <c r="D921" t="s">
        <v>16</v>
      </c>
      <c r="E921" t="s">
        <v>89</v>
      </c>
      <c r="F921" t="s">
        <v>18</v>
      </c>
      <c r="G921" t="s">
        <v>176</v>
      </c>
      <c r="H921">
        <v>587</v>
      </c>
      <c r="I921">
        <v>30</v>
      </c>
      <c r="J921">
        <v>100</v>
      </c>
      <c r="K921" t="s">
        <v>29</v>
      </c>
      <c r="L921">
        <v>53</v>
      </c>
      <c r="M921" t="s">
        <v>21</v>
      </c>
      <c r="N921">
        <f>COUNTIF(order_data[Order_ID],order_data[[#This Row],[Order_ID]])</f>
        <v>1</v>
      </c>
      <c r="O921">
        <f>order_data[[#This Row],[Order_Value]]-order_data[[#This Row],[Discount]]</f>
        <v>487</v>
      </c>
      <c r="P921">
        <f>order_data[[#This Row],[Order_Value]]+order_data[[#This Row],[Delivery_Fee]]-order_data[[#This Row],[Discount]]</f>
        <v>517</v>
      </c>
      <c r="Q921" t="str">
        <f>TEXT(order_data[[#This Row],[Order_Date]],"mmm")</f>
        <v>Jan</v>
      </c>
      <c r="R921">
        <f>MONTH(order_data[[#This Row],[Order_Date]])</f>
        <v>1</v>
      </c>
    </row>
    <row r="922" spans="1:18" x14ac:dyDescent="0.35">
      <c r="A922" t="s">
        <v>1562</v>
      </c>
      <c r="B922" t="s">
        <v>44</v>
      </c>
      <c r="C922" t="s">
        <v>1563</v>
      </c>
      <c r="D922" t="s">
        <v>40</v>
      </c>
      <c r="E922" t="s">
        <v>67</v>
      </c>
      <c r="F922" t="s">
        <v>48</v>
      </c>
      <c r="G922" t="s">
        <v>176</v>
      </c>
      <c r="H922">
        <v>604</v>
      </c>
      <c r="I922">
        <v>50</v>
      </c>
      <c r="J922">
        <v>50</v>
      </c>
      <c r="K922" t="s">
        <v>29</v>
      </c>
      <c r="L922">
        <v>22</v>
      </c>
      <c r="M922" t="s">
        <v>21</v>
      </c>
      <c r="N922">
        <f>COUNTIF(order_data[Order_ID],order_data[[#This Row],[Order_ID]])</f>
        <v>1</v>
      </c>
      <c r="O922">
        <f>order_data[[#This Row],[Order_Value]]-order_data[[#This Row],[Discount]]</f>
        <v>554</v>
      </c>
      <c r="P922">
        <f>order_data[[#This Row],[Order_Value]]+order_data[[#This Row],[Delivery_Fee]]-order_data[[#This Row],[Discount]]</f>
        <v>604</v>
      </c>
      <c r="Q922" t="str">
        <f>TEXT(order_data[[#This Row],[Order_Date]],"mmm")</f>
        <v>Jan</v>
      </c>
      <c r="R922">
        <f>MONTH(order_data[[#This Row],[Order_Date]])</f>
        <v>1</v>
      </c>
    </row>
    <row r="923" spans="1:18" x14ac:dyDescent="0.35">
      <c r="A923" t="s">
        <v>1564</v>
      </c>
      <c r="B923" t="s">
        <v>342</v>
      </c>
      <c r="C923" t="s">
        <v>219</v>
      </c>
      <c r="D923" t="s">
        <v>16</v>
      </c>
      <c r="E923" t="s">
        <v>89</v>
      </c>
      <c r="F923" t="s">
        <v>18</v>
      </c>
      <c r="G923" t="s">
        <v>42</v>
      </c>
      <c r="H923">
        <v>502</v>
      </c>
      <c r="I923">
        <v>50</v>
      </c>
      <c r="J923">
        <v>30</v>
      </c>
      <c r="K923" t="s">
        <v>20</v>
      </c>
      <c r="L923">
        <v>27</v>
      </c>
      <c r="M923" t="s">
        <v>21</v>
      </c>
      <c r="N923">
        <f>COUNTIF(order_data[Order_ID],order_data[[#This Row],[Order_ID]])</f>
        <v>1</v>
      </c>
      <c r="O923">
        <f>order_data[[#This Row],[Order_Value]]-order_data[[#This Row],[Discount]]</f>
        <v>472</v>
      </c>
      <c r="P923">
        <f>order_data[[#This Row],[Order_Value]]+order_data[[#This Row],[Delivery_Fee]]-order_data[[#This Row],[Discount]]</f>
        <v>522</v>
      </c>
      <c r="Q923" t="str">
        <f>TEXT(order_data[[#This Row],[Order_Date]],"mmm")</f>
        <v>Jan</v>
      </c>
      <c r="R923">
        <f>MONTH(order_data[[#This Row],[Order_Date]])</f>
        <v>1</v>
      </c>
    </row>
    <row r="924" spans="1:18" x14ac:dyDescent="0.35">
      <c r="A924" t="s">
        <v>1565</v>
      </c>
      <c r="B924" t="s">
        <v>280</v>
      </c>
      <c r="C924" t="s">
        <v>756</v>
      </c>
      <c r="D924" t="s">
        <v>40</v>
      </c>
      <c r="E924" t="s">
        <v>111</v>
      </c>
      <c r="F924" t="s">
        <v>18</v>
      </c>
      <c r="G924" t="s">
        <v>74</v>
      </c>
      <c r="H924">
        <v>702</v>
      </c>
      <c r="I924">
        <v>50</v>
      </c>
      <c r="J924">
        <v>50</v>
      </c>
      <c r="K924" t="s">
        <v>20</v>
      </c>
      <c r="L924">
        <v>32</v>
      </c>
      <c r="M924" t="s">
        <v>21</v>
      </c>
      <c r="N924">
        <f>COUNTIF(order_data[Order_ID],order_data[[#This Row],[Order_ID]])</f>
        <v>1</v>
      </c>
      <c r="O924">
        <f>order_data[[#This Row],[Order_Value]]-order_data[[#This Row],[Discount]]</f>
        <v>652</v>
      </c>
      <c r="P924">
        <f>order_data[[#This Row],[Order_Value]]+order_data[[#This Row],[Delivery_Fee]]-order_data[[#This Row],[Discount]]</f>
        <v>702</v>
      </c>
      <c r="Q924" t="str">
        <f>TEXT(order_data[[#This Row],[Order_Date]],"mmm")</f>
        <v>Jan</v>
      </c>
      <c r="R924">
        <f>MONTH(order_data[[#This Row],[Order_Date]])</f>
        <v>1</v>
      </c>
    </row>
    <row r="925" spans="1:18" x14ac:dyDescent="0.35">
      <c r="A925" t="s">
        <v>1566</v>
      </c>
      <c r="B925" t="s">
        <v>398</v>
      </c>
      <c r="C925" t="s">
        <v>1147</v>
      </c>
      <c r="D925" t="s">
        <v>25</v>
      </c>
      <c r="E925" t="s">
        <v>26</v>
      </c>
      <c r="F925" t="s">
        <v>27</v>
      </c>
      <c r="G925" t="s">
        <v>59</v>
      </c>
      <c r="H925">
        <v>687</v>
      </c>
      <c r="I925">
        <v>40</v>
      </c>
      <c r="J925">
        <v>100</v>
      </c>
      <c r="K925" t="s">
        <v>29</v>
      </c>
      <c r="L925">
        <v>38</v>
      </c>
      <c r="M925" t="s">
        <v>21</v>
      </c>
      <c r="N925">
        <f>COUNTIF(order_data[Order_ID],order_data[[#This Row],[Order_ID]])</f>
        <v>1</v>
      </c>
      <c r="O925">
        <f>order_data[[#This Row],[Order_Value]]-order_data[[#This Row],[Discount]]</f>
        <v>587</v>
      </c>
      <c r="P925">
        <f>order_data[[#This Row],[Order_Value]]+order_data[[#This Row],[Delivery_Fee]]-order_data[[#This Row],[Discount]]</f>
        <v>627</v>
      </c>
      <c r="Q925" t="str">
        <f>TEXT(order_data[[#This Row],[Order_Date]],"mmm")</f>
        <v>Feb</v>
      </c>
      <c r="R925">
        <f>MONTH(order_data[[#This Row],[Order_Date]])</f>
        <v>2</v>
      </c>
    </row>
    <row r="926" spans="1:18" x14ac:dyDescent="0.35">
      <c r="A926" t="s">
        <v>1567</v>
      </c>
      <c r="B926" t="s">
        <v>136</v>
      </c>
      <c r="C926" t="s">
        <v>433</v>
      </c>
      <c r="D926" t="s">
        <v>16</v>
      </c>
      <c r="E926" t="s">
        <v>89</v>
      </c>
      <c r="F926" t="s">
        <v>18</v>
      </c>
      <c r="G926" t="s">
        <v>49</v>
      </c>
      <c r="H926">
        <v>199</v>
      </c>
      <c r="I926">
        <v>40</v>
      </c>
      <c r="J926">
        <v>100</v>
      </c>
      <c r="K926" t="s">
        <v>29</v>
      </c>
      <c r="L926">
        <v>45</v>
      </c>
      <c r="M926" t="s">
        <v>21</v>
      </c>
      <c r="N926">
        <f>COUNTIF(order_data[Order_ID],order_data[[#This Row],[Order_ID]])</f>
        <v>1</v>
      </c>
      <c r="O926">
        <f>order_data[[#This Row],[Order_Value]]-order_data[[#This Row],[Discount]]</f>
        <v>99</v>
      </c>
      <c r="P926">
        <f>order_data[[#This Row],[Order_Value]]+order_data[[#This Row],[Delivery_Fee]]-order_data[[#This Row],[Discount]]</f>
        <v>139</v>
      </c>
      <c r="Q926" t="str">
        <f>TEXT(order_data[[#This Row],[Order_Date]],"mmm")</f>
        <v>Feb</v>
      </c>
      <c r="R926">
        <f>MONTH(order_data[[#This Row],[Order_Date]])</f>
        <v>2</v>
      </c>
    </row>
    <row r="927" spans="1:18" x14ac:dyDescent="0.35">
      <c r="A927" t="s">
        <v>1568</v>
      </c>
      <c r="B927" t="s">
        <v>247</v>
      </c>
      <c r="C927" t="s">
        <v>879</v>
      </c>
      <c r="D927" t="s">
        <v>40</v>
      </c>
      <c r="E927" t="s">
        <v>41</v>
      </c>
      <c r="F927" t="s">
        <v>27</v>
      </c>
      <c r="G927" t="s">
        <v>74</v>
      </c>
      <c r="H927">
        <v>668</v>
      </c>
      <c r="I927">
        <v>40</v>
      </c>
      <c r="J927">
        <v>100</v>
      </c>
      <c r="K927" t="s">
        <v>20</v>
      </c>
      <c r="L927">
        <v>33</v>
      </c>
      <c r="M927" t="s">
        <v>21</v>
      </c>
      <c r="N927">
        <f>COUNTIF(order_data[Order_ID],order_data[[#This Row],[Order_ID]])</f>
        <v>1</v>
      </c>
      <c r="O927">
        <f>order_data[[#This Row],[Order_Value]]-order_data[[#This Row],[Discount]]</f>
        <v>568</v>
      </c>
      <c r="P927">
        <f>order_data[[#This Row],[Order_Value]]+order_data[[#This Row],[Delivery_Fee]]-order_data[[#This Row],[Discount]]</f>
        <v>608</v>
      </c>
      <c r="Q927" t="str">
        <f>TEXT(order_data[[#This Row],[Order_Date]],"mmm")</f>
        <v>Mar</v>
      </c>
      <c r="R927">
        <f>MONTH(order_data[[#This Row],[Order_Date]])</f>
        <v>3</v>
      </c>
    </row>
    <row r="928" spans="1:18" x14ac:dyDescent="0.35">
      <c r="A928" t="s">
        <v>1569</v>
      </c>
      <c r="B928" t="s">
        <v>339</v>
      </c>
      <c r="C928" t="s">
        <v>307</v>
      </c>
      <c r="D928" t="s">
        <v>46</v>
      </c>
      <c r="E928" t="s">
        <v>70</v>
      </c>
      <c r="F928" t="s">
        <v>18</v>
      </c>
      <c r="G928" t="s">
        <v>59</v>
      </c>
      <c r="H928">
        <v>357</v>
      </c>
      <c r="I928">
        <v>20</v>
      </c>
      <c r="J928">
        <v>30</v>
      </c>
      <c r="K928" t="s">
        <v>20</v>
      </c>
      <c r="L928">
        <v>43</v>
      </c>
      <c r="M928" t="s">
        <v>21</v>
      </c>
      <c r="N928">
        <f>COUNTIF(order_data[Order_ID],order_data[[#This Row],[Order_ID]])</f>
        <v>1</v>
      </c>
      <c r="O928">
        <f>order_data[[#This Row],[Order_Value]]-order_data[[#This Row],[Discount]]</f>
        <v>327</v>
      </c>
      <c r="P928">
        <f>order_data[[#This Row],[Order_Value]]+order_data[[#This Row],[Delivery_Fee]]-order_data[[#This Row],[Discount]]</f>
        <v>347</v>
      </c>
      <c r="Q928" t="str">
        <f>TEXT(order_data[[#This Row],[Order_Date]],"mmm")</f>
        <v>Jan</v>
      </c>
      <c r="R928">
        <f>MONTH(order_data[[#This Row],[Order_Date]])</f>
        <v>1</v>
      </c>
    </row>
    <row r="929" spans="1:18" x14ac:dyDescent="0.35">
      <c r="A929" t="s">
        <v>1570</v>
      </c>
      <c r="B929" t="s">
        <v>199</v>
      </c>
      <c r="C929" t="s">
        <v>1571</v>
      </c>
      <c r="D929" t="s">
        <v>25</v>
      </c>
      <c r="E929" t="s">
        <v>26</v>
      </c>
      <c r="F929" t="s">
        <v>27</v>
      </c>
      <c r="G929" t="s">
        <v>35</v>
      </c>
      <c r="H929">
        <v>584</v>
      </c>
      <c r="I929">
        <v>30</v>
      </c>
      <c r="J929">
        <v>50</v>
      </c>
      <c r="K929" t="s">
        <v>29</v>
      </c>
      <c r="L929">
        <v>48</v>
      </c>
      <c r="M929" t="s">
        <v>21</v>
      </c>
      <c r="N929">
        <f>COUNTIF(order_data[Order_ID],order_data[[#This Row],[Order_ID]])</f>
        <v>1</v>
      </c>
      <c r="O929">
        <f>order_data[[#This Row],[Order_Value]]-order_data[[#This Row],[Discount]]</f>
        <v>534</v>
      </c>
      <c r="P929">
        <f>order_data[[#This Row],[Order_Value]]+order_data[[#This Row],[Delivery_Fee]]-order_data[[#This Row],[Discount]]</f>
        <v>564</v>
      </c>
      <c r="Q929" t="str">
        <f>TEXT(order_data[[#This Row],[Order_Date]],"mmm")</f>
        <v>Jan</v>
      </c>
      <c r="R929">
        <f>MONTH(order_data[[#This Row],[Order_Date]])</f>
        <v>1</v>
      </c>
    </row>
    <row r="930" spans="1:18" x14ac:dyDescent="0.35">
      <c r="A930" t="s">
        <v>1572</v>
      </c>
      <c r="B930" t="s">
        <v>568</v>
      </c>
      <c r="C930" t="s">
        <v>1573</v>
      </c>
      <c r="D930" t="s">
        <v>40</v>
      </c>
      <c r="E930" t="s">
        <v>111</v>
      </c>
      <c r="F930" t="s">
        <v>18</v>
      </c>
      <c r="G930" t="s">
        <v>35</v>
      </c>
      <c r="H930">
        <v>667</v>
      </c>
      <c r="I930">
        <v>50</v>
      </c>
      <c r="J930">
        <v>20</v>
      </c>
      <c r="K930" t="s">
        <v>29</v>
      </c>
      <c r="L930">
        <v>54</v>
      </c>
      <c r="M930" t="s">
        <v>21</v>
      </c>
      <c r="N930">
        <f>COUNTIF(order_data[Order_ID],order_data[[#This Row],[Order_ID]])</f>
        <v>1</v>
      </c>
      <c r="O930">
        <f>order_data[[#This Row],[Order_Value]]-order_data[[#This Row],[Discount]]</f>
        <v>647</v>
      </c>
      <c r="P930">
        <f>order_data[[#This Row],[Order_Value]]+order_data[[#This Row],[Delivery_Fee]]-order_data[[#This Row],[Discount]]</f>
        <v>697</v>
      </c>
      <c r="Q930" t="str">
        <f>TEXT(order_data[[#This Row],[Order_Date]],"mmm")</f>
        <v>Mar</v>
      </c>
      <c r="R930">
        <f>MONTH(order_data[[#This Row],[Order_Date]])</f>
        <v>3</v>
      </c>
    </row>
    <row r="931" spans="1:18" x14ac:dyDescent="0.35">
      <c r="A931" t="s">
        <v>1574</v>
      </c>
      <c r="B931" t="s">
        <v>271</v>
      </c>
      <c r="C931" t="s">
        <v>779</v>
      </c>
      <c r="D931" t="s">
        <v>40</v>
      </c>
      <c r="E931" t="s">
        <v>67</v>
      </c>
      <c r="F931" t="s">
        <v>48</v>
      </c>
      <c r="G931" t="s">
        <v>35</v>
      </c>
      <c r="H931">
        <v>406</v>
      </c>
      <c r="I931">
        <v>50</v>
      </c>
      <c r="J931">
        <v>50</v>
      </c>
      <c r="K931" t="s">
        <v>20</v>
      </c>
      <c r="L931">
        <v>43</v>
      </c>
      <c r="M931" t="s">
        <v>21</v>
      </c>
      <c r="N931">
        <f>COUNTIF(order_data[Order_ID],order_data[[#This Row],[Order_ID]])</f>
        <v>1</v>
      </c>
      <c r="O931">
        <f>order_data[[#This Row],[Order_Value]]-order_data[[#This Row],[Discount]]</f>
        <v>356</v>
      </c>
      <c r="P931">
        <f>order_data[[#This Row],[Order_Value]]+order_data[[#This Row],[Delivery_Fee]]-order_data[[#This Row],[Discount]]</f>
        <v>406</v>
      </c>
      <c r="Q931" t="str">
        <f>TEXT(order_data[[#This Row],[Order_Date]],"mmm")</f>
        <v>Jan</v>
      </c>
      <c r="R931">
        <f>MONTH(order_data[[#This Row],[Order_Date]])</f>
        <v>1</v>
      </c>
    </row>
    <row r="932" spans="1:18" x14ac:dyDescent="0.35">
      <c r="A932" t="s">
        <v>1575</v>
      </c>
      <c r="B932" t="s">
        <v>336</v>
      </c>
      <c r="C932" t="s">
        <v>1344</v>
      </c>
      <c r="D932" t="s">
        <v>25</v>
      </c>
      <c r="E932" t="s">
        <v>34</v>
      </c>
      <c r="F932" t="s">
        <v>27</v>
      </c>
      <c r="G932" t="s">
        <v>49</v>
      </c>
      <c r="H932">
        <v>368</v>
      </c>
      <c r="I932">
        <v>30</v>
      </c>
      <c r="J932">
        <v>100</v>
      </c>
      <c r="K932" t="s">
        <v>29</v>
      </c>
      <c r="L932">
        <v>28</v>
      </c>
      <c r="M932" t="s">
        <v>21</v>
      </c>
      <c r="N932">
        <f>COUNTIF(order_data[Order_ID],order_data[[#This Row],[Order_ID]])</f>
        <v>1</v>
      </c>
      <c r="O932">
        <f>order_data[[#This Row],[Order_Value]]-order_data[[#This Row],[Discount]]</f>
        <v>268</v>
      </c>
      <c r="P932">
        <f>order_data[[#This Row],[Order_Value]]+order_data[[#This Row],[Delivery_Fee]]-order_data[[#This Row],[Discount]]</f>
        <v>298</v>
      </c>
      <c r="Q932" t="str">
        <f>TEXT(order_data[[#This Row],[Order_Date]],"mmm")</f>
        <v>Feb</v>
      </c>
      <c r="R932">
        <f>MONTH(order_data[[#This Row],[Order_Date]])</f>
        <v>2</v>
      </c>
    </row>
    <row r="933" spans="1:18" x14ac:dyDescent="0.35">
      <c r="A933" t="s">
        <v>1576</v>
      </c>
      <c r="B933" t="s">
        <v>133</v>
      </c>
      <c r="C933" t="s">
        <v>818</v>
      </c>
      <c r="D933" t="s">
        <v>46</v>
      </c>
      <c r="E933" t="s">
        <v>148</v>
      </c>
      <c r="F933" t="s">
        <v>27</v>
      </c>
      <c r="G933" t="s">
        <v>19</v>
      </c>
      <c r="H933">
        <v>750</v>
      </c>
      <c r="I933">
        <v>30</v>
      </c>
      <c r="J933">
        <v>100</v>
      </c>
      <c r="K933" t="s">
        <v>20</v>
      </c>
      <c r="L933">
        <v>37</v>
      </c>
      <c r="M933" t="s">
        <v>21</v>
      </c>
      <c r="N933">
        <f>COUNTIF(order_data[Order_ID],order_data[[#This Row],[Order_ID]])</f>
        <v>1</v>
      </c>
      <c r="O933">
        <f>order_data[[#This Row],[Order_Value]]-order_data[[#This Row],[Discount]]</f>
        <v>650</v>
      </c>
      <c r="P933">
        <f>order_data[[#This Row],[Order_Value]]+order_data[[#This Row],[Delivery_Fee]]-order_data[[#This Row],[Discount]]</f>
        <v>680</v>
      </c>
      <c r="Q933" t="str">
        <f>TEXT(order_data[[#This Row],[Order_Date]],"mmm")</f>
        <v>Mar</v>
      </c>
      <c r="R933">
        <f>MONTH(order_data[[#This Row],[Order_Date]])</f>
        <v>3</v>
      </c>
    </row>
    <row r="934" spans="1:18" x14ac:dyDescent="0.35">
      <c r="A934" t="s">
        <v>1577</v>
      </c>
      <c r="B934" t="s">
        <v>118</v>
      </c>
      <c r="C934" t="s">
        <v>441</v>
      </c>
      <c r="D934" t="s">
        <v>25</v>
      </c>
      <c r="E934" t="s">
        <v>78</v>
      </c>
      <c r="F934" t="s">
        <v>48</v>
      </c>
      <c r="G934" t="s">
        <v>42</v>
      </c>
      <c r="H934">
        <v>530</v>
      </c>
      <c r="I934">
        <v>30</v>
      </c>
      <c r="J934">
        <v>100</v>
      </c>
      <c r="K934" t="s">
        <v>36</v>
      </c>
      <c r="L934">
        <v>54</v>
      </c>
      <c r="M934" t="s">
        <v>21</v>
      </c>
      <c r="N934">
        <f>COUNTIF(order_data[Order_ID],order_data[[#This Row],[Order_ID]])</f>
        <v>1</v>
      </c>
      <c r="O934">
        <f>order_data[[#This Row],[Order_Value]]-order_data[[#This Row],[Discount]]</f>
        <v>430</v>
      </c>
      <c r="P934">
        <f>order_data[[#This Row],[Order_Value]]+order_data[[#This Row],[Delivery_Fee]]-order_data[[#This Row],[Discount]]</f>
        <v>460</v>
      </c>
      <c r="Q934" t="str">
        <f>TEXT(order_data[[#This Row],[Order_Date]],"mmm")</f>
        <v>Mar</v>
      </c>
      <c r="R934">
        <f>MONTH(order_data[[#This Row],[Order_Date]])</f>
        <v>3</v>
      </c>
    </row>
    <row r="935" spans="1:18" x14ac:dyDescent="0.35">
      <c r="A935" t="s">
        <v>1578</v>
      </c>
      <c r="B935" t="s">
        <v>657</v>
      </c>
      <c r="C935" t="s">
        <v>276</v>
      </c>
      <c r="D935" t="s">
        <v>53</v>
      </c>
      <c r="E935" t="s">
        <v>54</v>
      </c>
      <c r="F935" t="s">
        <v>55</v>
      </c>
      <c r="G935" t="s">
        <v>176</v>
      </c>
      <c r="H935">
        <v>427</v>
      </c>
      <c r="I935">
        <v>50</v>
      </c>
      <c r="J935">
        <v>50</v>
      </c>
      <c r="K935" t="s">
        <v>20</v>
      </c>
      <c r="L935">
        <v>45</v>
      </c>
      <c r="M935" t="s">
        <v>21</v>
      </c>
      <c r="N935">
        <f>COUNTIF(order_data[Order_ID],order_data[[#This Row],[Order_ID]])</f>
        <v>1</v>
      </c>
      <c r="O935">
        <f>order_data[[#This Row],[Order_Value]]-order_data[[#This Row],[Discount]]</f>
        <v>377</v>
      </c>
      <c r="P935">
        <f>order_data[[#This Row],[Order_Value]]+order_data[[#This Row],[Delivery_Fee]]-order_data[[#This Row],[Discount]]</f>
        <v>427</v>
      </c>
      <c r="Q935" t="str">
        <f>TEXT(order_data[[#This Row],[Order_Date]],"mmm")</f>
        <v>Jan</v>
      </c>
      <c r="R935">
        <f>MONTH(order_data[[#This Row],[Order_Date]])</f>
        <v>1</v>
      </c>
    </row>
    <row r="936" spans="1:18" x14ac:dyDescent="0.35">
      <c r="A936" t="s">
        <v>1579</v>
      </c>
      <c r="B936" t="s">
        <v>105</v>
      </c>
      <c r="C936" t="s">
        <v>287</v>
      </c>
      <c r="D936" t="s">
        <v>53</v>
      </c>
      <c r="E936" t="s">
        <v>84</v>
      </c>
      <c r="F936" t="s">
        <v>85</v>
      </c>
      <c r="G936" t="s">
        <v>176</v>
      </c>
      <c r="H936">
        <v>779</v>
      </c>
      <c r="I936">
        <v>20</v>
      </c>
      <c r="J936">
        <v>20</v>
      </c>
      <c r="K936" t="s">
        <v>20</v>
      </c>
      <c r="L936">
        <v>58</v>
      </c>
      <c r="M936" t="s">
        <v>30</v>
      </c>
      <c r="N936">
        <f>COUNTIF(order_data[Order_ID],order_data[[#This Row],[Order_ID]])</f>
        <v>1</v>
      </c>
      <c r="O936">
        <f>order_data[[#This Row],[Order_Value]]-order_data[[#This Row],[Discount]]</f>
        <v>759</v>
      </c>
      <c r="P936">
        <f>order_data[[#This Row],[Order_Value]]+order_data[[#This Row],[Delivery_Fee]]-order_data[[#This Row],[Discount]]</f>
        <v>779</v>
      </c>
      <c r="Q936" t="str">
        <f>TEXT(order_data[[#This Row],[Order_Date]],"mmm")</f>
        <v>Mar</v>
      </c>
      <c r="R936">
        <f>MONTH(order_data[[#This Row],[Order_Date]])</f>
        <v>3</v>
      </c>
    </row>
    <row r="937" spans="1:18" x14ac:dyDescent="0.35">
      <c r="A937" t="s">
        <v>1580</v>
      </c>
      <c r="B937" t="s">
        <v>583</v>
      </c>
      <c r="C937" t="s">
        <v>1581</v>
      </c>
      <c r="D937" t="s">
        <v>46</v>
      </c>
      <c r="E937" t="s">
        <v>70</v>
      </c>
      <c r="F937" t="s">
        <v>18</v>
      </c>
      <c r="G937" t="s">
        <v>176</v>
      </c>
      <c r="H937">
        <v>580</v>
      </c>
      <c r="I937">
        <v>50</v>
      </c>
      <c r="J937">
        <v>20</v>
      </c>
      <c r="K937" t="s">
        <v>29</v>
      </c>
      <c r="L937">
        <v>57</v>
      </c>
      <c r="M937" t="s">
        <v>21</v>
      </c>
      <c r="N937">
        <f>COUNTIF(order_data[Order_ID],order_data[[#This Row],[Order_ID]])</f>
        <v>1</v>
      </c>
      <c r="O937">
        <f>order_data[[#This Row],[Order_Value]]-order_data[[#This Row],[Discount]]</f>
        <v>560</v>
      </c>
      <c r="P937">
        <f>order_data[[#This Row],[Order_Value]]+order_data[[#This Row],[Delivery_Fee]]-order_data[[#This Row],[Discount]]</f>
        <v>610</v>
      </c>
      <c r="Q937" t="str">
        <f>TEXT(order_data[[#This Row],[Order_Date]],"mmm")</f>
        <v>Jan</v>
      </c>
      <c r="R937">
        <f>MONTH(order_data[[#This Row],[Order_Date]])</f>
        <v>1</v>
      </c>
    </row>
    <row r="938" spans="1:18" x14ac:dyDescent="0.35">
      <c r="A938" t="s">
        <v>1582</v>
      </c>
      <c r="B938" t="s">
        <v>207</v>
      </c>
      <c r="C938" t="s">
        <v>1197</v>
      </c>
      <c r="D938" t="s">
        <v>16</v>
      </c>
      <c r="E938" t="s">
        <v>131</v>
      </c>
      <c r="F938" t="s">
        <v>55</v>
      </c>
      <c r="G938" t="s">
        <v>176</v>
      </c>
      <c r="H938">
        <v>279</v>
      </c>
      <c r="I938">
        <v>40</v>
      </c>
      <c r="J938">
        <v>30</v>
      </c>
      <c r="K938" t="s">
        <v>20</v>
      </c>
      <c r="L938">
        <v>20</v>
      </c>
      <c r="M938" t="s">
        <v>21</v>
      </c>
      <c r="N938">
        <f>COUNTIF(order_data[Order_ID],order_data[[#This Row],[Order_ID]])</f>
        <v>1</v>
      </c>
      <c r="O938">
        <f>order_data[[#This Row],[Order_Value]]-order_data[[#This Row],[Discount]]</f>
        <v>249</v>
      </c>
      <c r="P938">
        <f>order_data[[#This Row],[Order_Value]]+order_data[[#This Row],[Delivery_Fee]]-order_data[[#This Row],[Discount]]</f>
        <v>289</v>
      </c>
      <c r="Q938" t="str">
        <f>TEXT(order_data[[#This Row],[Order_Date]],"mmm")</f>
        <v>Jan</v>
      </c>
      <c r="R938">
        <f>MONTH(order_data[[#This Row],[Order_Date]])</f>
        <v>1</v>
      </c>
    </row>
    <row r="939" spans="1:18" x14ac:dyDescent="0.35">
      <c r="A939" t="s">
        <v>1583</v>
      </c>
      <c r="B939" t="s">
        <v>580</v>
      </c>
      <c r="C939" t="s">
        <v>200</v>
      </c>
      <c r="D939" t="s">
        <v>46</v>
      </c>
      <c r="E939" t="s">
        <v>148</v>
      </c>
      <c r="F939" t="s">
        <v>27</v>
      </c>
      <c r="G939" t="s">
        <v>74</v>
      </c>
      <c r="H939">
        <v>240</v>
      </c>
      <c r="I939">
        <v>30</v>
      </c>
      <c r="J939">
        <v>100</v>
      </c>
      <c r="K939" t="s">
        <v>29</v>
      </c>
      <c r="L939">
        <v>41</v>
      </c>
      <c r="M939" t="s">
        <v>21</v>
      </c>
      <c r="N939">
        <f>COUNTIF(order_data[Order_ID],order_data[[#This Row],[Order_ID]])</f>
        <v>1</v>
      </c>
      <c r="O939">
        <f>order_data[[#This Row],[Order_Value]]-order_data[[#This Row],[Discount]]</f>
        <v>140</v>
      </c>
      <c r="P939">
        <f>order_data[[#This Row],[Order_Value]]+order_data[[#This Row],[Delivery_Fee]]-order_data[[#This Row],[Discount]]</f>
        <v>170</v>
      </c>
      <c r="Q939" t="str">
        <f>TEXT(order_data[[#This Row],[Order_Date]],"mmm")</f>
        <v>Mar</v>
      </c>
      <c r="R939">
        <f>MONTH(order_data[[#This Row],[Order_Date]])</f>
        <v>3</v>
      </c>
    </row>
    <row r="940" spans="1:18" x14ac:dyDescent="0.35">
      <c r="A940" t="s">
        <v>1584</v>
      </c>
      <c r="B940" t="s">
        <v>105</v>
      </c>
      <c r="C940" t="s">
        <v>708</v>
      </c>
      <c r="D940" t="s">
        <v>25</v>
      </c>
      <c r="E940" t="s">
        <v>78</v>
      </c>
      <c r="F940" t="s">
        <v>48</v>
      </c>
      <c r="G940" t="s">
        <v>49</v>
      </c>
      <c r="H940">
        <v>661</v>
      </c>
      <c r="I940">
        <v>20</v>
      </c>
      <c r="J940">
        <v>20</v>
      </c>
      <c r="K940" t="s">
        <v>29</v>
      </c>
      <c r="L940">
        <v>27</v>
      </c>
      <c r="M940" t="s">
        <v>21</v>
      </c>
      <c r="N940">
        <f>COUNTIF(order_data[Order_ID],order_data[[#This Row],[Order_ID]])</f>
        <v>1</v>
      </c>
      <c r="O940">
        <f>order_data[[#This Row],[Order_Value]]-order_data[[#This Row],[Discount]]</f>
        <v>641</v>
      </c>
      <c r="P940">
        <f>order_data[[#This Row],[Order_Value]]+order_data[[#This Row],[Delivery_Fee]]-order_data[[#This Row],[Discount]]</f>
        <v>661</v>
      </c>
      <c r="Q940" t="str">
        <f>TEXT(order_data[[#This Row],[Order_Date]],"mmm")</f>
        <v>Mar</v>
      </c>
      <c r="R940">
        <f>MONTH(order_data[[#This Row],[Order_Date]])</f>
        <v>3</v>
      </c>
    </row>
    <row r="941" spans="1:18" x14ac:dyDescent="0.35">
      <c r="A941" t="s">
        <v>1585</v>
      </c>
      <c r="B941" t="s">
        <v>226</v>
      </c>
      <c r="C941" t="s">
        <v>956</v>
      </c>
      <c r="D941" t="s">
        <v>40</v>
      </c>
      <c r="E941" t="s">
        <v>41</v>
      </c>
      <c r="F941" t="s">
        <v>27</v>
      </c>
      <c r="G941" t="s">
        <v>59</v>
      </c>
      <c r="H941">
        <v>249</v>
      </c>
      <c r="I941">
        <v>50</v>
      </c>
      <c r="J941">
        <v>50</v>
      </c>
      <c r="K941" t="s">
        <v>29</v>
      </c>
      <c r="L941">
        <v>34</v>
      </c>
      <c r="M941" t="s">
        <v>21</v>
      </c>
      <c r="N941">
        <f>COUNTIF(order_data[Order_ID],order_data[[#This Row],[Order_ID]])</f>
        <v>1</v>
      </c>
      <c r="O941">
        <f>order_data[[#This Row],[Order_Value]]-order_data[[#This Row],[Discount]]</f>
        <v>199</v>
      </c>
      <c r="P941">
        <f>order_data[[#This Row],[Order_Value]]+order_data[[#This Row],[Delivery_Fee]]-order_data[[#This Row],[Discount]]</f>
        <v>249</v>
      </c>
      <c r="Q941" t="str">
        <f>TEXT(order_data[[#This Row],[Order_Date]],"mmm")</f>
        <v>Jan</v>
      </c>
      <c r="R941">
        <f>MONTH(order_data[[#This Row],[Order_Date]])</f>
        <v>1</v>
      </c>
    </row>
    <row r="942" spans="1:18" x14ac:dyDescent="0.35">
      <c r="A942" t="s">
        <v>1586</v>
      </c>
      <c r="B942" t="s">
        <v>129</v>
      </c>
      <c r="C942" t="s">
        <v>385</v>
      </c>
      <c r="D942" t="s">
        <v>53</v>
      </c>
      <c r="E942" t="s">
        <v>152</v>
      </c>
      <c r="F942" t="s">
        <v>18</v>
      </c>
      <c r="G942" t="s">
        <v>28</v>
      </c>
      <c r="H942">
        <v>165</v>
      </c>
      <c r="I942">
        <v>40</v>
      </c>
      <c r="J942">
        <v>0</v>
      </c>
      <c r="K942" t="s">
        <v>29</v>
      </c>
      <c r="L942">
        <v>30</v>
      </c>
      <c r="M942" t="s">
        <v>21</v>
      </c>
      <c r="N942">
        <f>COUNTIF(order_data[Order_ID],order_data[[#This Row],[Order_ID]])</f>
        <v>1</v>
      </c>
      <c r="O942">
        <f>order_data[[#This Row],[Order_Value]]-order_data[[#This Row],[Discount]]</f>
        <v>165</v>
      </c>
      <c r="P942">
        <f>order_data[[#This Row],[Order_Value]]+order_data[[#This Row],[Delivery_Fee]]-order_data[[#This Row],[Discount]]</f>
        <v>205</v>
      </c>
      <c r="Q942" t="str">
        <f>TEXT(order_data[[#This Row],[Order_Date]],"mmm")</f>
        <v>Feb</v>
      </c>
      <c r="R942">
        <f>MONTH(order_data[[#This Row],[Order_Date]])</f>
        <v>2</v>
      </c>
    </row>
    <row r="943" spans="1:18" x14ac:dyDescent="0.35">
      <c r="A943" t="s">
        <v>1587</v>
      </c>
      <c r="B943" t="s">
        <v>339</v>
      </c>
      <c r="C943" t="s">
        <v>193</v>
      </c>
      <c r="D943" t="s">
        <v>53</v>
      </c>
      <c r="E943" t="s">
        <v>54</v>
      </c>
      <c r="F943" t="s">
        <v>55</v>
      </c>
      <c r="G943" t="s">
        <v>63</v>
      </c>
      <c r="H943">
        <v>408</v>
      </c>
      <c r="I943">
        <v>40</v>
      </c>
      <c r="J943">
        <v>30</v>
      </c>
      <c r="K943" t="s">
        <v>36</v>
      </c>
      <c r="L943">
        <v>48</v>
      </c>
      <c r="M943" t="s">
        <v>21</v>
      </c>
      <c r="N943">
        <f>COUNTIF(order_data[Order_ID],order_data[[#This Row],[Order_ID]])</f>
        <v>1</v>
      </c>
      <c r="O943">
        <f>order_data[[#This Row],[Order_Value]]-order_data[[#This Row],[Discount]]</f>
        <v>378</v>
      </c>
      <c r="P943">
        <f>order_data[[#This Row],[Order_Value]]+order_data[[#This Row],[Delivery_Fee]]-order_data[[#This Row],[Discount]]</f>
        <v>418</v>
      </c>
      <c r="Q943" t="str">
        <f>TEXT(order_data[[#This Row],[Order_Date]],"mmm")</f>
        <v>Jan</v>
      </c>
      <c r="R943">
        <f>MONTH(order_data[[#This Row],[Order_Date]])</f>
        <v>1</v>
      </c>
    </row>
    <row r="944" spans="1:18" x14ac:dyDescent="0.35">
      <c r="A944" t="s">
        <v>1588</v>
      </c>
      <c r="B944" t="s">
        <v>32</v>
      </c>
      <c r="C944" t="s">
        <v>1589</v>
      </c>
      <c r="D944" t="s">
        <v>25</v>
      </c>
      <c r="E944" t="s">
        <v>78</v>
      </c>
      <c r="F944" t="s">
        <v>48</v>
      </c>
      <c r="G944" t="s">
        <v>19</v>
      </c>
      <c r="H944">
        <v>228</v>
      </c>
      <c r="I944">
        <v>30</v>
      </c>
      <c r="J944">
        <v>0</v>
      </c>
      <c r="K944" t="s">
        <v>36</v>
      </c>
      <c r="L944">
        <v>40</v>
      </c>
      <c r="M944" t="s">
        <v>21</v>
      </c>
      <c r="N944">
        <f>COUNTIF(order_data[Order_ID],order_data[[#This Row],[Order_ID]])</f>
        <v>1</v>
      </c>
      <c r="O944">
        <f>order_data[[#This Row],[Order_Value]]-order_data[[#This Row],[Discount]]</f>
        <v>228</v>
      </c>
      <c r="P944">
        <f>order_data[[#This Row],[Order_Value]]+order_data[[#This Row],[Delivery_Fee]]-order_data[[#This Row],[Discount]]</f>
        <v>258</v>
      </c>
      <c r="Q944" t="str">
        <f>TEXT(order_data[[#This Row],[Order_Date]],"mmm")</f>
        <v>Jan</v>
      </c>
      <c r="R944">
        <f>MONTH(order_data[[#This Row],[Order_Date]])</f>
        <v>1</v>
      </c>
    </row>
    <row r="945" spans="1:18" x14ac:dyDescent="0.35">
      <c r="A945" t="s">
        <v>1590</v>
      </c>
      <c r="B945" t="s">
        <v>379</v>
      </c>
      <c r="C945" t="s">
        <v>625</v>
      </c>
      <c r="D945" t="s">
        <v>53</v>
      </c>
      <c r="E945" t="s">
        <v>84</v>
      </c>
      <c r="F945" t="s">
        <v>85</v>
      </c>
      <c r="G945" t="s">
        <v>35</v>
      </c>
      <c r="H945">
        <v>233</v>
      </c>
      <c r="I945">
        <v>20</v>
      </c>
      <c r="J945">
        <v>50</v>
      </c>
      <c r="K945" t="s">
        <v>20</v>
      </c>
      <c r="L945">
        <v>38</v>
      </c>
      <c r="M945" t="s">
        <v>21</v>
      </c>
      <c r="N945">
        <f>COUNTIF(order_data[Order_ID],order_data[[#This Row],[Order_ID]])</f>
        <v>1</v>
      </c>
      <c r="O945">
        <f>order_data[[#This Row],[Order_Value]]-order_data[[#This Row],[Discount]]</f>
        <v>183</v>
      </c>
      <c r="P945">
        <f>order_data[[#This Row],[Order_Value]]+order_data[[#This Row],[Delivery_Fee]]-order_data[[#This Row],[Discount]]</f>
        <v>203</v>
      </c>
      <c r="Q945" t="str">
        <f>TEXT(order_data[[#This Row],[Order_Date]],"mmm")</f>
        <v>Mar</v>
      </c>
      <c r="R945">
        <f>MONTH(order_data[[#This Row],[Order_Date]])</f>
        <v>3</v>
      </c>
    </row>
    <row r="946" spans="1:18" x14ac:dyDescent="0.35">
      <c r="A946" t="s">
        <v>1591</v>
      </c>
      <c r="B946" t="s">
        <v>150</v>
      </c>
      <c r="C946" t="s">
        <v>452</v>
      </c>
      <c r="D946" t="s">
        <v>46</v>
      </c>
      <c r="E946" t="s">
        <v>148</v>
      </c>
      <c r="F946" t="s">
        <v>27</v>
      </c>
      <c r="G946" t="s">
        <v>63</v>
      </c>
      <c r="H946">
        <v>337</v>
      </c>
      <c r="I946">
        <v>20</v>
      </c>
      <c r="J946">
        <v>50</v>
      </c>
      <c r="K946" t="s">
        <v>29</v>
      </c>
      <c r="L946">
        <v>55</v>
      </c>
      <c r="M946" t="s">
        <v>21</v>
      </c>
      <c r="N946">
        <f>COUNTIF(order_data[Order_ID],order_data[[#This Row],[Order_ID]])</f>
        <v>1</v>
      </c>
      <c r="O946">
        <f>order_data[[#This Row],[Order_Value]]-order_data[[#This Row],[Discount]]</f>
        <v>287</v>
      </c>
      <c r="P946">
        <f>order_data[[#This Row],[Order_Value]]+order_data[[#This Row],[Delivery_Fee]]-order_data[[#This Row],[Discount]]</f>
        <v>307</v>
      </c>
      <c r="Q946" t="str">
        <f>TEXT(order_data[[#This Row],[Order_Date]],"mmm")</f>
        <v>Feb</v>
      </c>
      <c r="R946">
        <f>MONTH(order_data[[#This Row],[Order_Date]])</f>
        <v>2</v>
      </c>
    </row>
    <row r="947" spans="1:18" x14ac:dyDescent="0.35">
      <c r="A947" t="s">
        <v>1592</v>
      </c>
      <c r="B947" t="s">
        <v>393</v>
      </c>
      <c r="C947" t="s">
        <v>1593</v>
      </c>
      <c r="D947" t="s">
        <v>46</v>
      </c>
      <c r="E947" t="s">
        <v>47</v>
      </c>
      <c r="F947" t="s">
        <v>48</v>
      </c>
      <c r="G947" t="s">
        <v>49</v>
      </c>
      <c r="H947">
        <v>730</v>
      </c>
      <c r="I947">
        <v>40</v>
      </c>
      <c r="J947">
        <v>30</v>
      </c>
      <c r="K947" t="s">
        <v>29</v>
      </c>
      <c r="L947">
        <v>42</v>
      </c>
      <c r="M947" t="s">
        <v>21</v>
      </c>
      <c r="N947">
        <f>COUNTIF(order_data[Order_ID],order_data[[#This Row],[Order_ID]])</f>
        <v>1</v>
      </c>
      <c r="O947">
        <f>order_data[[#This Row],[Order_Value]]-order_data[[#This Row],[Discount]]</f>
        <v>700</v>
      </c>
      <c r="P947">
        <f>order_data[[#This Row],[Order_Value]]+order_data[[#This Row],[Delivery_Fee]]-order_data[[#This Row],[Discount]]</f>
        <v>740</v>
      </c>
      <c r="Q947" t="str">
        <f>TEXT(order_data[[#This Row],[Order_Date]],"mmm")</f>
        <v>Feb</v>
      </c>
      <c r="R947">
        <f>MONTH(order_data[[#This Row],[Order_Date]])</f>
        <v>2</v>
      </c>
    </row>
    <row r="948" spans="1:18" x14ac:dyDescent="0.35">
      <c r="A948" t="s">
        <v>1594</v>
      </c>
      <c r="B948" t="s">
        <v>57</v>
      </c>
      <c r="C948" t="s">
        <v>623</v>
      </c>
      <c r="D948" t="s">
        <v>53</v>
      </c>
      <c r="E948" t="s">
        <v>152</v>
      </c>
      <c r="F948" t="s">
        <v>18</v>
      </c>
      <c r="G948" t="s">
        <v>19</v>
      </c>
      <c r="H948">
        <v>367</v>
      </c>
      <c r="I948">
        <v>40</v>
      </c>
      <c r="J948">
        <v>100</v>
      </c>
      <c r="K948" t="s">
        <v>20</v>
      </c>
      <c r="L948">
        <v>45</v>
      </c>
      <c r="M948" t="s">
        <v>21</v>
      </c>
      <c r="N948">
        <f>COUNTIF(order_data[Order_ID],order_data[[#This Row],[Order_ID]])</f>
        <v>1</v>
      </c>
      <c r="O948">
        <f>order_data[[#This Row],[Order_Value]]-order_data[[#This Row],[Discount]]</f>
        <v>267</v>
      </c>
      <c r="P948">
        <f>order_data[[#This Row],[Order_Value]]+order_data[[#This Row],[Delivery_Fee]]-order_data[[#This Row],[Discount]]</f>
        <v>307</v>
      </c>
      <c r="Q948" t="str">
        <f>TEXT(order_data[[#This Row],[Order_Date]],"mmm")</f>
        <v>Jan</v>
      </c>
      <c r="R948">
        <f>MONTH(order_data[[#This Row],[Order_Date]])</f>
        <v>1</v>
      </c>
    </row>
    <row r="949" spans="1:18" x14ac:dyDescent="0.35">
      <c r="A949" t="s">
        <v>1595</v>
      </c>
      <c r="B949" t="s">
        <v>583</v>
      </c>
      <c r="C949" t="s">
        <v>1563</v>
      </c>
      <c r="D949" t="s">
        <v>53</v>
      </c>
      <c r="E949" t="s">
        <v>84</v>
      </c>
      <c r="F949" t="s">
        <v>85</v>
      </c>
      <c r="G949" t="s">
        <v>107</v>
      </c>
      <c r="H949">
        <v>341</v>
      </c>
      <c r="I949">
        <v>50</v>
      </c>
      <c r="J949">
        <v>20</v>
      </c>
      <c r="K949" t="s">
        <v>29</v>
      </c>
      <c r="L949">
        <v>24</v>
      </c>
      <c r="M949" t="s">
        <v>21</v>
      </c>
      <c r="N949">
        <f>COUNTIF(order_data[Order_ID],order_data[[#This Row],[Order_ID]])</f>
        <v>1</v>
      </c>
      <c r="O949">
        <f>order_data[[#This Row],[Order_Value]]-order_data[[#This Row],[Discount]]</f>
        <v>321</v>
      </c>
      <c r="P949">
        <f>order_data[[#This Row],[Order_Value]]+order_data[[#This Row],[Delivery_Fee]]-order_data[[#This Row],[Discount]]</f>
        <v>371</v>
      </c>
      <c r="Q949" t="str">
        <f>TEXT(order_data[[#This Row],[Order_Date]],"mmm")</f>
        <v>Jan</v>
      </c>
      <c r="R949">
        <f>MONTH(order_data[[#This Row],[Order_Date]])</f>
        <v>1</v>
      </c>
    </row>
    <row r="950" spans="1:18" x14ac:dyDescent="0.35">
      <c r="A950" t="s">
        <v>1596</v>
      </c>
      <c r="B950" t="s">
        <v>271</v>
      </c>
      <c r="C950" t="s">
        <v>414</v>
      </c>
      <c r="D950" t="s">
        <v>40</v>
      </c>
      <c r="E950" t="s">
        <v>67</v>
      </c>
      <c r="F950" t="s">
        <v>48</v>
      </c>
      <c r="G950" t="s">
        <v>35</v>
      </c>
      <c r="H950">
        <v>799</v>
      </c>
      <c r="I950">
        <v>50</v>
      </c>
      <c r="J950">
        <v>0</v>
      </c>
      <c r="K950" t="s">
        <v>29</v>
      </c>
      <c r="L950">
        <v>57</v>
      </c>
      <c r="M950" t="s">
        <v>21</v>
      </c>
      <c r="N950">
        <f>COUNTIF(order_data[Order_ID],order_data[[#This Row],[Order_ID]])</f>
        <v>1</v>
      </c>
      <c r="O950">
        <f>order_data[[#This Row],[Order_Value]]-order_data[[#This Row],[Discount]]</f>
        <v>799</v>
      </c>
      <c r="P950">
        <f>order_data[[#This Row],[Order_Value]]+order_data[[#This Row],[Delivery_Fee]]-order_data[[#This Row],[Discount]]</f>
        <v>849</v>
      </c>
      <c r="Q950" t="str">
        <f>TEXT(order_data[[#This Row],[Order_Date]],"mmm")</f>
        <v>Jan</v>
      </c>
      <c r="R950">
        <f>MONTH(order_data[[#This Row],[Order_Date]])</f>
        <v>1</v>
      </c>
    </row>
    <row r="951" spans="1:18" x14ac:dyDescent="0.35">
      <c r="A951" t="s">
        <v>1597</v>
      </c>
      <c r="B951" t="s">
        <v>129</v>
      </c>
      <c r="C951" t="s">
        <v>1598</v>
      </c>
      <c r="D951" t="s">
        <v>53</v>
      </c>
      <c r="E951" t="s">
        <v>54</v>
      </c>
      <c r="F951" t="s">
        <v>55</v>
      </c>
      <c r="G951" t="s">
        <v>42</v>
      </c>
      <c r="H951">
        <v>413</v>
      </c>
      <c r="I951">
        <v>20</v>
      </c>
      <c r="J951">
        <v>0</v>
      </c>
      <c r="K951" t="s">
        <v>29</v>
      </c>
      <c r="L951">
        <v>25</v>
      </c>
      <c r="M951" t="s">
        <v>21</v>
      </c>
      <c r="N951">
        <f>COUNTIF(order_data[Order_ID],order_data[[#This Row],[Order_ID]])</f>
        <v>1</v>
      </c>
      <c r="O951">
        <f>order_data[[#This Row],[Order_Value]]-order_data[[#This Row],[Discount]]</f>
        <v>413</v>
      </c>
      <c r="P951">
        <f>order_data[[#This Row],[Order_Value]]+order_data[[#This Row],[Delivery_Fee]]-order_data[[#This Row],[Discount]]</f>
        <v>433</v>
      </c>
      <c r="Q951" t="str">
        <f>TEXT(order_data[[#This Row],[Order_Date]],"mmm")</f>
        <v>Feb</v>
      </c>
      <c r="R951">
        <f>MONTH(order_data[[#This Row],[Order_Date]])</f>
        <v>2</v>
      </c>
    </row>
    <row r="952" spans="1:18" x14ac:dyDescent="0.35">
      <c r="A952" t="s">
        <v>1599</v>
      </c>
      <c r="B952" t="s">
        <v>416</v>
      </c>
      <c r="C952" t="s">
        <v>130</v>
      </c>
      <c r="D952" t="s">
        <v>46</v>
      </c>
      <c r="E952" t="s">
        <v>47</v>
      </c>
      <c r="F952" t="s">
        <v>48</v>
      </c>
      <c r="G952" t="s">
        <v>49</v>
      </c>
      <c r="H952">
        <v>377</v>
      </c>
      <c r="I952">
        <v>30</v>
      </c>
      <c r="J952">
        <v>30</v>
      </c>
      <c r="K952" t="s">
        <v>20</v>
      </c>
      <c r="L952">
        <v>29</v>
      </c>
      <c r="M952" t="s">
        <v>21</v>
      </c>
      <c r="N952">
        <f>COUNTIF(order_data[Order_ID],order_data[[#This Row],[Order_ID]])</f>
        <v>1</v>
      </c>
      <c r="O952">
        <f>order_data[[#This Row],[Order_Value]]-order_data[[#This Row],[Discount]]</f>
        <v>347</v>
      </c>
      <c r="P952">
        <f>order_data[[#This Row],[Order_Value]]+order_data[[#This Row],[Delivery_Fee]]-order_data[[#This Row],[Discount]]</f>
        <v>377</v>
      </c>
      <c r="Q952" t="str">
        <f>TEXT(order_data[[#This Row],[Order_Date]],"mmm")</f>
        <v>Mar</v>
      </c>
      <c r="R952">
        <f>MONTH(order_data[[#This Row],[Order_Date]])</f>
        <v>3</v>
      </c>
    </row>
    <row r="953" spans="1:18" x14ac:dyDescent="0.35">
      <c r="A953" t="s">
        <v>1600</v>
      </c>
      <c r="B953" t="s">
        <v>286</v>
      </c>
      <c r="C953" t="s">
        <v>644</v>
      </c>
      <c r="D953" t="s">
        <v>40</v>
      </c>
      <c r="E953" t="s">
        <v>111</v>
      </c>
      <c r="F953" t="s">
        <v>18</v>
      </c>
      <c r="G953" t="s">
        <v>63</v>
      </c>
      <c r="H953">
        <v>700</v>
      </c>
      <c r="I953">
        <v>40</v>
      </c>
      <c r="J953">
        <v>20</v>
      </c>
      <c r="K953" t="s">
        <v>29</v>
      </c>
      <c r="L953">
        <v>22</v>
      </c>
      <c r="M953" t="s">
        <v>21</v>
      </c>
      <c r="N953">
        <f>COUNTIF(order_data[Order_ID],order_data[[#This Row],[Order_ID]])</f>
        <v>1</v>
      </c>
      <c r="O953">
        <f>order_data[[#This Row],[Order_Value]]-order_data[[#This Row],[Discount]]</f>
        <v>680</v>
      </c>
      <c r="P953">
        <f>order_data[[#This Row],[Order_Value]]+order_data[[#This Row],[Delivery_Fee]]-order_data[[#This Row],[Discount]]</f>
        <v>720</v>
      </c>
      <c r="Q953" t="str">
        <f>TEXT(order_data[[#This Row],[Order_Date]],"mmm")</f>
        <v>Mar</v>
      </c>
      <c r="R953">
        <f>MONTH(order_data[[#This Row],[Order_Date]])</f>
        <v>3</v>
      </c>
    </row>
    <row r="954" spans="1:18" x14ac:dyDescent="0.35">
      <c r="A954" t="s">
        <v>1601</v>
      </c>
      <c r="B954" t="s">
        <v>473</v>
      </c>
      <c r="C954" t="s">
        <v>551</v>
      </c>
      <c r="D954" t="s">
        <v>25</v>
      </c>
      <c r="E954" t="s">
        <v>26</v>
      </c>
      <c r="F954" t="s">
        <v>27</v>
      </c>
      <c r="G954" t="s">
        <v>49</v>
      </c>
      <c r="H954">
        <v>777</v>
      </c>
      <c r="I954">
        <v>20</v>
      </c>
      <c r="J954">
        <v>50</v>
      </c>
      <c r="K954" t="s">
        <v>36</v>
      </c>
      <c r="L954">
        <v>38</v>
      </c>
      <c r="M954" t="s">
        <v>21</v>
      </c>
      <c r="N954">
        <f>COUNTIF(order_data[Order_ID],order_data[[#This Row],[Order_ID]])</f>
        <v>1</v>
      </c>
      <c r="O954">
        <f>order_data[[#This Row],[Order_Value]]-order_data[[#This Row],[Discount]]</f>
        <v>727</v>
      </c>
      <c r="P954">
        <f>order_data[[#This Row],[Order_Value]]+order_data[[#This Row],[Delivery_Fee]]-order_data[[#This Row],[Discount]]</f>
        <v>747</v>
      </c>
      <c r="Q954" t="str">
        <f>TEXT(order_data[[#This Row],[Order_Date]],"mmm")</f>
        <v>Mar</v>
      </c>
      <c r="R954">
        <f>MONTH(order_data[[#This Row],[Order_Date]])</f>
        <v>3</v>
      </c>
    </row>
    <row r="955" spans="1:18" x14ac:dyDescent="0.35">
      <c r="A955" t="s">
        <v>1602</v>
      </c>
      <c r="B955" t="s">
        <v>271</v>
      </c>
      <c r="C955" t="s">
        <v>737</v>
      </c>
      <c r="D955" t="s">
        <v>40</v>
      </c>
      <c r="E955" t="s">
        <v>67</v>
      </c>
      <c r="F955" t="s">
        <v>48</v>
      </c>
      <c r="G955" t="s">
        <v>35</v>
      </c>
      <c r="H955">
        <v>150</v>
      </c>
      <c r="I955">
        <v>40</v>
      </c>
      <c r="J955">
        <v>0</v>
      </c>
      <c r="K955" t="s">
        <v>20</v>
      </c>
      <c r="L955">
        <v>44</v>
      </c>
      <c r="M955" t="s">
        <v>21</v>
      </c>
      <c r="N955">
        <f>COUNTIF(order_data[Order_ID],order_data[[#This Row],[Order_ID]])</f>
        <v>1</v>
      </c>
      <c r="O955">
        <f>order_data[[#This Row],[Order_Value]]-order_data[[#This Row],[Discount]]</f>
        <v>150</v>
      </c>
      <c r="P955">
        <f>order_data[[#This Row],[Order_Value]]+order_data[[#This Row],[Delivery_Fee]]-order_data[[#This Row],[Discount]]</f>
        <v>190</v>
      </c>
      <c r="Q955" t="str">
        <f>TEXT(order_data[[#This Row],[Order_Date]],"mmm")</f>
        <v>Jan</v>
      </c>
      <c r="R955">
        <f>MONTH(order_data[[#This Row],[Order_Date]])</f>
        <v>1</v>
      </c>
    </row>
    <row r="956" spans="1:18" x14ac:dyDescent="0.35">
      <c r="A956" t="s">
        <v>1603</v>
      </c>
      <c r="B956" t="s">
        <v>244</v>
      </c>
      <c r="C956" t="s">
        <v>1604</v>
      </c>
      <c r="D956" t="s">
        <v>16</v>
      </c>
      <c r="E956" t="s">
        <v>89</v>
      </c>
      <c r="F956" t="s">
        <v>18</v>
      </c>
      <c r="G956" t="s">
        <v>63</v>
      </c>
      <c r="H956">
        <v>665</v>
      </c>
      <c r="I956">
        <v>40</v>
      </c>
      <c r="J956">
        <v>0</v>
      </c>
      <c r="K956" t="s">
        <v>36</v>
      </c>
      <c r="L956">
        <v>32</v>
      </c>
      <c r="M956" t="s">
        <v>21</v>
      </c>
      <c r="N956">
        <f>COUNTIF(order_data[Order_ID],order_data[[#This Row],[Order_ID]])</f>
        <v>1</v>
      </c>
      <c r="O956">
        <f>order_data[[#This Row],[Order_Value]]-order_data[[#This Row],[Discount]]</f>
        <v>665</v>
      </c>
      <c r="P956">
        <f>order_data[[#This Row],[Order_Value]]+order_data[[#This Row],[Delivery_Fee]]-order_data[[#This Row],[Discount]]</f>
        <v>705</v>
      </c>
      <c r="Q956" t="str">
        <f>TEXT(order_data[[#This Row],[Order_Date]],"mmm")</f>
        <v>Feb</v>
      </c>
      <c r="R956">
        <f>MONTH(order_data[[#This Row],[Order_Date]])</f>
        <v>2</v>
      </c>
    </row>
    <row r="957" spans="1:18" x14ac:dyDescent="0.35">
      <c r="A957" t="s">
        <v>1605</v>
      </c>
      <c r="B957" t="s">
        <v>368</v>
      </c>
      <c r="C957" t="s">
        <v>124</v>
      </c>
      <c r="D957" t="s">
        <v>40</v>
      </c>
      <c r="E957" t="s">
        <v>67</v>
      </c>
      <c r="F957" t="s">
        <v>48</v>
      </c>
      <c r="G957" t="s">
        <v>35</v>
      </c>
      <c r="H957">
        <v>202</v>
      </c>
      <c r="I957">
        <v>50</v>
      </c>
      <c r="J957">
        <v>100</v>
      </c>
      <c r="K957" t="s">
        <v>29</v>
      </c>
      <c r="L957">
        <v>24</v>
      </c>
      <c r="M957" t="s">
        <v>21</v>
      </c>
      <c r="N957">
        <f>COUNTIF(order_data[Order_ID],order_data[[#This Row],[Order_ID]])</f>
        <v>1</v>
      </c>
      <c r="O957">
        <f>order_data[[#This Row],[Order_Value]]-order_data[[#This Row],[Discount]]</f>
        <v>102</v>
      </c>
      <c r="P957">
        <f>order_data[[#This Row],[Order_Value]]+order_data[[#This Row],[Delivery_Fee]]-order_data[[#This Row],[Discount]]</f>
        <v>152</v>
      </c>
      <c r="Q957" t="str">
        <f>TEXT(order_data[[#This Row],[Order_Date]],"mmm")</f>
        <v>Feb</v>
      </c>
      <c r="R957">
        <f>MONTH(order_data[[#This Row],[Order_Date]])</f>
        <v>2</v>
      </c>
    </row>
    <row r="958" spans="1:18" x14ac:dyDescent="0.35">
      <c r="A958" t="s">
        <v>1606</v>
      </c>
      <c r="B958" t="s">
        <v>189</v>
      </c>
      <c r="C958" t="s">
        <v>555</v>
      </c>
      <c r="D958" t="s">
        <v>46</v>
      </c>
      <c r="E958" t="s">
        <v>47</v>
      </c>
      <c r="F958" t="s">
        <v>48</v>
      </c>
      <c r="G958" t="s">
        <v>176</v>
      </c>
      <c r="H958">
        <v>225</v>
      </c>
      <c r="I958">
        <v>30</v>
      </c>
      <c r="J958">
        <v>100</v>
      </c>
      <c r="K958" t="s">
        <v>20</v>
      </c>
      <c r="L958">
        <v>50</v>
      </c>
      <c r="M958" t="s">
        <v>21</v>
      </c>
      <c r="N958">
        <f>COUNTIF(order_data[Order_ID],order_data[[#This Row],[Order_ID]])</f>
        <v>1</v>
      </c>
      <c r="O958">
        <f>order_data[[#This Row],[Order_Value]]-order_data[[#This Row],[Discount]]</f>
        <v>125</v>
      </c>
      <c r="P958">
        <f>order_data[[#This Row],[Order_Value]]+order_data[[#This Row],[Delivery_Fee]]-order_data[[#This Row],[Discount]]</f>
        <v>155</v>
      </c>
      <c r="Q958" t="str">
        <f>TEXT(order_data[[#This Row],[Order_Date]],"mmm")</f>
        <v>Feb</v>
      </c>
      <c r="R958">
        <f>MONTH(order_data[[#This Row],[Order_Date]])</f>
        <v>2</v>
      </c>
    </row>
    <row r="959" spans="1:18" x14ac:dyDescent="0.35">
      <c r="A959" t="s">
        <v>1607</v>
      </c>
      <c r="B959" t="s">
        <v>14</v>
      </c>
      <c r="C959" t="s">
        <v>1022</v>
      </c>
      <c r="D959" t="s">
        <v>53</v>
      </c>
      <c r="E959" t="s">
        <v>84</v>
      </c>
      <c r="F959" t="s">
        <v>85</v>
      </c>
      <c r="G959" t="s">
        <v>49</v>
      </c>
      <c r="H959">
        <v>347</v>
      </c>
      <c r="I959">
        <v>20</v>
      </c>
      <c r="J959">
        <v>100</v>
      </c>
      <c r="K959" t="s">
        <v>36</v>
      </c>
      <c r="L959">
        <v>51</v>
      </c>
      <c r="M959" t="s">
        <v>21</v>
      </c>
      <c r="N959">
        <f>COUNTIF(order_data[Order_ID],order_data[[#This Row],[Order_ID]])</f>
        <v>1</v>
      </c>
      <c r="O959">
        <f>order_data[[#This Row],[Order_Value]]-order_data[[#This Row],[Discount]]</f>
        <v>247</v>
      </c>
      <c r="P959">
        <f>order_data[[#This Row],[Order_Value]]+order_data[[#This Row],[Delivery_Fee]]-order_data[[#This Row],[Discount]]</f>
        <v>267</v>
      </c>
      <c r="Q959" t="str">
        <f>TEXT(order_data[[#This Row],[Order_Date]],"mmm")</f>
        <v>Mar</v>
      </c>
      <c r="R959">
        <f>MONTH(order_data[[#This Row],[Order_Date]])</f>
        <v>3</v>
      </c>
    </row>
    <row r="960" spans="1:18" x14ac:dyDescent="0.35">
      <c r="A960" t="s">
        <v>1608</v>
      </c>
      <c r="B960" t="s">
        <v>44</v>
      </c>
      <c r="C960" t="s">
        <v>1088</v>
      </c>
      <c r="D960" t="s">
        <v>53</v>
      </c>
      <c r="E960" t="s">
        <v>152</v>
      </c>
      <c r="F960" t="s">
        <v>18</v>
      </c>
      <c r="G960" t="s">
        <v>107</v>
      </c>
      <c r="H960">
        <v>557</v>
      </c>
      <c r="I960">
        <v>40</v>
      </c>
      <c r="J960">
        <v>30</v>
      </c>
      <c r="K960" t="s">
        <v>29</v>
      </c>
      <c r="L960">
        <v>24</v>
      </c>
      <c r="M960" t="s">
        <v>21</v>
      </c>
      <c r="N960">
        <f>COUNTIF(order_data[Order_ID],order_data[[#This Row],[Order_ID]])</f>
        <v>1</v>
      </c>
      <c r="O960">
        <f>order_data[[#This Row],[Order_Value]]-order_data[[#This Row],[Discount]]</f>
        <v>527</v>
      </c>
      <c r="P960">
        <f>order_data[[#This Row],[Order_Value]]+order_data[[#This Row],[Delivery_Fee]]-order_data[[#This Row],[Discount]]</f>
        <v>567</v>
      </c>
      <c r="Q960" t="str">
        <f>TEXT(order_data[[#This Row],[Order_Date]],"mmm")</f>
        <v>Jan</v>
      </c>
      <c r="R960">
        <f>MONTH(order_data[[#This Row],[Order_Date]])</f>
        <v>1</v>
      </c>
    </row>
    <row r="961" spans="1:18" x14ac:dyDescent="0.35">
      <c r="A961" t="s">
        <v>1609</v>
      </c>
      <c r="B961" t="s">
        <v>44</v>
      </c>
      <c r="C961" t="s">
        <v>884</v>
      </c>
      <c r="D961" t="s">
        <v>46</v>
      </c>
      <c r="E961" t="s">
        <v>47</v>
      </c>
      <c r="F961" t="s">
        <v>48</v>
      </c>
      <c r="G961" t="s">
        <v>42</v>
      </c>
      <c r="H961">
        <v>530</v>
      </c>
      <c r="I961">
        <v>30</v>
      </c>
      <c r="J961">
        <v>20</v>
      </c>
      <c r="K961" t="s">
        <v>20</v>
      </c>
      <c r="L961">
        <v>21</v>
      </c>
      <c r="M961" t="s">
        <v>21</v>
      </c>
      <c r="N961">
        <f>COUNTIF(order_data[Order_ID],order_data[[#This Row],[Order_ID]])</f>
        <v>1</v>
      </c>
      <c r="O961">
        <f>order_data[[#This Row],[Order_Value]]-order_data[[#This Row],[Discount]]</f>
        <v>510</v>
      </c>
      <c r="P961">
        <f>order_data[[#This Row],[Order_Value]]+order_data[[#This Row],[Delivery_Fee]]-order_data[[#This Row],[Discount]]</f>
        <v>540</v>
      </c>
      <c r="Q961" t="str">
        <f>TEXT(order_data[[#This Row],[Order_Date]],"mmm")</f>
        <v>Jan</v>
      </c>
      <c r="R961">
        <f>MONTH(order_data[[#This Row],[Order_Date]])</f>
        <v>1</v>
      </c>
    </row>
    <row r="962" spans="1:18" x14ac:dyDescent="0.35">
      <c r="A962" t="s">
        <v>1610</v>
      </c>
      <c r="B962" t="s">
        <v>657</v>
      </c>
      <c r="C962" t="s">
        <v>698</v>
      </c>
      <c r="D962" t="s">
        <v>40</v>
      </c>
      <c r="E962" t="s">
        <v>67</v>
      </c>
      <c r="F962" t="s">
        <v>48</v>
      </c>
      <c r="G962" t="s">
        <v>107</v>
      </c>
      <c r="H962">
        <v>554</v>
      </c>
      <c r="I962">
        <v>50</v>
      </c>
      <c r="J962">
        <v>0</v>
      </c>
      <c r="K962" t="s">
        <v>36</v>
      </c>
      <c r="L962">
        <v>21</v>
      </c>
      <c r="M962" t="s">
        <v>21</v>
      </c>
      <c r="N962">
        <f>COUNTIF(order_data[Order_ID],order_data[[#This Row],[Order_ID]])</f>
        <v>1</v>
      </c>
      <c r="O962">
        <f>order_data[[#This Row],[Order_Value]]-order_data[[#This Row],[Discount]]</f>
        <v>554</v>
      </c>
      <c r="P962">
        <f>order_data[[#This Row],[Order_Value]]+order_data[[#This Row],[Delivery_Fee]]-order_data[[#This Row],[Discount]]</f>
        <v>604</v>
      </c>
      <c r="Q962" t="str">
        <f>TEXT(order_data[[#This Row],[Order_Date]],"mmm")</f>
        <v>Jan</v>
      </c>
      <c r="R962">
        <f>MONTH(order_data[[#This Row],[Order_Date]])</f>
        <v>1</v>
      </c>
    </row>
    <row r="963" spans="1:18" x14ac:dyDescent="0.35">
      <c r="A963" t="s">
        <v>1611</v>
      </c>
      <c r="B963" t="s">
        <v>44</v>
      </c>
      <c r="C963" t="s">
        <v>1612</v>
      </c>
      <c r="D963" t="s">
        <v>40</v>
      </c>
      <c r="E963" t="s">
        <v>111</v>
      </c>
      <c r="F963" t="s">
        <v>18</v>
      </c>
      <c r="G963" t="s">
        <v>59</v>
      </c>
      <c r="H963">
        <v>160</v>
      </c>
      <c r="I963">
        <v>50</v>
      </c>
      <c r="J963">
        <v>0</v>
      </c>
      <c r="K963" t="s">
        <v>29</v>
      </c>
      <c r="L963">
        <v>56</v>
      </c>
      <c r="M963" t="s">
        <v>21</v>
      </c>
      <c r="N963">
        <f>COUNTIF(order_data[Order_ID],order_data[[#This Row],[Order_ID]])</f>
        <v>1</v>
      </c>
      <c r="O963">
        <f>order_data[[#This Row],[Order_Value]]-order_data[[#This Row],[Discount]]</f>
        <v>160</v>
      </c>
      <c r="P963">
        <f>order_data[[#This Row],[Order_Value]]+order_data[[#This Row],[Delivery_Fee]]-order_data[[#This Row],[Discount]]</f>
        <v>210</v>
      </c>
      <c r="Q963" t="str">
        <f>TEXT(order_data[[#This Row],[Order_Date]],"mmm")</f>
        <v>Jan</v>
      </c>
      <c r="R963">
        <f>MONTH(order_data[[#This Row],[Order_Date]])</f>
        <v>1</v>
      </c>
    </row>
    <row r="964" spans="1:18" x14ac:dyDescent="0.35">
      <c r="A964" t="s">
        <v>1613</v>
      </c>
      <c r="B964" t="s">
        <v>87</v>
      </c>
      <c r="C964" t="s">
        <v>330</v>
      </c>
      <c r="D964" t="s">
        <v>40</v>
      </c>
      <c r="E964" t="s">
        <v>111</v>
      </c>
      <c r="F964" t="s">
        <v>18</v>
      </c>
      <c r="G964" t="s">
        <v>74</v>
      </c>
      <c r="H964">
        <v>675</v>
      </c>
      <c r="I964">
        <v>50</v>
      </c>
      <c r="J964">
        <v>20</v>
      </c>
      <c r="K964" t="s">
        <v>36</v>
      </c>
      <c r="L964">
        <v>25</v>
      </c>
      <c r="M964" t="s">
        <v>21</v>
      </c>
      <c r="N964">
        <f>COUNTIF(order_data[Order_ID],order_data[[#This Row],[Order_ID]])</f>
        <v>1</v>
      </c>
      <c r="O964">
        <f>order_data[[#This Row],[Order_Value]]-order_data[[#This Row],[Discount]]</f>
        <v>655</v>
      </c>
      <c r="P964">
        <f>order_data[[#This Row],[Order_Value]]+order_data[[#This Row],[Delivery_Fee]]-order_data[[#This Row],[Discount]]</f>
        <v>705</v>
      </c>
      <c r="Q964" t="str">
        <f>TEXT(order_data[[#This Row],[Order_Date]],"mmm")</f>
        <v>Jan</v>
      </c>
      <c r="R964">
        <f>MONTH(order_data[[#This Row],[Order_Date]])</f>
        <v>1</v>
      </c>
    </row>
    <row r="965" spans="1:18" x14ac:dyDescent="0.35">
      <c r="A965" t="s">
        <v>1614</v>
      </c>
      <c r="B965" t="s">
        <v>286</v>
      </c>
      <c r="C965" t="s">
        <v>1421</v>
      </c>
      <c r="D965" t="s">
        <v>25</v>
      </c>
      <c r="E965" t="s">
        <v>78</v>
      </c>
      <c r="F965" t="s">
        <v>48</v>
      </c>
      <c r="G965" t="s">
        <v>19</v>
      </c>
      <c r="H965">
        <v>372</v>
      </c>
      <c r="I965">
        <v>50</v>
      </c>
      <c r="J965">
        <v>20</v>
      </c>
      <c r="K965" t="s">
        <v>20</v>
      </c>
      <c r="L965">
        <v>51</v>
      </c>
      <c r="M965" t="s">
        <v>21</v>
      </c>
      <c r="N965">
        <f>COUNTIF(order_data[Order_ID],order_data[[#This Row],[Order_ID]])</f>
        <v>1</v>
      </c>
      <c r="O965">
        <f>order_data[[#This Row],[Order_Value]]-order_data[[#This Row],[Discount]]</f>
        <v>352</v>
      </c>
      <c r="P965">
        <f>order_data[[#This Row],[Order_Value]]+order_data[[#This Row],[Delivery_Fee]]-order_data[[#This Row],[Discount]]</f>
        <v>402</v>
      </c>
      <c r="Q965" t="str">
        <f>TEXT(order_data[[#This Row],[Order_Date]],"mmm")</f>
        <v>Mar</v>
      </c>
      <c r="R965">
        <f>MONTH(order_data[[#This Row],[Order_Date]])</f>
        <v>3</v>
      </c>
    </row>
    <row r="966" spans="1:18" x14ac:dyDescent="0.35">
      <c r="A966" t="s">
        <v>1615</v>
      </c>
      <c r="B966" t="s">
        <v>568</v>
      </c>
      <c r="C966" t="s">
        <v>1453</v>
      </c>
      <c r="D966" t="s">
        <v>40</v>
      </c>
      <c r="E966" t="s">
        <v>111</v>
      </c>
      <c r="F966" t="s">
        <v>18</v>
      </c>
      <c r="G966" t="s">
        <v>74</v>
      </c>
      <c r="H966">
        <v>324</v>
      </c>
      <c r="I966">
        <v>50</v>
      </c>
      <c r="J966">
        <v>0</v>
      </c>
      <c r="K966" t="s">
        <v>20</v>
      </c>
      <c r="L966">
        <v>41</v>
      </c>
      <c r="M966" t="s">
        <v>21</v>
      </c>
      <c r="N966">
        <f>COUNTIF(order_data[Order_ID],order_data[[#This Row],[Order_ID]])</f>
        <v>1</v>
      </c>
      <c r="O966">
        <f>order_data[[#This Row],[Order_Value]]-order_data[[#This Row],[Discount]]</f>
        <v>324</v>
      </c>
      <c r="P966">
        <f>order_data[[#This Row],[Order_Value]]+order_data[[#This Row],[Delivery_Fee]]-order_data[[#This Row],[Discount]]</f>
        <v>374</v>
      </c>
      <c r="Q966" t="str">
        <f>TEXT(order_data[[#This Row],[Order_Date]],"mmm")</f>
        <v>Mar</v>
      </c>
      <c r="R966">
        <f>MONTH(order_data[[#This Row],[Order_Date]])</f>
        <v>3</v>
      </c>
    </row>
    <row r="967" spans="1:18" x14ac:dyDescent="0.35">
      <c r="A967" t="s">
        <v>1616</v>
      </c>
      <c r="B967" t="s">
        <v>118</v>
      </c>
      <c r="C967" t="s">
        <v>1617</v>
      </c>
      <c r="D967" t="s">
        <v>46</v>
      </c>
      <c r="E967" t="s">
        <v>70</v>
      </c>
      <c r="F967" t="s">
        <v>18</v>
      </c>
      <c r="G967" t="s">
        <v>63</v>
      </c>
      <c r="H967">
        <v>217</v>
      </c>
      <c r="I967">
        <v>20</v>
      </c>
      <c r="J967">
        <v>50</v>
      </c>
      <c r="K967" t="s">
        <v>20</v>
      </c>
      <c r="L967">
        <v>59</v>
      </c>
      <c r="M967" t="s">
        <v>21</v>
      </c>
      <c r="N967">
        <f>COUNTIF(order_data[Order_ID],order_data[[#This Row],[Order_ID]])</f>
        <v>1</v>
      </c>
      <c r="O967">
        <f>order_data[[#This Row],[Order_Value]]-order_data[[#This Row],[Discount]]</f>
        <v>167</v>
      </c>
      <c r="P967">
        <f>order_data[[#This Row],[Order_Value]]+order_data[[#This Row],[Delivery_Fee]]-order_data[[#This Row],[Discount]]</f>
        <v>187</v>
      </c>
      <c r="Q967" t="str">
        <f>TEXT(order_data[[#This Row],[Order_Date]],"mmm")</f>
        <v>Mar</v>
      </c>
      <c r="R967">
        <f>MONTH(order_data[[#This Row],[Order_Date]])</f>
        <v>3</v>
      </c>
    </row>
    <row r="968" spans="1:18" x14ac:dyDescent="0.35">
      <c r="A968" t="s">
        <v>1618</v>
      </c>
      <c r="B968" t="s">
        <v>432</v>
      </c>
      <c r="C968" t="s">
        <v>399</v>
      </c>
      <c r="D968" t="s">
        <v>53</v>
      </c>
      <c r="E968" t="s">
        <v>54</v>
      </c>
      <c r="F968" t="s">
        <v>55</v>
      </c>
      <c r="G968" t="s">
        <v>107</v>
      </c>
      <c r="H968">
        <v>245</v>
      </c>
      <c r="I968">
        <v>50</v>
      </c>
      <c r="J968">
        <v>0</v>
      </c>
      <c r="K968" t="s">
        <v>29</v>
      </c>
      <c r="L968">
        <v>21</v>
      </c>
      <c r="M968" t="s">
        <v>21</v>
      </c>
      <c r="N968">
        <f>COUNTIF(order_data[Order_ID],order_data[[#This Row],[Order_ID]])</f>
        <v>1</v>
      </c>
      <c r="O968">
        <f>order_data[[#This Row],[Order_Value]]-order_data[[#This Row],[Discount]]</f>
        <v>245</v>
      </c>
      <c r="P968">
        <f>order_data[[#This Row],[Order_Value]]+order_data[[#This Row],[Delivery_Fee]]-order_data[[#This Row],[Discount]]</f>
        <v>295</v>
      </c>
      <c r="Q968" t="str">
        <f>TEXT(order_data[[#This Row],[Order_Date]],"mmm")</f>
        <v>Feb</v>
      </c>
      <c r="R968">
        <f>MONTH(order_data[[#This Row],[Order_Date]])</f>
        <v>2</v>
      </c>
    </row>
    <row r="969" spans="1:18" x14ac:dyDescent="0.35">
      <c r="A969" t="s">
        <v>1619</v>
      </c>
      <c r="B969" t="s">
        <v>136</v>
      </c>
      <c r="C969" t="s">
        <v>263</v>
      </c>
      <c r="D969" t="s">
        <v>16</v>
      </c>
      <c r="E969" t="s">
        <v>131</v>
      </c>
      <c r="F969" t="s">
        <v>55</v>
      </c>
      <c r="G969" t="s">
        <v>19</v>
      </c>
      <c r="H969">
        <v>392</v>
      </c>
      <c r="I969">
        <v>40</v>
      </c>
      <c r="J969">
        <v>100</v>
      </c>
      <c r="K969" t="s">
        <v>36</v>
      </c>
      <c r="L969">
        <v>29</v>
      </c>
      <c r="M969" t="s">
        <v>21</v>
      </c>
      <c r="N969">
        <f>COUNTIF(order_data[Order_ID],order_data[[#This Row],[Order_ID]])</f>
        <v>1</v>
      </c>
      <c r="O969">
        <f>order_data[[#This Row],[Order_Value]]-order_data[[#This Row],[Discount]]</f>
        <v>292</v>
      </c>
      <c r="P969">
        <f>order_data[[#This Row],[Order_Value]]+order_data[[#This Row],[Delivery_Fee]]-order_data[[#This Row],[Discount]]</f>
        <v>332</v>
      </c>
      <c r="Q969" t="str">
        <f>TEXT(order_data[[#This Row],[Order_Date]],"mmm")</f>
        <v>Feb</v>
      </c>
      <c r="R969">
        <f>MONTH(order_data[[#This Row],[Order_Date]])</f>
        <v>2</v>
      </c>
    </row>
    <row r="970" spans="1:18" x14ac:dyDescent="0.35">
      <c r="A970" t="s">
        <v>1620</v>
      </c>
      <c r="B970" t="s">
        <v>167</v>
      </c>
      <c r="C970" t="s">
        <v>1621</v>
      </c>
      <c r="D970" t="s">
        <v>46</v>
      </c>
      <c r="E970" t="s">
        <v>148</v>
      </c>
      <c r="F970" t="s">
        <v>27</v>
      </c>
      <c r="G970" t="s">
        <v>35</v>
      </c>
      <c r="H970">
        <v>437</v>
      </c>
      <c r="I970">
        <v>50</v>
      </c>
      <c r="J970">
        <v>30</v>
      </c>
      <c r="K970" t="s">
        <v>29</v>
      </c>
      <c r="L970">
        <v>37</v>
      </c>
      <c r="M970" t="s">
        <v>21</v>
      </c>
      <c r="N970">
        <f>COUNTIF(order_data[Order_ID],order_data[[#This Row],[Order_ID]])</f>
        <v>1</v>
      </c>
      <c r="O970">
        <f>order_data[[#This Row],[Order_Value]]-order_data[[#This Row],[Discount]]</f>
        <v>407</v>
      </c>
      <c r="P970">
        <f>order_data[[#This Row],[Order_Value]]+order_data[[#This Row],[Delivery_Fee]]-order_data[[#This Row],[Discount]]</f>
        <v>457</v>
      </c>
      <c r="Q970" t="str">
        <f>TEXT(order_data[[#This Row],[Order_Date]],"mmm")</f>
        <v>Feb</v>
      </c>
      <c r="R970">
        <f>MONTH(order_data[[#This Row],[Order_Date]])</f>
        <v>2</v>
      </c>
    </row>
    <row r="971" spans="1:18" x14ac:dyDescent="0.35">
      <c r="A971" t="s">
        <v>1622</v>
      </c>
      <c r="B971" t="s">
        <v>181</v>
      </c>
      <c r="C971" t="s">
        <v>303</v>
      </c>
      <c r="D971" t="s">
        <v>16</v>
      </c>
      <c r="E971" t="s">
        <v>17</v>
      </c>
      <c r="F971" t="s">
        <v>18</v>
      </c>
      <c r="G971" t="s">
        <v>28</v>
      </c>
      <c r="H971">
        <v>470</v>
      </c>
      <c r="I971">
        <v>20</v>
      </c>
      <c r="J971">
        <v>20</v>
      </c>
      <c r="K971" t="s">
        <v>20</v>
      </c>
      <c r="L971">
        <v>39</v>
      </c>
      <c r="M971" t="s">
        <v>21</v>
      </c>
      <c r="N971">
        <f>COUNTIF(order_data[Order_ID],order_data[[#This Row],[Order_ID]])</f>
        <v>1</v>
      </c>
      <c r="O971">
        <f>order_data[[#This Row],[Order_Value]]-order_data[[#This Row],[Discount]]</f>
        <v>450</v>
      </c>
      <c r="P971">
        <f>order_data[[#This Row],[Order_Value]]+order_data[[#This Row],[Delivery_Fee]]-order_data[[#This Row],[Discount]]</f>
        <v>470</v>
      </c>
      <c r="Q971" t="str">
        <f>TEXT(order_data[[#This Row],[Order_Date]],"mmm")</f>
        <v>Feb</v>
      </c>
      <c r="R971">
        <f>MONTH(order_data[[#This Row],[Order_Date]])</f>
        <v>2</v>
      </c>
    </row>
    <row r="972" spans="1:18" x14ac:dyDescent="0.35">
      <c r="A972" t="s">
        <v>1623</v>
      </c>
      <c r="B972" t="s">
        <v>113</v>
      </c>
      <c r="C972" t="s">
        <v>1624</v>
      </c>
      <c r="D972" t="s">
        <v>25</v>
      </c>
      <c r="E972" t="s">
        <v>78</v>
      </c>
      <c r="F972" t="s">
        <v>48</v>
      </c>
      <c r="G972" t="s">
        <v>35</v>
      </c>
      <c r="H972">
        <v>236</v>
      </c>
      <c r="I972">
        <v>20</v>
      </c>
      <c r="J972">
        <v>30</v>
      </c>
      <c r="K972" t="s">
        <v>29</v>
      </c>
      <c r="L972">
        <v>36</v>
      </c>
      <c r="M972" t="s">
        <v>30</v>
      </c>
      <c r="N972">
        <f>COUNTIF(order_data[Order_ID],order_data[[#This Row],[Order_ID]])</f>
        <v>1</v>
      </c>
      <c r="O972">
        <f>order_data[[#This Row],[Order_Value]]-order_data[[#This Row],[Discount]]</f>
        <v>206</v>
      </c>
      <c r="P972">
        <f>order_data[[#This Row],[Order_Value]]+order_data[[#This Row],[Delivery_Fee]]-order_data[[#This Row],[Discount]]</f>
        <v>226</v>
      </c>
      <c r="Q972" t="str">
        <f>TEXT(order_data[[#This Row],[Order_Date]],"mmm")</f>
        <v>Mar</v>
      </c>
      <c r="R972">
        <f>MONTH(order_data[[#This Row],[Order_Date]])</f>
        <v>3</v>
      </c>
    </row>
    <row r="973" spans="1:18" x14ac:dyDescent="0.35">
      <c r="A973" t="s">
        <v>1625</v>
      </c>
      <c r="B973" t="s">
        <v>102</v>
      </c>
      <c r="C973" t="s">
        <v>92</v>
      </c>
      <c r="D973" t="s">
        <v>53</v>
      </c>
      <c r="E973" t="s">
        <v>84</v>
      </c>
      <c r="F973" t="s">
        <v>85</v>
      </c>
      <c r="G973" t="s">
        <v>107</v>
      </c>
      <c r="H973">
        <v>726</v>
      </c>
      <c r="I973">
        <v>40</v>
      </c>
      <c r="J973">
        <v>100</v>
      </c>
      <c r="K973" t="s">
        <v>29</v>
      </c>
      <c r="L973">
        <v>21</v>
      </c>
      <c r="M973" t="s">
        <v>21</v>
      </c>
      <c r="N973">
        <f>COUNTIF(order_data[Order_ID],order_data[[#This Row],[Order_ID]])</f>
        <v>1</v>
      </c>
      <c r="O973">
        <f>order_data[[#This Row],[Order_Value]]-order_data[[#This Row],[Discount]]</f>
        <v>626</v>
      </c>
      <c r="P973">
        <f>order_data[[#This Row],[Order_Value]]+order_data[[#This Row],[Delivery_Fee]]-order_data[[#This Row],[Discount]]</f>
        <v>666</v>
      </c>
      <c r="Q973" t="str">
        <f>TEXT(order_data[[#This Row],[Order_Date]],"mmm")</f>
        <v>Mar</v>
      </c>
      <c r="R973">
        <f>MONTH(order_data[[#This Row],[Order_Date]])</f>
        <v>3</v>
      </c>
    </row>
    <row r="974" spans="1:18" x14ac:dyDescent="0.35">
      <c r="A974" t="s">
        <v>1626</v>
      </c>
      <c r="B974" t="s">
        <v>486</v>
      </c>
      <c r="C974" t="s">
        <v>1338</v>
      </c>
      <c r="D974" t="s">
        <v>46</v>
      </c>
      <c r="E974" t="s">
        <v>148</v>
      </c>
      <c r="F974" t="s">
        <v>27</v>
      </c>
      <c r="G974" t="s">
        <v>19</v>
      </c>
      <c r="H974">
        <v>439</v>
      </c>
      <c r="I974">
        <v>30</v>
      </c>
      <c r="J974">
        <v>0</v>
      </c>
      <c r="K974" t="s">
        <v>20</v>
      </c>
      <c r="L974">
        <v>44</v>
      </c>
      <c r="M974" t="s">
        <v>21</v>
      </c>
      <c r="N974">
        <f>COUNTIF(order_data[Order_ID],order_data[[#This Row],[Order_ID]])</f>
        <v>1</v>
      </c>
      <c r="O974">
        <f>order_data[[#This Row],[Order_Value]]-order_data[[#This Row],[Discount]]</f>
        <v>439</v>
      </c>
      <c r="P974">
        <f>order_data[[#This Row],[Order_Value]]+order_data[[#This Row],[Delivery_Fee]]-order_data[[#This Row],[Discount]]</f>
        <v>469</v>
      </c>
      <c r="Q974" t="str">
        <f>TEXT(order_data[[#This Row],[Order_Date]],"mmm")</f>
        <v>Jan</v>
      </c>
      <c r="R974">
        <f>MONTH(order_data[[#This Row],[Order_Date]])</f>
        <v>1</v>
      </c>
    </row>
    <row r="975" spans="1:18" x14ac:dyDescent="0.35">
      <c r="A975" t="s">
        <v>1627</v>
      </c>
      <c r="B975" t="s">
        <v>295</v>
      </c>
      <c r="C975" t="s">
        <v>1421</v>
      </c>
      <c r="D975" t="s">
        <v>46</v>
      </c>
      <c r="E975" t="s">
        <v>47</v>
      </c>
      <c r="F975" t="s">
        <v>48</v>
      </c>
      <c r="G975" t="s">
        <v>42</v>
      </c>
      <c r="H975">
        <v>782</v>
      </c>
      <c r="I975">
        <v>20</v>
      </c>
      <c r="J975">
        <v>50</v>
      </c>
      <c r="K975" t="s">
        <v>20</v>
      </c>
      <c r="L975">
        <v>46</v>
      </c>
      <c r="M975" t="s">
        <v>21</v>
      </c>
      <c r="N975">
        <f>COUNTIF(order_data[Order_ID],order_data[[#This Row],[Order_ID]])</f>
        <v>1</v>
      </c>
      <c r="O975">
        <f>order_data[[#This Row],[Order_Value]]-order_data[[#This Row],[Discount]]</f>
        <v>732</v>
      </c>
      <c r="P975">
        <f>order_data[[#This Row],[Order_Value]]+order_data[[#This Row],[Delivery_Fee]]-order_data[[#This Row],[Discount]]</f>
        <v>752</v>
      </c>
      <c r="Q975" t="str">
        <f>TEXT(order_data[[#This Row],[Order_Date]],"mmm")</f>
        <v>Jan</v>
      </c>
      <c r="R975">
        <f>MONTH(order_data[[#This Row],[Order_Date]])</f>
        <v>1</v>
      </c>
    </row>
    <row r="976" spans="1:18" x14ac:dyDescent="0.35">
      <c r="A976" t="s">
        <v>1628</v>
      </c>
      <c r="B976" t="s">
        <v>305</v>
      </c>
      <c r="C976" t="s">
        <v>389</v>
      </c>
      <c r="D976" t="s">
        <v>46</v>
      </c>
      <c r="E976" t="s">
        <v>70</v>
      </c>
      <c r="F976" t="s">
        <v>18</v>
      </c>
      <c r="G976" t="s">
        <v>19</v>
      </c>
      <c r="H976">
        <v>168</v>
      </c>
      <c r="I976">
        <v>50</v>
      </c>
      <c r="J976">
        <v>100</v>
      </c>
      <c r="K976" t="s">
        <v>20</v>
      </c>
      <c r="L976">
        <v>35</v>
      </c>
      <c r="M976" t="s">
        <v>21</v>
      </c>
      <c r="N976">
        <f>COUNTIF(order_data[Order_ID],order_data[[#This Row],[Order_ID]])</f>
        <v>1</v>
      </c>
      <c r="O976">
        <f>order_data[[#This Row],[Order_Value]]-order_data[[#This Row],[Discount]]</f>
        <v>68</v>
      </c>
      <c r="P976">
        <f>order_data[[#This Row],[Order_Value]]+order_data[[#This Row],[Delivery_Fee]]-order_data[[#This Row],[Discount]]</f>
        <v>118</v>
      </c>
      <c r="Q976" t="str">
        <f>TEXT(order_data[[#This Row],[Order_Date]],"mmm")</f>
        <v>Jan</v>
      </c>
      <c r="R976">
        <f>MONTH(order_data[[#This Row],[Order_Date]])</f>
        <v>1</v>
      </c>
    </row>
    <row r="977" spans="1:18" x14ac:dyDescent="0.35">
      <c r="A977" t="s">
        <v>1629</v>
      </c>
      <c r="B977" t="s">
        <v>150</v>
      </c>
      <c r="C977" t="s">
        <v>1043</v>
      </c>
      <c r="D977" t="s">
        <v>53</v>
      </c>
      <c r="E977" t="s">
        <v>84</v>
      </c>
      <c r="F977" t="s">
        <v>85</v>
      </c>
      <c r="G977" t="s">
        <v>74</v>
      </c>
      <c r="H977">
        <v>415</v>
      </c>
      <c r="I977">
        <v>50</v>
      </c>
      <c r="J977">
        <v>50</v>
      </c>
      <c r="K977" t="s">
        <v>20</v>
      </c>
      <c r="L977">
        <v>24</v>
      </c>
      <c r="M977" t="s">
        <v>21</v>
      </c>
      <c r="N977">
        <f>COUNTIF(order_data[Order_ID],order_data[[#This Row],[Order_ID]])</f>
        <v>1</v>
      </c>
      <c r="O977">
        <f>order_data[[#This Row],[Order_Value]]-order_data[[#This Row],[Discount]]</f>
        <v>365</v>
      </c>
      <c r="P977">
        <f>order_data[[#This Row],[Order_Value]]+order_data[[#This Row],[Delivery_Fee]]-order_data[[#This Row],[Discount]]</f>
        <v>415</v>
      </c>
      <c r="Q977" t="str">
        <f>TEXT(order_data[[#This Row],[Order_Date]],"mmm")</f>
        <v>Feb</v>
      </c>
      <c r="R977">
        <f>MONTH(order_data[[#This Row],[Order_Date]])</f>
        <v>2</v>
      </c>
    </row>
    <row r="978" spans="1:18" x14ac:dyDescent="0.35">
      <c r="A978" t="s">
        <v>1630</v>
      </c>
      <c r="B978" t="s">
        <v>80</v>
      </c>
      <c r="C978" t="s">
        <v>1631</v>
      </c>
      <c r="D978" t="s">
        <v>16</v>
      </c>
      <c r="E978" t="s">
        <v>131</v>
      </c>
      <c r="F978" t="s">
        <v>55</v>
      </c>
      <c r="G978" t="s">
        <v>74</v>
      </c>
      <c r="H978">
        <v>752</v>
      </c>
      <c r="I978">
        <v>50</v>
      </c>
      <c r="J978">
        <v>100</v>
      </c>
      <c r="K978" t="s">
        <v>29</v>
      </c>
      <c r="L978">
        <v>40</v>
      </c>
      <c r="M978" t="s">
        <v>21</v>
      </c>
      <c r="N978">
        <f>COUNTIF(order_data[Order_ID],order_data[[#This Row],[Order_ID]])</f>
        <v>1</v>
      </c>
      <c r="O978">
        <f>order_data[[#This Row],[Order_Value]]-order_data[[#This Row],[Discount]]</f>
        <v>652</v>
      </c>
      <c r="P978">
        <f>order_data[[#This Row],[Order_Value]]+order_data[[#This Row],[Delivery_Fee]]-order_data[[#This Row],[Discount]]</f>
        <v>702</v>
      </c>
      <c r="Q978" t="str">
        <f>TEXT(order_data[[#This Row],[Order_Date]],"mmm")</f>
        <v>Feb</v>
      </c>
      <c r="R978">
        <f>MONTH(order_data[[#This Row],[Order_Date]])</f>
        <v>2</v>
      </c>
    </row>
    <row r="979" spans="1:18" x14ac:dyDescent="0.35">
      <c r="A979" t="s">
        <v>1632</v>
      </c>
      <c r="B979" t="s">
        <v>339</v>
      </c>
      <c r="C979" t="s">
        <v>1026</v>
      </c>
      <c r="D979" t="s">
        <v>46</v>
      </c>
      <c r="E979" t="s">
        <v>148</v>
      </c>
      <c r="F979" t="s">
        <v>27</v>
      </c>
      <c r="G979" t="s">
        <v>59</v>
      </c>
      <c r="H979">
        <v>306</v>
      </c>
      <c r="I979">
        <v>20</v>
      </c>
      <c r="J979">
        <v>50</v>
      </c>
      <c r="K979" t="s">
        <v>36</v>
      </c>
      <c r="L979">
        <v>22</v>
      </c>
      <c r="M979" t="s">
        <v>21</v>
      </c>
      <c r="N979">
        <f>COUNTIF(order_data[Order_ID],order_data[[#This Row],[Order_ID]])</f>
        <v>1</v>
      </c>
      <c r="O979">
        <f>order_data[[#This Row],[Order_Value]]-order_data[[#This Row],[Discount]]</f>
        <v>256</v>
      </c>
      <c r="P979">
        <f>order_data[[#This Row],[Order_Value]]+order_data[[#This Row],[Delivery_Fee]]-order_data[[#This Row],[Discount]]</f>
        <v>276</v>
      </c>
      <c r="Q979" t="str">
        <f>TEXT(order_data[[#This Row],[Order_Date]],"mmm")</f>
        <v>Jan</v>
      </c>
      <c r="R979">
        <f>MONTH(order_data[[#This Row],[Order_Date]])</f>
        <v>1</v>
      </c>
    </row>
    <row r="980" spans="1:18" x14ac:dyDescent="0.35">
      <c r="A980" t="s">
        <v>1633</v>
      </c>
      <c r="B980" t="s">
        <v>252</v>
      </c>
      <c r="C980" t="s">
        <v>1057</v>
      </c>
      <c r="D980" t="s">
        <v>25</v>
      </c>
      <c r="E980" t="s">
        <v>26</v>
      </c>
      <c r="F980" t="s">
        <v>27</v>
      </c>
      <c r="G980" t="s">
        <v>19</v>
      </c>
      <c r="H980">
        <v>355</v>
      </c>
      <c r="I980">
        <v>40</v>
      </c>
      <c r="J980">
        <v>30</v>
      </c>
      <c r="K980" t="s">
        <v>36</v>
      </c>
      <c r="L980">
        <v>42</v>
      </c>
      <c r="M980" t="s">
        <v>21</v>
      </c>
      <c r="N980">
        <f>COUNTIF(order_data[Order_ID],order_data[[#This Row],[Order_ID]])</f>
        <v>1</v>
      </c>
      <c r="O980">
        <f>order_data[[#This Row],[Order_Value]]-order_data[[#This Row],[Discount]]</f>
        <v>325</v>
      </c>
      <c r="P980">
        <f>order_data[[#This Row],[Order_Value]]+order_data[[#This Row],[Delivery_Fee]]-order_data[[#This Row],[Discount]]</f>
        <v>365</v>
      </c>
      <c r="Q980" t="str">
        <f>TEXT(order_data[[#This Row],[Order_Date]],"mmm")</f>
        <v>Jan</v>
      </c>
      <c r="R980">
        <f>MONTH(order_data[[#This Row],[Order_Date]])</f>
        <v>1</v>
      </c>
    </row>
    <row r="981" spans="1:18" x14ac:dyDescent="0.35">
      <c r="A981" t="s">
        <v>1634</v>
      </c>
      <c r="B981" t="s">
        <v>105</v>
      </c>
      <c r="C981" t="s">
        <v>575</v>
      </c>
      <c r="D981" t="s">
        <v>46</v>
      </c>
      <c r="E981" t="s">
        <v>47</v>
      </c>
      <c r="F981" t="s">
        <v>48</v>
      </c>
      <c r="G981" t="s">
        <v>59</v>
      </c>
      <c r="H981">
        <v>664</v>
      </c>
      <c r="I981">
        <v>40</v>
      </c>
      <c r="J981">
        <v>100</v>
      </c>
      <c r="K981" t="s">
        <v>36</v>
      </c>
      <c r="L981">
        <v>26</v>
      </c>
      <c r="M981" t="s">
        <v>21</v>
      </c>
      <c r="N981">
        <f>COUNTIF(order_data[Order_ID],order_data[[#This Row],[Order_ID]])</f>
        <v>1</v>
      </c>
      <c r="O981">
        <f>order_data[[#This Row],[Order_Value]]-order_data[[#This Row],[Discount]]</f>
        <v>564</v>
      </c>
      <c r="P981">
        <f>order_data[[#This Row],[Order_Value]]+order_data[[#This Row],[Delivery_Fee]]-order_data[[#This Row],[Discount]]</f>
        <v>604</v>
      </c>
      <c r="Q981" t="str">
        <f>TEXT(order_data[[#This Row],[Order_Date]],"mmm")</f>
        <v>Mar</v>
      </c>
      <c r="R981">
        <f>MONTH(order_data[[#This Row],[Order_Date]])</f>
        <v>3</v>
      </c>
    </row>
    <row r="982" spans="1:18" x14ac:dyDescent="0.35">
      <c r="A982" t="s">
        <v>1635</v>
      </c>
      <c r="B982" t="s">
        <v>189</v>
      </c>
      <c r="C982" t="s">
        <v>1636</v>
      </c>
      <c r="D982" t="s">
        <v>25</v>
      </c>
      <c r="E982" t="s">
        <v>78</v>
      </c>
      <c r="F982" t="s">
        <v>48</v>
      </c>
      <c r="G982" t="s">
        <v>35</v>
      </c>
      <c r="H982">
        <v>634</v>
      </c>
      <c r="I982">
        <v>30</v>
      </c>
      <c r="J982">
        <v>0</v>
      </c>
      <c r="K982" t="s">
        <v>36</v>
      </c>
      <c r="L982">
        <v>38</v>
      </c>
      <c r="M982" t="s">
        <v>30</v>
      </c>
      <c r="N982">
        <f>COUNTIF(order_data[Order_ID],order_data[[#This Row],[Order_ID]])</f>
        <v>1</v>
      </c>
      <c r="O982">
        <f>order_data[[#This Row],[Order_Value]]-order_data[[#This Row],[Discount]]</f>
        <v>634</v>
      </c>
      <c r="P982">
        <f>order_data[[#This Row],[Order_Value]]+order_data[[#This Row],[Delivery_Fee]]-order_data[[#This Row],[Discount]]</f>
        <v>664</v>
      </c>
      <c r="Q982" t="str">
        <f>TEXT(order_data[[#This Row],[Order_Date]],"mmm")</f>
        <v>Feb</v>
      </c>
      <c r="R982">
        <f>MONTH(order_data[[#This Row],[Order_Date]])</f>
        <v>2</v>
      </c>
    </row>
    <row r="983" spans="1:18" x14ac:dyDescent="0.35">
      <c r="A983" t="s">
        <v>1637</v>
      </c>
      <c r="B983" t="s">
        <v>322</v>
      </c>
      <c r="C983" t="s">
        <v>756</v>
      </c>
      <c r="D983" t="s">
        <v>46</v>
      </c>
      <c r="E983" t="s">
        <v>70</v>
      </c>
      <c r="F983" t="s">
        <v>18</v>
      </c>
      <c r="G983" t="s">
        <v>49</v>
      </c>
      <c r="H983">
        <v>344</v>
      </c>
      <c r="I983">
        <v>50</v>
      </c>
      <c r="J983">
        <v>50</v>
      </c>
      <c r="K983" t="s">
        <v>20</v>
      </c>
      <c r="L983">
        <v>23</v>
      </c>
      <c r="M983" t="s">
        <v>21</v>
      </c>
      <c r="N983">
        <f>COUNTIF(order_data[Order_ID],order_data[[#This Row],[Order_ID]])</f>
        <v>1</v>
      </c>
      <c r="O983">
        <f>order_data[[#This Row],[Order_Value]]-order_data[[#This Row],[Discount]]</f>
        <v>294</v>
      </c>
      <c r="P983">
        <f>order_data[[#This Row],[Order_Value]]+order_data[[#This Row],[Delivery_Fee]]-order_data[[#This Row],[Discount]]</f>
        <v>344</v>
      </c>
      <c r="Q983" t="str">
        <f>TEXT(order_data[[#This Row],[Order_Date]],"mmm")</f>
        <v>Jan</v>
      </c>
      <c r="R983">
        <f>MONTH(order_data[[#This Row],[Order_Date]])</f>
        <v>1</v>
      </c>
    </row>
    <row r="984" spans="1:18" x14ac:dyDescent="0.35">
      <c r="A984" t="s">
        <v>1638</v>
      </c>
      <c r="B984" t="s">
        <v>432</v>
      </c>
      <c r="C984" t="s">
        <v>849</v>
      </c>
      <c r="D984" t="s">
        <v>40</v>
      </c>
      <c r="E984" t="s">
        <v>111</v>
      </c>
      <c r="F984" t="s">
        <v>18</v>
      </c>
      <c r="G984" t="s">
        <v>176</v>
      </c>
      <c r="H984">
        <v>540</v>
      </c>
      <c r="I984">
        <v>50</v>
      </c>
      <c r="J984">
        <v>20</v>
      </c>
      <c r="K984" t="s">
        <v>20</v>
      </c>
      <c r="L984">
        <v>47</v>
      </c>
      <c r="M984" t="s">
        <v>21</v>
      </c>
      <c r="N984">
        <f>COUNTIF(order_data[Order_ID],order_data[[#This Row],[Order_ID]])</f>
        <v>1</v>
      </c>
      <c r="O984">
        <f>order_data[[#This Row],[Order_Value]]-order_data[[#This Row],[Discount]]</f>
        <v>520</v>
      </c>
      <c r="P984">
        <f>order_data[[#This Row],[Order_Value]]+order_data[[#This Row],[Delivery_Fee]]-order_data[[#This Row],[Discount]]</f>
        <v>570</v>
      </c>
      <c r="Q984" t="str">
        <f>TEXT(order_data[[#This Row],[Order_Date]],"mmm")</f>
        <v>Feb</v>
      </c>
      <c r="R984">
        <f>MONTH(order_data[[#This Row],[Order_Date]])</f>
        <v>2</v>
      </c>
    </row>
    <row r="985" spans="1:18" x14ac:dyDescent="0.35">
      <c r="A985" t="s">
        <v>1639</v>
      </c>
      <c r="B985" t="s">
        <v>513</v>
      </c>
      <c r="C985" t="s">
        <v>1547</v>
      </c>
      <c r="D985" t="s">
        <v>40</v>
      </c>
      <c r="E985" t="s">
        <v>111</v>
      </c>
      <c r="F985" t="s">
        <v>18</v>
      </c>
      <c r="G985" t="s">
        <v>19</v>
      </c>
      <c r="H985">
        <v>248</v>
      </c>
      <c r="I985">
        <v>50</v>
      </c>
      <c r="J985">
        <v>100</v>
      </c>
      <c r="K985" t="s">
        <v>29</v>
      </c>
      <c r="L985">
        <v>37</v>
      </c>
      <c r="M985" t="s">
        <v>21</v>
      </c>
      <c r="N985">
        <f>COUNTIF(order_data[Order_ID],order_data[[#This Row],[Order_ID]])</f>
        <v>1</v>
      </c>
      <c r="O985">
        <f>order_data[[#This Row],[Order_Value]]-order_data[[#This Row],[Discount]]</f>
        <v>148</v>
      </c>
      <c r="P985">
        <f>order_data[[#This Row],[Order_Value]]+order_data[[#This Row],[Delivery_Fee]]-order_data[[#This Row],[Discount]]</f>
        <v>198</v>
      </c>
      <c r="Q985" t="str">
        <f>TEXT(order_data[[#This Row],[Order_Date]],"mmm")</f>
        <v>Feb</v>
      </c>
      <c r="R985">
        <f>MONTH(order_data[[#This Row],[Order_Date]])</f>
        <v>2</v>
      </c>
    </row>
    <row r="986" spans="1:18" x14ac:dyDescent="0.35">
      <c r="A986" t="s">
        <v>1640</v>
      </c>
      <c r="B986" t="s">
        <v>61</v>
      </c>
      <c r="C986" t="s">
        <v>1247</v>
      </c>
      <c r="D986" t="s">
        <v>53</v>
      </c>
      <c r="E986" t="s">
        <v>84</v>
      </c>
      <c r="F986" t="s">
        <v>85</v>
      </c>
      <c r="G986" t="s">
        <v>42</v>
      </c>
      <c r="H986">
        <v>764</v>
      </c>
      <c r="I986">
        <v>50</v>
      </c>
      <c r="J986">
        <v>20</v>
      </c>
      <c r="K986" t="s">
        <v>20</v>
      </c>
      <c r="L986">
        <v>37</v>
      </c>
      <c r="M986" t="s">
        <v>30</v>
      </c>
      <c r="N986">
        <f>COUNTIF(order_data[Order_ID],order_data[[#This Row],[Order_ID]])</f>
        <v>1</v>
      </c>
      <c r="O986">
        <f>order_data[[#This Row],[Order_Value]]-order_data[[#This Row],[Discount]]</f>
        <v>744</v>
      </c>
      <c r="P986">
        <f>order_data[[#This Row],[Order_Value]]+order_data[[#This Row],[Delivery_Fee]]-order_data[[#This Row],[Discount]]</f>
        <v>794</v>
      </c>
      <c r="Q986" t="str">
        <f>TEXT(order_data[[#This Row],[Order_Date]],"mmm")</f>
        <v>Jan</v>
      </c>
      <c r="R986">
        <f>MONTH(order_data[[#This Row],[Order_Date]])</f>
        <v>1</v>
      </c>
    </row>
    <row r="987" spans="1:18" x14ac:dyDescent="0.35">
      <c r="A987" t="s">
        <v>1641</v>
      </c>
      <c r="B987" t="s">
        <v>541</v>
      </c>
      <c r="C987" t="s">
        <v>1141</v>
      </c>
      <c r="D987" t="s">
        <v>40</v>
      </c>
      <c r="E987" t="s">
        <v>41</v>
      </c>
      <c r="F987" t="s">
        <v>27</v>
      </c>
      <c r="G987" t="s">
        <v>107</v>
      </c>
      <c r="H987">
        <v>708</v>
      </c>
      <c r="I987">
        <v>50</v>
      </c>
      <c r="J987">
        <v>50</v>
      </c>
      <c r="K987" t="s">
        <v>29</v>
      </c>
      <c r="L987">
        <v>31</v>
      </c>
      <c r="M987" t="s">
        <v>21</v>
      </c>
      <c r="N987">
        <f>COUNTIF(order_data[Order_ID],order_data[[#This Row],[Order_ID]])</f>
        <v>1</v>
      </c>
      <c r="O987">
        <f>order_data[[#This Row],[Order_Value]]-order_data[[#This Row],[Discount]]</f>
        <v>658</v>
      </c>
      <c r="P987">
        <f>order_data[[#This Row],[Order_Value]]+order_data[[#This Row],[Delivery_Fee]]-order_data[[#This Row],[Discount]]</f>
        <v>708</v>
      </c>
      <c r="Q987" t="str">
        <f>TEXT(order_data[[#This Row],[Order_Date]],"mmm")</f>
        <v>Jan</v>
      </c>
      <c r="R987">
        <f>MONTH(order_data[[#This Row],[Order_Date]])</f>
        <v>1</v>
      </c>
    </row>
    <row r="988" spans="1:18" x14ac:dyDescent="0.35">
      <c r="A988" t="s">
        <v>1642</v>
      </c>
      <c r="B988" t="s">
        <v>247</v>
      </c>
      <c r="C988" t="s">
        <v>930</v>
      </c>
      <c r="D988" t="s">
        <v>53</v>
      </c>
      <c r="E988" t="s">
        <v>54</v>
      </c>
      <c r="F988" t="s">
        <v>55</v>
      </c>
      <c r="G988" t="s">
        <v>107</v>
      </c>
      <c r="H988">
        <v>628</v>
      </c>
      <c r="I988">
        <v>50</v>
      </c>
      <c r="J988">
        <v>20</v>
      </c>
      <c r="K988" t="s">
        <v>20</v>
      </c>
      <c r="L988">
        <v>40</v>
      </c>
      <c r="M988" t="s">
        <v>21</v>
      </c>
      <c r="N988">
        <f>COUNTIF(order_data[Order_ID],order_data[[#This Row],[Order_ID]])</f>
        <v>1</v>
      </c>
      <c r="O988">
        <f>order_data[[#This Row],[Order_Value]]-order_data[[#This Row],[Discount]]</f>
        <v>608</v>
      </c>
      <c r="P988">
        <f>order_data[[#This Row],[Order_Value]]+order_data[[#This Row],[Delivery_Fee]]-order_data[[#This Row],[Discount]]</f>
        <v>658</v>
      </c>
      <c r="Q988" t="str">
        <f>TEXT(order_data[[#This Row],[Order_Date]],"mmm")</f>
        <v>Mar</v>
      </c>
      <c r="R988">
        <f>MONTH(order_data[[#This Row],[Order_Date]])</f>
        <v>3</v>
      </c>
    </row>
    <row r="989" spans="1:18" x14ac:dyDescent="0.35">
      <c r="A989" t="s">
        <v>1643</v>
      </c>
      <c r="B989" t="s">
        <v>398</v>
      </c>
      <c r="C989" t="s">
        <v>147</v>
      </c>
      <c r="D989" t="s">
        <v>40</v>
      </c>
      <c r="E989" t="s">
        <v>41</v>
      </c>
      <c r="F989" t="s">
        <v>27</v>
      </c>
      <c r="G989" t="s">
        <v>107</v>
      </c>
      <c r="H989">
        <v>585</v>
      </c>
      <c r="I989">
        <v>30</v>
      </c>
      <c r="J989">
        <v>100</v>
      </c>
      <c r="K989" t="s">
        <v>29</v>
      </c>
      <c r="L989">
        <v>39</v>
      </c>
      <c r="M989" t="s">
        <v>21</v>
      </c>
      <c r="N989">
        <f>COUNTIF(order_data[Order_ID],order_data[[#This Row],[Order_ID]])</f>
        <v>1</v>
      </c>
      <c r="O989">
        <f>order_data[[#This Row],[Order_Value]]-order_data[[#This Row],[Discount]]</f>
        <v>485</v>
      </c>
      <c r="P989">
        <f>order_data[[#This Row],[Order_Value]]+order_data[[#This Row],[Delivery_Fee]]-order_data[[#This Row],[Discount]]</f>
        <v>515</v>
      </c>
      <c r="Q989" t="str">
        <f>TEXT(order_data[[#This Row],[Order_Date]],"mmm")</f>
        <v>Feb</v>
      </c>
      <c r="R989">
        <f>MONTH(order_data[[#This Row],[Order_Date]])</f>
        <v>2</v>
      </c>
    </row>
    <row r="990" spans="1:18" x14ac:dyDescent="0.35">
      <c r="A990" t="s">
        <v>1644</v>
      </c>
      <c r="B990" t="s">
        <v>150</v>
      </c>
      <c r="C990" t="s">
        <v>871</v>
      </c>
      <c r="D990" t="s">
        <v>16</v>
      </c>
      <c r="E990" t="s">
        <v>131</v>
      </c>
      <c r="F990" t="s">
        <v>55</v>
      </c>
      <c r="G990" t="s">
        <v>176</v>
      </c>
      <c r="H990">
        <v>296</v>
      </c>
      <c r="I990">
        <v>30</v>
      </c>
      <c r="J990">
        <v>20</v>
      </c>
      <c r="K990" t="s">
        <v>36</v>
      </c>
      <c r="L990">
        <v>40</v>
      </c>
      <c r="M990" t="s">
        <v>21</v>
      </c>
      <c r="N990">
        <f>COUNTIF(order_data[Order_ID],order_data[[#This Row],[Order_ID]])</f>
        <v>1</v>
      </c>
      <c r="O990">
        <f>order_data[[#This Row],[Order_Value]]-order_data[[#This Row],[Discount]]</f>
        <v>276</v>
      </c>
      <c r="P990">
        <f>order_data[[#This Row],[Order_Value]]+order_data[[#This Row],[Delivery_Fee]]-order_data[[#This Row],[Discount]]</f>
        <v>306</v>
      </c>
      <c r="Q990" t="str">
        <f>TEXT(order_data[[#This Row],[Order_Date]],"mmm")</f>
        <v>Feb</v>
      </c>
      <c r="R990">
        <f>MONTH(order_data[[#This Row],[Order_Date]])</f>
        <v>2</v>
      </c>
    </row>
    <row r="991" spans="1:18" x14ac:dyDescent="0.35">
      <c r="A991" t="s">
        <v>1645</v>
      </c>
      <c r="B991" t="s">
        <v>223</v>
      </c>
      <c r="C991" t="s">
        <v>1016</v>
      </c>
      <c r="D991" t="s">
        <v>16</v>
      </c>
      <c r="E991" t="s">
        <v>17</v>
      </c>
      <c r="F991" t="s">
        <v>18</v>
      </c>
      <c r="G991" t="s">
        <v>19</v>
      </c>
      <c r="H991">
        <v>353</v>
      </c>
      <c r="I991">
        <v>30</v>
      </c>
      <c r="J991">
        <v>0</v>
      </c>
      <c r="K991" t="s">
        <v>20</v>
      </c>
      <c r="L991">
        <v>42</v>
      </c>
      <c r="M991" t="s">
        <v>21</v>
      </c>
      <c r="N991">
        <f>COUNTIF(order_data[Order_ID],order_data[[#This Row],[Order_ID]])</f>
        <v>1</v>
      </c>
      <c r="O991">
        <f>order_data[[#This Row],[Order_Value]]-order_data[[#This Row],[Discount]]</f>
        <v>353</v>
      </c>
      <c r="P991">
        <f>order_data[[#This Row],[Order_Value]]+order_data[[#This Row],[Delivery_Fee]]-order_data[[#This Row],[Discount]]</f>
        <v>383</v>
      </c>
      <c r="Q991" t="str">
        <f>TEXT(order_data[[#This Row],[Order_Date]],"mmm")</f>
        <v>Mar</v>
      </c>
      <c r="R991">
        <f>MONTH(order_data[[#This Row],[Order_Date]])</f>
        <v>3</v>
      </c>
    </row>
    <row r="992" spans="1:18" x14ac:dyDescent="0.35">
      <c r="A992" t="s">
        <v>1646</v>
      </c>
      <c r="B992" t="s">
        <v>267</v>
      </c>
      <c r="C992" t="s">
        <v>1647</v>
      </c>
      <c r="D992" t="s">
        <v>16</v>
      </c>
      <c r="E992" t="s">
        <v>17</v>
      </c>
      <c r="F992" t="s">
        <v>18</v>
      </c>
      <c r="G992" t="s">
        <v>49</v>
      </c>
      <c r="H992">
        <v>419</v>
      </c>
      <c r="I992">
        <v>30</v>
      </c>
      <c r="J992">
        <v>0</v>
      </c>
      <c r="K992" t="s">
        <v>36</v>
      </c>
      <c r="L992">
        <v>53</v>
      </c>
      <c r="M992" t="s">
        <v>21</v>
      </c>
      <c r="N992">
        <f>COUNTIF(order_data[Order_ID],order_data[[#This Row],[Order_ID]])</f>
        <v>1</v>
      </c>
      <c r="O992">
        <f>order_data[[#This Row],[Order_Value]]-order_data[[#This Row],[Discount]]</f>
        <v>419</v>
      </c>
      <c r="P992">
        <f>order_data[[#This Row],[Order_Value]]+order_data[[#This Row],[Delivery_Fee]]-order_data[[#This Row],[Discount]]</f>
        <v>449</v>
      </c>
      <c r="Q992" t="str">
        <f>TEXT(order_data[[#This Row],[Order_Date]],"mmm")</f>
        <v>Jan</v>
      </c>
      <c r="R992">
        <f>MONTH(order_data[[#This Row],[Order_Date]])</f>
        <v>1</v>
      </c>
    </row>
    <row r="993" spans="1:18" x14ac:dyDescent="0.35">
      <c r="A993" t="s">
        <v>1648</v>
      </c>
      <c r="B993" t="s">
        <v>136</v>
      </c>
      <c r="C993" t="s">
        <v>1649</v>
      </c>
      <c r="D993" t="s">
        <v>16</v>
      </c>
      <c r="E993" t="s">
        <v>131</v>
      </c>
      <c r="F993" t="s">
        <v>55</v>
      </c>
      <c r="G993" t="s">
        <v>176</v>
      </c>
      <c r="H993">
        <v>185</v>
      </c>
      <c r="I993">
        <v>50</v>
      </c>
      <c r="J993">
        <v>0</v>
      </c>
      <c r="K993" t="s">
        <v>36</v>
      </c>
      <c r="L993">
        <v>27</v>
      </c>
      <c r="M993" t="s">
        <v>21</v>
      </c>
      <c r="N993">
        <f>COUNTIF(order_data[Order_ID],order_data[[#This Row],[Order_ID]])</f>
        <v>1</v>
      </c>
      <c r="O993">
        <f>order_data[[#This Row],[Order_Value]]-order_data[[#This Row],[Discount]]</f>
        <v>185</v>
      </c>
      <c r="P993">
        <f>order_data[[#This Row],[Order_Value]]+order_data[[#This Row],[Delivery_Fee]]-order_data[[#This Row],[Discount]]</f>
        <v>235</v>
      </c>
      <c r="Q993" t="str">
        <f>TEXT(order_data[[#This Row],[Order_Date]],"mmm")</f>
        <v>Feb</v>
      </c>
      <c r="R993">
        <f>MONTH(order_data[[#This Row],[Order_Date]])</f>
        <v>2</v>
      </c>
    </row>
    <row r="994" spans="1:18" x14ac:dyDescent="0.35">
      <c r="A994" t="s">
        <v>1650</v>
      </c>
      <c r="B994" t="s">
        <v>129</v>
      </c>
      <c r="C994" t="s">
        <v>551</v>
      </c>
      <c r="D994" t="s">
        <v>46</v>
      </c>
      <c r="E994" t="s">
        <v>47</v>
      </c>
      <c r="F994" t="s">
        <v>48</v>
      </c>
      <c r="G994" t="s">
        <v>59</v>
      </c>
      <c r="H994">
        <v>536</v>
      </c>
      <c r="I994">
        <v>50</v>
      </c>
      <c r="J994">
        <v>0</v>
      </c>
      <c r="K994" t="s">
        <v>20</v>
      </c>
      <c r="L994">
        <v>23</v>
      </c>
      <c r="M994" t="s">
        <v>21</v>
      </c>
      <c r="N994">
        <f>COUNTIF(order_data[Order_ID],order_data[[#This Row],[Order_ID]])</f>
        <v>1</v>
      </c>
      <c r="O994">
        <f>order_data[[#This Row],[Order_Value]]-order_data[[#This Row],[Discount]]</f>
        <v>536</v>
      </c>
      <c r="P994">
        <f>order_data[[#This Row],[Order_Value]]+order_data[[#This Row],[Delivery_Fee]]-order_data[[#This Row],[Discount]]</f>
        <v>586</v>
      </c>
      <c r="Q994" t="str">
        <f>TEXT(order_data[[#This Row],[Order_Date]],"mmm")</f>
        <v>Feb</v>
      </c>
      <c r="R994">
        <f>MONTH(order_data[[#This Row],[Order_Date]])</f>
        <v>2</v>
      </c>
    </row>
    <row r="995" spans="1:18" x14ac:dyDescent="0.35">
      <c r="A995" t="s">
        <v>1651</v>
      </c>
      <c r="B995" t="s">
        <v>342</v>
      </c>
      <c r="C995" t="s">
        <v>1652</v>
      </c>
      <c r="D995" t="s">
        <v>40</v>
      </c>
      <c r="E995" t="s">
        <v>41</v>
      </c>
      <c r="F995" t="s">
        <v>27</v>
      </c>
      <c r="G995" t="s">
        <v>74</v>
      </c>
      <c r="H995">
        <v>158</v>
      </c>
      <c r="I995">
        <v>40</v>
      </c>
      <c r="J995">
        <v>30</v>
      </c>
      <c r="K995" t="s">
        <v>29</v>
      </c>
      <c r="L995">
        <v>21</v>
      </c>
      <c r="M995" t="s">
        <v>21</v>
      </c>
      <c r="N995">
        <f>COUNTIF(order_data[Order_ID],order_data[[#This Row],[Order_ID]])</f>
        <v>1</v>
      </c>
      <c r="O995">
        <f>order_data[[#This Row],[Order_Value]]-order_data[[#This Row],[Discount]]</f>
        <v>128</v>
      </c>
      <c r="P995">
        <f>order_data[[#This Row],[Order_Value]]+order_data[[#This Row],[Delivery_Fee]]-order_data[[#This Row],[Discount]]</f>
        <v>168</v>
      </c>
      <c r="Q995" t="str">
        <f>TEXT(order_data[[#This Row],[Order_Date]],"mmm")</f>
        <v>Jan</v>
      </c>
      <c r="R995">
        <f>MONTH(order_data[[#This Row],[Order_Date]])</f>
        <v>1</v>
      </c>
    </row>
    <row r="996" spans="1:18" x14ac:dyDescent="0.35">
      <c r="A996" t="s">
        <v>1653</v>
      </c>
      <c r="B996" t="s">
        <v>105</v>
      </c>
      <c r="C996" t="s">
        <v>1241</v>
      </c>
      <c r="D996" t="s">
        <v>25</v>
      </c>
      <c r="E996" t="s">
        <v>34</v>
      </c>
      <c r="F996" t="s">
        <v>27</v>
      </c>
      <c r="G996" t="s">
        <v>19</v>
      </c>
      <c r="H996">
        <v>603</v>
      </c>
      <c r="I996">
        <v>20</v>
      </c>
      <c r="J996">
        <v>30</v>
      </c>
      <c r="K996" t="s">
        <v>20</v>
      </c>
      <c r="L996">
        <v>40</v>
      </c>
      <c r="M996" t="s">
        <v>21</v>
      </c>
      <c r="N996">
        <f>COUNTIF(order_data[Order_ID],order_data[[#This Row],[Order_ID]])</f>
        <v>1</v>
      </c>
      <c r="O996">
        <f>order_data[[#This Row],[Order_Value]]-order_data[[#This Row],[Discount]]</f>
        <v>573</v>
      </c>
      <c r="P996">
        <f>order_data[[#This Row],[Order_Value]]+order_data[[#This Row],[Delivery_Fee]]-order_data[[#This Row],[Discount]]</f>
        <v>593</v>
      </c>
      <c r="Q996" t="str">
        <f>TEXT(order_data[[#This Row],[Order_Date]],"mmm")</f>
        <v>Mar</v>
      </c>
      <c r="R996">
        <f>MONTH(order_data[[#This Row],[Order_Date]])</f>
        <v>3</v>
      </c>
    </row>
    <row r="997" spans="1:18" x14ac:dyDescent="0.35">
      <c r="A997" t="s">
        <v>1654</v>
      </c>
      <c r="B997" t="s">
        <v>150</v>
      </c>
      <c r="C997" t="s">
        <v>623</v>
      </c>
      <c r="D997" t="s">
        <v>40</v>
      </c>
      <c r="E997" t="s">
        <v>41</v>
      </c>
      <c r="F997" t="s">
        <v>27</v>
      </c>
      <c r="G997" t="s">
        <v>176</v>
      </c>
      <c r="H997">
        <v>360</v>
      </c>
      <c r="I997">
        <v>30</v>
      </c>
      <c r="J997">
        <v>30</v>
      </c>
      <c r="K997" t="s">
        <v>20</v>
      </c>
      <c r="L997">
        <v>26</v>
      </c>
      <c r="M997" t="s">
        <v>21</v>
      </c>
      <c r="N997">
        <f>COUNTIF(order_data[Order_ID],order_data[[#This Row],[Order_ID]])</f>
        <v>1</v>
      </c>
      <c r="O997">
        <f>order_data[[#This Row],[Order_Value]]-order_data[[#This Row],[Discount]]</f>
        <v>330</v>
      </c>
      <c r="P997">
        <f>order_data[[#This Row],[Order_Value]]+order_data[[#This Row],[Delivery_Fee]]-order_data[[#This Row],[Discount]]</f>
        <v>360</v>
      </c>
      <c r="Q997" t="str">
        <f>TEXT(order_data[[#This Row],[Order_Date]],"mmm")</f>
        <v>Feb</v>
      </c>
      <c r="R997">
        <f>MONTH(order_data[[#This Row],[Order_Date]])</f>
        <v>2</v>
      </c>
    </row>
    <row r="998" spans="1:18" x14ac:dyDescent="0.35">
      <c r="A998" t="s">
        <v>1655</v>
      </c>
      <c r="B998" t="s">
        <v>199</v>
      </c>
      <c r="C998" t="s">
        <v>421</v>
      </c>
      <c r="D998" t="s">
        <v>46</v>
      </c>
      <c r="E998" t="s">
        <v>47</v>
      </c>
      <c r="F998" t="s">
        <v>48</v>
      </c>
      <c r="G998" t="s">
        <v>59</v>
      </c>
      <c r="H998">
        <v>736</v>
      </c>
      <c r="I998">
        <v>50</v>
      </c>
      <c r="J998">
        <v>0</v>
      </c>
      <c r="K998" t="s">
        <v>29</v>
      </c>
      <c r="L998">
        <v>25</v>
      </c>
      <c r="M998" t="s">
        <v>21</v>
      </c>
      <c r="N998">
        <f>COUNTIF(order_data[Order_ID],order_data[[#This Row],[Order_ID]])</f>
        <v>1</v>
      </c>
      <c r="O998">
        <f>order_data[[#This Row],[Order_Value]]-order_data[[#This Row],[Discount]]</f>
        <v>736</v>
      </c>
      <c r="P998">
        <f>order_data[[#This Row],[Order_Value]]+order_data[[#This Row],[Delivery_Fee]]-order_data[[#This Row],[Discount]]</f>
        <v>786</v>
      </c>
      <c r="Q998" t="str">
        <f>TEXT(order_data[[#This Row],[Order_Date]],"mmm")</f>
        <v>Jan</v>
      </c>
      <c r="R998">
        <f>MONTH(order_data[[#This Row],[Order_Date]])</f>
        <v>1</v>
      </c>
    </row>
    <row r="999" spans="1:18" x14ac:dyDescent="0.35">
      <c r="A999" t="s">
        <v>1656</v>
      </c>
      <c r="B999" t="s">
        <v>526</v>
      </c>
      <c r="C999" t="s">
        <v>1318</v>
      </c>
      <c r="D999" t="s">
        <v>25</v>
      </c>
      <c r="E999" t="s">
        <v>78</v>
      </c>
      <c r="F999" t="s">
        <v>48</v>
      </c>
      <c r="G999" t="s">
        <v>28</v>
      </c>
      <c r="H999">
        <v>358</v>
      </c>
      <c r="I999">
        <v>40</v>
      </c>
      <c r="J999">
        <v>100</v>
      </c>
      <c r="K999" t="s">
        <v>29</v>
      </c>
      <c r="L999">
        <v>44</v>
      </c>
      <c r="M999" t="s">
        <v>21</v>
      </c>
      <c r="N999">
        <f>COUNTIF(order_data[Order_ID],order_data[[#This Row],[Order_ID]])</f>
        <v>1</v>
      </c>
      <c r="O999">
        <f>order_data[[#This Row],[Order_Value]]-order_data[[#This Row],[Discount]]</f>
        <v>258</v>
      </c>
      <c r="P999">
        <f>order_data[[#This Row],[Order_Value]]+order_data[[#This Row],[Delivery_Fee]]-order_data[[#This Row],[Discount]]</f>
        <v>298</v>
      </c>
      <c r="Q999" t="str">
        <f>TEXT(order_data[[#This Row],[Order_Date]],"mmm")</f>
        <v>Jan</v>
      </c>
      <c r="R999">
        <f>MONTH(order_data[[#This Row],[Order_Date]])</f>
        <v>1</v>
      </c>
    </row>
    <row r="1000" spans="1:18" x14ac:dyDescent="0.35">
      <c r="A1000" t="s">
        <v>1657</v>
      </c>
      <c r="B1000" t="s">
        <v>133</v>
      </c>
      <c r="C1000" t="s">
        <v>1658</v>
      </c>
      <c r="D1000" t="s">
        <v>53</v>
      </c>
      <c r="E1000" t="s">
        <v>152</v>
      </c>
      <c r="F1000" t="s">
        <v>18</v>
      </c>
      <c r="G1000" t="s">
        <v>19</v>
      </c>
      <c r="H1000">
        <v>475</v>
      </c>
      <c r="I1000">
        <v>40</v>
      </c>
      <c r="J1000">
        <v>100</v>
      </c>
      <c r="K1000" t="s">
        <v>36</v>
      </c>
      <c r="L1000">
        <v>48</v>
      </c>
      <c r="M1000" t="s">
        <v>30</v>
      </c>
      <c r="N1000">
        <f>COUNTIF(order_data[Order_ID],order_data[[#This Row],[Order_ID]])</f>
        <v>1</v>
      </c>
      <c r="O1000">
        <f>order_data[[#This Row],[Order_Value]]-order_data[[#This Row],[Discount]]</f>
        <v>375</v>
      </c>
      <c r="P1000">
        <f>order_data[[#This Row],[Order_Value]]+order_data[[#This Row],[Delivery_Fee]]-order_data[[#This Row],[Discount]]</f>
        <v>415</v>
      </c>
      <c r="Q1000" t="str">
        <f>TEXT(order_data[[#This Row],[Order_Date]],"mmm")</f>
        <v>Mar</v>
      </c>
      <c r="R1000">
        <f>MONTH(order_data[[#This Row],[Order_Date]])</f>
        <v>3</v>
      </c>
    </row>
    <row r="1001" spans="1:18" x14ac:dyDescent="0.35">
      <c r="A1001" t="s">
        <v>1659</v>
      </c>
      <c r="B1001" t="s">
        <v>244</v>
      </c>
      <c r="C1001" t="s">
        <v>563</v>
      </c>
      <c r="D1001" t="s">
        <v>16</v>
      </c>
      <c r="E1001" t="s">
        <v>17</v>
      </c>
      <c r="F1001" t="s">
        <v>18</v>
      </c>
      <c r="G1001" t="s">
        <v>107</v>
      </c>
      <c r="H1001">
        <v>372</v>
      </c>
      <c r="I1001">
        <v>50</v>
      </c>
      <c r="J1001">
        <v>50</v>
      </c>
      <c r="K1001" t="s">
        <v>29</v>
      </c>
      <c r="L1001">
        <v>25</v>
      </c>
      <c r="M1001" t="s">
        <v>21</v>
      </c>
      <c r="N1001">
        <f>COUNTIF(order_data[Order_ID],order_data[[#This Row],[Order_ID]])</f>
        <v>1</v>
      </c>
      <c r="O1001">
        <f>order_data[[#This Row],[Order_Value]]-order_data[[#This Row],[Discount]]</f>
        <v>322</v>
      </c>
      <c r="P1001">
        <f>order_data[[#This Row],[Order_Value]]+order_data[[#This Row],[Delivery_Fee]]-order_data[[#This Row],[Discount]]</f>
        <v>372</v>
      </c>
      <c r="Q1001" t="str">
        <f>TEXT(order_data[[#This Row],[Order_Date]],"mmm")</f>
        <v>Feb</v>
      </c>
      <c r="R1001">
        <f>MONTH(order_data[[#This Row],[Order_Date]])</f>
        <v>2</v>
      </c>
    </row>
    <row r="1002" spans="1:18" x14ac:dyDescent="0.35">
      <c r="A1002" t="s">
        <v>1660</v>
      </c>
      <c r="B1002" t="s">
        <v>223</v>
      </c>
      <c r="C1002" t="s">
        <v>1617</v>
      </c>
      <c r="D1002" t="s">
        <v>46</v>
      </c>
      <c r="E1002" t="s">
        <v>47</v>
      </c>
      <c r="F1002" t="s">
        <v>48</v>
      </c>
      <c r="G1002" t="s">
        <v>59</v>
      </c>
      <c r="H1002">
        <v>703</v>
      </c>
      <c r="I1002">
        <v>50</v>
      </c>
      <c r="J1002">
        <v>100</v>
      </c>
      <c r="K1002" t="s">
        <v>36</v>
      </c>
      <c r="L1002">
        <v>21</v>
      </c>
      <c r="M1002" t="s">
        <v>21</v>
      </c>
      <c r="N1002">
        <f>COUNTIF(order_data[Order_ID],order_data[[#This Row],[Order_ID]])</f>
        <v>1</v>
      </c>
      <c r="O1002">
        <f>order_data[[#This Row],[Order_Value]]-order_data[[#This Row],[Discount]]</f>
        <v>603</v>
      </c>
      <c r="P1002">
        <f>order_data[[#This Row],[Order_Value]]+order_data[[#This Row],[Delivery_Fee]]-order_data[[#This Row],[Discount]]</f>
        <v>653</v>
      </c>
      <c r="Q1002" t="str">
        <f>TEXT(order_data[[#This Row],[Order_Date]],"mmm")</f>
        <v>Mar</v>
      </c>
      <c r="R1002">
        <f>MONTH(order_data[[#This Row],[Order_Date]])</f>
        <v>3</v>
      </c>
    </row>
    <row r="1003" spans="1:18" x14ac:dyDescent="0.35">
      <c r="A1003" t="s">
        <v>1661</v>
      </c>
      <c r="B1003" t="s">
        <v>186</v>
      </c>
      <c r="C1003" t="s">
        <v>1318</v>
      </c>
      <c r="D1003" t="s">
        <v>16</v>
      </c>
      <c r="E1003" t="s">
        <v>17</v>
      </c>
      <c r="F1003" t="s">
        <v>18</v>
      </c>
      <c r="G1003" t="s">
        <v>35</v>
      </c>
      <c r="H1003">
        <v>313</v>
      </c>
      <c r="I1003">
        <v>30</v>
      </c>
      <c r="J1003">
        <v>0</v>
      </c>
      <c r="K1003" t="s">
        <v>36</v>
      </c>
      <c r="L1003">
        <v>53</v>
      </c>
      <c r="M1003" t="s">
        <v>21</v>
      </c>
      <c r="N1003">
        <f>COUNTIF(order_data[Order_ID],order_data[[#This Row],[Order_ID]])</f>
        <v>1</v>
      </c>
      <c r="O1003">
        <f>order_data[[#This Row],[Order_Value]]-order_data[[#This Row],[Discount]]</f>
        <v>313</v>
      </c>
      <c r="P1003">
        <f>order_data[[#This Row],[Order_Value]]+order_data[[#This Row],[Delivery_Fee]]-order_data[[#This Row],[Discount]]</f>
        <v>343</v>
      </c>
      <c r="Q1003" t="str">
        <f>TEXT(order_data[[#This Row],[Order_Date]],"mmm")</f>
        <v>Mar</v>
      </c>
      <c r="R1003">
        <f>MONTH(order_data[[#This Row],[Order_Date]])</f>
        <v>3</v>
      </c>
    </row>
    <row r="1004" spans="1:18" x14ac:dyDescent="0.35">
      <c r="A1004" t="s">
        <v>1662</v>
      </c>
      <c r="B1004" t="s">
        <v>600</v>
      </c>
      <c r="C1004" t="s">
        <v>984</v>
      </c>
      <c r="D1004" t="s">
        <v>16</v>
      </c>
      <c r="E1004" t="s">
        <v>17</v>
      </c>
      <c r="F1004" t="s">
        <v>18</v>
      </c>
      <c r="G1004" t="s">
        <v>107</v>
      </c>
      <c r="H1004">
        <v>198</v>
      </c>
      <c r="I1004">
        <v>20</v>
      </c>
      <c r="J1004">
        <v>50</v>
      </c>
      <c r="K1004" t="s">
        <v>36</v>
      </c>
      <c r="L1004">
        <v>28</v>
      </c>
      <c r="M1004" t="s">
        <v>21</v>
      </c>
      <c r="N1004">
        <f>COUNTIF(order_data[Order_ID],order_data[[#This Row],[Order_ID]])</f>
        <v>1</v>
      </c>
      <c r="O1004">
        <f>order_data[[#This Row],[Order_Value]]-order_data[[#This Row],[Discount]]</f>
        <v>148</v>
      </c>
      <c r="P1004">
        <f>order_data[[#This Row],[Order_Value]]+order_data[[#This Row],[Delivery_Fee]]-order_data[[#This Row],[Discount]]</f>
        <v>168</v>
      </c>
      <c r="Q1004" t="str">
        <f>TEXT(order_data[[#This Row],[Order_Date]],"mmm")</f>
        <v>Mar</v>
      </c>
      <c r="R1004">
        <f>MONTH(order_data[[#This Row],[Order_Date]])</f>
        <v>3</v>
      </c>
    </row>
    <row r="1005" spans="1:18" x14ac:dyDescent="0.35">
      <c r="A1005" t="s">
        <v>1663</v>
      </c>
      <c r="B1005" t="s">
        <v>273</v>
      </c>
      <c r="C1005" t="s">
        <v>1537</v>
      </c>
      <c r="D1005" t="s">
        <v>46</v>
      </c>
      <c r="E1005" t="s">
        <v>148</v>
      </c>
      <c r="F1005" t="s">
        <v>27</v>
      </c>
      <c r="G1005" t="s">
        <v>42</v>
      </c>
      <c r="H1005">
        <v>307</v>
      </c>
      <c r="I1005">
        <v>20</v>
      </c>
      <c r="J1005">
        <v>0</v>
      </c>
      <c r="K1005" t="s">
        <v>29</v>
      </c>
      <c r="L1005">
        <v>56</v>
      </c>
      <c r="M1005" t="s">
        <v>21</v>
      </c>
      <c r="N1005">
        <f>COUNTIF(order_data[Order_ID],order_data[[#This Row],[Order_ID]])</f>
        <v>1</v>
      </c>
      <c r="O1005">
        <f>order_data[[#This Row],[Order_Value]]-order_data[[#This Row],[Discount]]</f>
        <v>307</v>
      </c>
      <c r="P1005">
        <f>order_data[[#This Row],[Order_Value]]+order_data[[#This Row],[Delivery_Fee]]-order_data[[#This Row],[Discount]]</f>
        <v>327</v>
      </c>
      <c r="Q1005" t="str">
        <f>TEXT(order_data[[#This Row],[Order_Date]],"mmm")</f>
        <v>Mar</v>
      </c>
      <c r="R1005">
        <f>MONTH(order_data[[#This Row],[Order_Date]])</f>
        <v>3</v>
      </c>
    </row>
    <row r="1006" spans="1:18" x14ac:dyDescent="0.35">
      <c r="A1006" t="s">
        <v>1664</v>
      </c>
      <c r="B1006" t="s">
        <v>252</v>
      </c>
      <c r="C1006" t="s">
        <v>1226</v>
      </c>
      <c r="D1006" t="s">
        <v>25</v>
      </c>
      <c r="E1006" t="s">
        <v>26</v>
      </c>
      <c r="F1006" t="s">
        <v>27</v>
      </c>
      <c r="G1006" t="s">
        <v>63</v>
      </c>
      <c r="H1006">
        <v>584</v>
      </c>
      <c r="I1006">
        <v>30</v>
      </c>
      <c r="J1006">
        <v>20</v>
      </c>
      <c r="K1006" t="s">
        <v>29</v>
      </c>
      <c r="L1006">
        <v>31</v>
      </c>
      <c r="M1006" t="s">
        <v>21</v>
      </c>
      <c r="N1006">
        <f>COUNTIF(order_data[Order_ID],order_data[[#This Row],[Order_ID]])</f>
        <v>1</v>
      </c>
      <c r="O1006">
        <f>order_data[[#This Row],[Order_Value]]-order_data[[#This Row],[Discount]]</f>
        <v>564</v>
      </c>
      <c r="P1006">
        <f>order_data[[#This Row],[Order_Value]]+order_data[[#This Row],[Delivery_Fee]]-order_data[[#This Row],[Discount]]</f>
        <v>594</v>
      </c>
      <c r="Q1006" t="str">
        <f>TEXT(order_data[[#This Row],[Order_Date]],"mmm")</f>
        <v>Jan</v>
      </c>
      <c r="R1006">
        <f>MONTH(order_data[[#This Row],[Order_Date]])</f>
        <v>1</v>
      </c>
    </row>
    <row r="1007" spans="1:18" x14ac:dyDescent="0.35">
      <c r="A1007" t="s">
        <v>1665</v>
      </c>
      <c r="B1007" t="s">
        <v>583</v>
      </c>
      <c r="C1007" t="s">
        <v>455</v>
      </c>
      <c r="D1007" t="s">
        <v>40</v>
      </c>
      <c r="E1007" t="s">
        <v>67</v>
      </c>
      <c r="F1007" t="s">
        <v>48</v>
      </c>
      <c r="G1007" t="s">
        <v>176</v>
      </c>
      <c r="H1007">
        <v>275</v>
      </c>
      <c r="I1007">
        <v>50</v>
      </c>
      <c r="J1007">
        <v>0</v>
      </c>
      <c r="K1007" t="s">
        <v>20</v>
      </c>
      <c r="L1007">
        <v>27</v>
      </c>
      <c r="M1007" t="s">
        <v>21</v>
      </c>
      <c r="N1007">
        <f>COUNTIF(order_data[Order_ID],order_data[[#This Row],[Order_ID]])</f>
        <v>1</v>
      </c>
      <c r="O1007">
        <f>order_data[[#This Row],[Order_Value]]-order_data[[#This Row],[Discount]]</f>
        <v>275</v>
      </c>
      <c r="P1007">
        <f>order_data[[#This Row],[Order_Value]]+order_data[[#This Row],[Delivery_Fee]]-order_data[[#This Row],[Discount]]</f>
        <v>325</v>
      </c>
      <c r="Q1007" t="str">
        <f>TEXT(order_data[[#This Row],[Order_Date]],"mmm")</f>
        <v>Jan</v>
      </c>
      <c r="R1007">
        <f>MONTH(order_data[[#This Row],[Order_Date]])</f>
        <v>1</v>
      </c>
    </row>
    <row r="1008" spans="1:18" x14ac:dyDescent="0.35">
      <c r="A1008" t="s">
        <v>1666</v>
      </c>
      <c r="B1008" t="s">
        <v>568</v>
      </c>
      <c r="C1008" t="s">
        <v>216</v>
      </c>
      <c r="D1008" t="s">
        <v>25</v>
      </c>
      <c r="E1008" t="s">
        <v>78</v>
      </c>
      <c r="F1008" t="s">
        <v>48</v>
      </c>
      <c r="G1008" t="s">
        <v>176</v>
      </c>
      <c r="H1008">
        <v>371</v>
      </c>
      <c r="I1008">
        <v>40</v>
      </c>
      <c r="J1008">
        <v>50</v>
      </c>
      <c r="K1008" t="s">
        <v>29</v>
      </c>
      <c r="L1008">
        <v>33</v>
      </c>
      <c r="M1008" t="s">
        <v>21</v>
      </c>
      <c r="N1008">
        <f>COUNTIF(order_data[Order_ID],order_data[[#This Row],[Order_ID]])</f>
        <v>1</v>
      </c>
      <c r="O1008">
        <f>order_data[[#This Row],[Order_Value]]-order_data[[#This Row],[Discount]]</f>
        <v>321</v>
      </c>
      <c r="P1008">
        <f>order_data[[#This Row],[Order_Value]]+order_data[[#This Row],[Delivery_Fee]]-order_data[[#This Row],[Discount]]</f>
        <v>361</v>
      </c>
      <c r="Q1008" t="str">
        <f>TEXT(order_data[[#This Row],[Order_Date]],"mmm")</f>
        <v>Mar</v>
      </c>
      <c r="R1008">
        <f>MONTH(order_data[[#This Row],[Order_Date]])</f>
        <v>3</v>
      </c>
    </row>
    <row r="1009" spans="1:18" x14ac:dyDescent="0.35">
      <c r="A1009" t="s">
        <v>1667</v>
      </c>
      <c r="B1009" t="s">
        <v>322</v>
      </c>
      <c r="C1009" t="s">
        <v>1300</v>
      </c>
      <c r="D1009" t="s">
        <v>40</v>
      </c>
      <c r="E1009" t="s">
        <v>67</v>
      </c>
      <c r="F1009" t="s">
        <v>48</v>
      </c>
      <c r="G1009" t="s">
        <v>59</v>
      </c>
      <c r="H1009">
        <v>290</v>
      </c>
      <c r="I1009">
        <v>30</v>
      </c>
      <c r="J1009">
        <v>0</v>
      </c>
      <c r="K1009" t="s">
        <v>29</v>
      </c>
      <c r="L1009">
        <v>39</v>
      </c>
      <c r="M1009" t="s">
        <v>21</v>
      </c>
      <c r="N1009">
        <f>COUNTIF(order_data[Order_ID],order_data[[#This Row],[Order_ID]])</f>
        <v>1</v>
      </c>
      <c r="O1009">
        <f>order_data[[#This Row],[Order_Value]]-order_data[[#This Row],[Discount]]</f>
        <v>290</v>
      </c>
      <c r="P1009">
        <f>order_data[[#This Row],[Order_Value]]+order_data[[#This Row],[Delivery_Fee]]-order_data[[#This Row],[Discount]]</f>
        <v>320</v>
      </c>
      <c r="Q1009" t="str">
        <f>TEXT(order_data[[#This Row],[Order_Date]],"mmm")</f>
        <v>Jan</v>
      </c>
      <c r="R1009">
        <f>MONTH(order_data[[#This Row],[Order_Date]])</f>
        <v>1</v>
      </c>
    </row>
    <row r="1010" spans="1:18" x14ac:dyDescent="0.35">
      <c r="A1010" t="s">
        <v>1668</v>
      </c>
      <c r="B1010" t="s">
        <v>174</v>
      </c>
      <c r="C1010" t="s">
        <v>1669</v>
      </c>
      <c r="D1010" t="s">
        <v>46</v>
      </c>
      <c r="E1010" t="s">
        <v>47</v>
      </c>
      <c r="F1010" t="s">
        <v>48</v>
      </c>
      <c r="G1010" t="s">
        <v>19</v>
      </c>
      <c r="H1010">
        <v>554</v>
      </c>
      <c r="I1010">
        <v>40</v>
      </c>
      <c r="J1010">
        <v>50</v>
      </c>
      <c r="K1010" t="s">
        <v>20</v>
      </c>
      <c r="L1010">
        <v>35</v>
      </c>
      <c r="M1010" t="s">
        <v>21</v>
      </c>
      <c r="N1010">
        <f>COUNTIF(order_data[Order_ID],order_data[[#This Row],[Order_ID]])</f>
        <v>1</v>
      </c>
      <c r="O1010">
        <f>order_data[[#This Row],[Order_Value]]-order_data[[#This Row],[Discount]]</f>
        <v>504</v>
      </c>
      <c r="P1010">
        <f>order_data[[#This Row],[Order_Value]]+order_data[[#This Row],[Delivery_Fee]]-order_data[[#This Row],[Discount]]</f>
        <v>544</v>
      </c>
      <c r="Q1010" t="str">
        <f>TEXT(order_data[[#This Row],[Order_Date]],"mmm")</f>
        <v>Feb</v>
      </c>
      <c r="R1010">
        <f>MONTH(order_data[[#This Row],[Order_Date]])</f>
        <v>2</v>
      </c>
    </row>
    <row r="1011" spans="1:18" x14ac:dyDescent="0.35">
      <c r="A1011" t="s">
        <v>1670</v>
      </c>
      <c r="B1011" t="s">
        <v>286</v>
      </c>
      <c r="C1011" t="s">
        <v>1147</v>
      </c>
      <c r="D1011" t="s">
        <v>16</v>
      </c>
      <c r="E1011" t="s">
        <v>89</v>
      </c>
      <c r="F1011" t="s">
        <v>18</v>
      </c>
      <c r="G1011" t="s">
        <v>74</v>
      </c>
      <c r="H1011">
        <v>778</v>
      </c>
      <c r="I1011">
        <v>20</v>
      </c>
      <c r="J1011">
        <v>0</v>
      </c>
      <c r="K1011" t="s">
        <v>36</v>
      </c>
      <c r="L1011">
        <v>28</v>
      </c>
      <c r="M1011" t="s">
        <v>21</v>
      </c>
      <c r="N1011">
        <f>COUNTIF(order_data[Order_ID],order_data[[#This Row],[Order_ID]])</f>
        <v>1</v>
      </c>
      <c r="O1011">
        <f>order_data[[#This Row],[Order_Value]]-order_data[[#This Row],[Discount]]</f>
        <v>778</v>
      </c>
      <c r="P1011">
        <f>order_data[[#This Row],[Order_Value]]+order_data[[#This Row],[Delivery_Fee]]-order_data[[#This Row],[Discount]]</f>
        <v>798</v>
      </c>
      <c r="Q1011" t="str">
        <f>TEXT(order_data[[#This Row],[Order_Date]],"mmm")</f>
        <v>Mar</v>
      </c>
      <c r="R1011">
        <f>MONTH(order_data[[#This Row],[Order_Date]])</f>
        <v>3</v>
      </c>
    </row>
    <row r="1012" spans="1:18" x14ac:dyDescent="0.35">
      <c r="A1012" t="s">
        <v>1671</v>
      </c>
      <c r="B1012" t="s">
        <v>379</v>
      </c>
      <c r="C1012" t="s">
        <v>1672</v>
      </c>
      <c r="D1012" t="s">
        <v>25</v>
      </c>
      <c r="E1012" t="s">
        <v>26</v>
      </c>
      <c r="F1012" t="s">
        <v>27</v>
      </c>
      <c r="G1012" t="s">
        <v>49</v>
      </c>
      <c r="H1012">
        <v>239</v>
      </c>
      <c r="I1012">
        <v>30</v>
      </c>
      <c r="J1012">
        <v>30</v>
      </c>
      <c r="K1012" t="s">
        <v>20</v>
      </c>
      <c r="L1012">
        <v>53</v>
      </c>
      <c r="M1012" t="s">
        <v>21</v>
      </c>
      <c r="N1012">
        <f>COUNTIF(order_data[Order_ID],order_data[[#This Row],[Order_ID]])</f>
        <v>1</v>
      </c>
      <c r="O1012">
        <f>order_data[[#This Row],[Order_Value]]-order_data[[#This Row],[Discount]]</f>
        <v>209</v>
      </c>
      <c r="P1012">
        <f>order_data[[#This Row],[Order_Value]]+order_data[[#This Row],[Delivery_Fee]]-order_data[[#This Row],[Discount]]</f>
        <v>239</v>
      </c>
      <c r="Q1012" t="str">
        <f>TEXT(order_data[[#This Row],[Order_Date]],"mmm")</f>
        <v>Mar</v>
      </c>
      <c r="R1012">
        <f>MONTH(order_data[[#This Row],[Order_Date]])</f>
        <v>3</v>
      </c>
    </row>
    <row r="1013" spans="1:18" x14ac:dyDescent="0.35">
      <c r="A1013" t="s">
        <v>1673</v>
      </c>
      <c r="B1013" t="s">
        <v>600</v>
      </c>
      <c r="C1013" t="s">
        <v>519</v>
      </c>
      <c r="D1013" t="s">
        <v>46</v>
      </c>
      <c r="E1013" t="s">
        <v>70</v>
      </c>
      <c r="F1013" t="s">
        <v>18</v>
      </c>
      <c r="G1013" t="s">
        <v>176</v>
      </c>
      <c r="H1013">
        <v>637</v>
      </c>
      <c r="I1013">
        <v>30</v>
      </c>
      <c r="J1013">
        <v>20</v>
      </c>
      <c r="K1013" t="s">
        <v>29</v>
      </c>
      <c r="L1013">
        <v>48</v>
      </c>
      <c r="M1013" t="s">
        <v>21</v>
      </c>
      <c r="N1013">
        <f>COUNTIF(order_data[Order_ID],order_data[[#This Row],[Order_ID]])</f>
        <v>1</v>
      </c>
      <c r="O1013">
        <f>order_data[[#This Row],[Order_Value]]-order_data[[#This Row],[Discount]]</f>
        <v>617</v>
      </c>
      <c r="P1013">
        <f>order_data[[#This Row],[Order_Value]]+order_data[[#This Row],[Delivery_Fee]]-order_data[[#This Row],[Discount]]</f>
        <v>647</v>
      </c>
      <c r="Q1013" t="str">
        <f>TEXT(order_data[[#This Row],[Order_Date]],"mmm")</f>
        <v>Mar</v>
      </c>
      <c r="R1013">
        <f>MONTH(order_data[[#This Row],[Order_Date]])</f>
        <v>3</v>
      </c>
    </row>
    <row r="1014" spans="1:18" x14ac:dyDescent="0.35">
      <c r="A1014" t="s">
        <v>1674</v>
      </c>
      <c r="B1014" t="s">
        <v>413</v>
      </c>
      <c r="C1014" t="s">
        <v>1675</v>
      </c>
      <c r="D1014" t="s">
        <v>46</v>
      </c>
      <c r="E1014" t="s">
        <v>47</v>
      </c>
      <c r="F1014" t="s">
        <v>48</v>
      </c>
      <c r="G1014" t="s">
        <v>19</v>
      </c>
      <c r="H1014">
        <v>692</v>
      </c>
      <c r="I1014">
        <v>40</v>
      </c>
      <c r="J1014">
        <v>50</v>
      </c>
      <c r="K1014" t="s">
        <v>36</v>
      </c>
      <c r="L1014">
        <v>46</v>
      </c>
      <c r="M1014" t="s">
        <v>21</v>
      </c>
      <c r="N1014">
        <f>COUNTIF(order_data[Order_ID],order_data[[#This Row],[Order_ID]])</f>
        <v>1</v>
      </c>
      <c r="O1014">
        <f>order_data[[#This Row],[Order_Value]]-order_data[[#This Row],[Discount]]</f>
        <v>642</v>
      </c>
      <c r="P1014">
        <f>order_data[[#This Row],[Order_Value]]+order_data[[#This Row],[Delivery_Fee]]-order_data[[#This Row],[Discount]]</f>
        <v>682</v>
      </c>
      <c r="Q1014" t="str">
        <f>TEXT(order_data[[#This Row],[Order_Date]],"mmm")</f>
        <v>Mar</v>
      </c>
      <c r="R1014">
        <f>MONTH(order_data[[#This Row],[Order_Date]])</f>
        <v>3</v>
      </c>
    </row>
    <row r="1015" spans="1:18" x14ac:dyDescent="0.35">
      <c r="A1015" t="s">
        <v>1676</v>
      </c>
      <c r="B1015" t="s">
        <v>136</v>
      </c>
      <c r="C1015" t="s">
        <v>1677</v>
      </c>
      <c r="D1015" t="s">
        <v>53</v>
      </c>
      <c r="E1015" t="s">
        <v>54</v>
      </c>
      <c r="F1015" t="s">
        <v>55</v>
      </c>
      <c r="G1015" t="s">
        <v>28</v>
      </c>
      <c r="H1015">
        <v>444</v>
      </c>
      <c r="I1015">
        <v>50</v>
      </c>
      <c r="J1015">
        <v>0</v>
      </c>
      <c r="K1015" t="s">
        <v>29</v>
      </c>
      <c r="L1015">
        <v>50</v>
      </c>
      <c r="M1015" t="s">
        <v>21</v>
      </c>
      <c r="N1015">
        <f>COUNTIF(order_data[Order_ID],order_data[[#This Row],[Order_ID]])</f>
        <v>1</v>
      </c>
      <c r="O1015">
        <f>order_data[[#This Row],[Order_Value]]-order_data[[#This Row],[Discount]]</f>
        <v>444</v>
      </c>
      <c r="P1015">
        <f>order_data[[#This Row],[Order_Value]]+order_data[[#This Row],[Delivery_Fee]]-order_data[[#This Row],[Discount]]</f>
        <v>494</v>
      </c>
      <c r="Q1015" t="str">
        <f>TEXT(order_data[[#This Row],[Order_Date]],"mmm")</f>
        <v>Feb</v>
      </c>
      <c r="R1015">
        <f>MONTH(order_data[[#This Row],[Order_Date]])</f>
        <v>2</v>
      </c>
    </row>
    <row r="1016" spans="1:18" x14ac:dyDescent="0.35">
      <c r="A1016" t="s">
        <v>1678</v>
      </c>
      <c r="B1016" t="s">
        <v>476</v>
      </c>
      <c r="C1016" t="s">
        <v>551</v>
      </c>
      <c r="D1016" t="s">
        <v>25</v>
      </c>
      <c r="E1016" t="s">
        <v>34</v>
      </c>
      <c r="F1016" t="s">
        <v>27</v>
      </c>
      <c r="G1016" t="s">
        <v>28</v>
      </c>
      <c r="H1016">
        <v>435</v>
      </c>
      <c r="I1016">
        <v>40</v>
      </c>
      <c r="J1016">
        <v>20</v>
      </c>
      <c r="K1016" t="s">
        <v>29</v>
      </c>
      <c r="L1016">
        <v>30</v>
      </c>
      <c r="M1016" t="s">
        <v>21</v>
      </c>
      <c r="N1016">
        <f>COUNTIF(order_data[Order_ID],order_data[[#This Row],[Order_ID]])</f>
        <v>1</v>
      </c>
      <c r="O1016">
        <f>order_data[[#This Row],[Order_Value]]-order_data[[#This Row],[Discount]]</f>
        <v>415</v>
      </c>
      <c r="P1016">
        <f>order_data[[#This Row],[Order_Value]]+order_data[[#This Row],[Delivery_Fee]]-order_data[[#This Row],[Discount]]</f>
        <v>455</v>
      </c>
      <c r="Q1016" t="str">
        <f>TEXT(order_data[[#This Row],[Order_Date]],"mmm")</f>
        <v>Jan</v>
      </c>
      <c r="R1016">
        <f>MONTH(order_data[[#This Row],[Order_Date]])</f>
        <v>1</v>
      </c>
    </row>
    <row r="1017" spans="1:18" x14ac:dyDescent="0.35">
      <c r="A1017" t="s">
        <v>1679</v>
      </c>
      <c r="B1017" t="s">
        <v>44</v>
      </c>
      <c r="C1017" t="s">
        <v>1352</v>
      </c>
      <c r="D1017" t="s">
        <v>53</v>
      </c>
      <c r="E1017" t="s">
        <v>152</v>
      </c>
      <c r="F1017" t="s">
        <v>18</v>
      </c>
      <c r="G1017" t="s">
        <v>59</v>
      </c>
      <c r="H1017">
        <v>263</v>
      </c>
      <c r="I1017">
        <v>50</v>
      </c>
      <c r="J1017">
        <v>50</v>
      </c>
      <c r="K1017" t="s">
        <v>20</v>
      </c>
      <c r="L1017">
        <v>27</v>
      </c>
      <c r="M1017" t="s">
        <v>30</v>
      </c>
      <c r="N1017">
        <f>COUNTIF(order_data[Order_ID],order_data[[#This Row],[Order_ID]])</f>
        <v>1</v>
      </c>
      <c r="O1017">
        <f>order_data[[#This Row],[Order_Value]]-order_data[[#This Row],[Discount]]</f>
        <v>213</v>
      </c>
      <c r="P1017">
        <f>order_data[[#This Row],[Order_Value]]+order_data[[#This Row],[Delivery_Fee]]-order_data[[#This Row],[Discount]]</f>
        <v>263</v>
      </c>
      <c r="Q1017" t="str">
        <f>TEXT(order_data[[#This Row],[Order_Date]],"mmm")</f>
        <v>Jan</v>
      </c>
      <c r="R1017">
        <f>MONTH(order_data[[#This Row],[Order_Date]])</f>
        <v>1</v>
      </c>
    </row>
    <row r="1018" spans="1:18" x14ac:dyDescent="0.35">
      <c r="A1018" t="s">
        <v>1680</v>
      </c>
      <c r="B1018" t="s">
        <v>218</v>
      </c>
      <c r="C1018" t="s">
        <v>1681</v>
      </c>
      <c r="D1018" t="s">
        <v>25</v>
      </c>
      <c r="E1018" t="s">
        <v>34</v>
      </c>
      <c r="F1018" t="s">
        <v>27</v>
      </c>
      <c r="G1018" t="s">
        <v>28</v>
      </c>
      <c r="H1018">
        <v>709</v>
      </c>
      <c r="I1018">
        <v>50</v>
      </c>
      <c r="J1018">
        <v>0</v>
      </c>
      <c r="K1018" t="s">
        <v>36</v>
      </c>
      <c r="L1018">
        <v>58</v>
      </c>
      <c r="M1018" t="s">
        <v>21</v>
      </c>
      <c r="N1018">
        <f>COUNTIF(order_data[Order_ID],order_data[[#This Row],[Order_ID]])</f>
        <v>1</v>
      </c>
      <c r="O1018">
        <f>order_data[[#This Row],[Order_Value]]-order_data[[#This Row],[Discount]]</f>
        <v>709</v>
      </c>
      <c r="P1018">
        <f>order_data[[#This Row],[Order_Value]]+order_data[[#This Row],[Delivery_Fee]]-order_data[[#This Row],[Discount]]</f>
        <v>759</v>
      </c>
      <c r="Q1018" t="str">
        <f>TEXT(order_data[[#This Row],[Order_Date]],"mmm")</f>
        <v>Feb</v>
      </c>
      <c r="R1018">
        <f>MONTH(order_data[[#This Row],[Order_Date]])</f>
        <v>2</v>
      </c>
    </row>
    <row r="1019" spans="1:18" x14ac:dyDescent="0.35">
      <c r="A1019" t="s">
        <v>1682</v>
      </c>
      <c r="B1019" t="s">
        <v>109</v>
      </c>
      <c r="C1019" t="s">
        <v>1683</v>
      </c>
      <c r="D1019" t="s">
        <v>16</v>
      </c>
      <c r="E1019" t="s">
        <v>131</v>
      </c>
      <c r="F1019" t="s">
        <v>55</v>
      </c>
      <c r="G1019" t="s">
        <v>28</v>
      </c>
      <c r="H1019">
        <v>658</v>
      </c>
      <c r="I1019">
        <v>50</v>
      </c>
      <c r="J1019">
        <v>100</v>
      </c>
      <c r="K1019" t="s">
        <v>36</v>
      </c>
      <c r="L1019">
        <v>38</v>
      </c>
      <c r="M1019" t="s">
        <v>21</v>
      </c>
      <c r="N1019">
        <f>COUNTIF(order_data[Order_ID],order_data[[#This Row],[Order_ID]])</f>
        <v>1</v>
      </c>
      <c r="O1019">
        <f>order_data[[#This Row],[Order_Value]]-order_data[[#This Row],[Discount]]</f>
        <v>558</v>
      </c>
      <c r="P1019">
        <f>order_data[[#This Row],[Order_Value]]+order_data[[#This Row],[Delivery_Fee]]-order_data[[#This Row],[Discount]]</f>
        <v>608</v>
      </c>
      <c r="Q1019" t="str">
        <f>TEXT(order_data[[#This Row],[Order_Date]],"mmm")</f>
        <v>Jan</v>
      </c>
      <c r="R1019">
        <f>MONTH(order_data[[#This Row],[Order_Date]])</f>
        <v>1</v>
      </c>
    </row>
    <row r="1020" spans="1:18" x14ac:dyDescent="0.35">
      <c r="A1020" t="s">
        <v>1684</v>
      </c>
      <c r="B1020" t="s">
        <v>96</v>
      </c>
      <c r="C1020" t="s">
        <v>1403</v>
      </c>
      <c r="D1020" t="s">
        <v>25</v>
      </c>
      <c r="E1020" t="s">
        <v>34</v>
      </c>
      <c r="F1020" t="s">
        <v>27</v>
      </c>
      <c r="G1020" t="s">
        <v>63</v>
      </c>
      <c r="H1020">
        <v>379</v>
      </c>
      <c r="I1020">
        <v>50</v>
      </c>
      <c r="J1020">
        <v>20</v>
      </c>
      <c r="K1020" t="s">
        <v>36</v>
      </c>
      <c r="L1020">
        <v>21</v>
      </c>
      <c r="M1020" t="s">
        <v>21</v>
      </c>
      <c r="N1020">
        <f>COUNTIF(order_data[Order_ID],order_data[[#This Row],[Order_ID]])</f>
        <v>1</v>
      </c>
      <c r="O1020">
        <f>order_data[[#This Row],[Order_Value]]-order_data[[#This Row],[Discount]]</f>
        <v>359</v>
      </c>
      <c r="P1020">
        <f>order_data[[#This Row],[Order_Value]]+order_data[[#This Row],[Delivery_Fee]]-order_data[[#This Row],[Discount]]</f>
        <v>409</v>
      </c>
      <c r="Q1020" t="str">
        <f>TEXT(order_data[[#This Row],[Order_Date]],"mmm")</f>
        <v>Mar</v>
      </c>
      <c r="R1020">
        <f>MONTH(order_data[[#This Row],[Order_Date]])</f>
        <v>3</v>
      </c>
    </row>
    <row r="1021" spans="1:18" x14ac:dyDescent="0.35">
      <c r="A1021" t="s">
        <v>1685</v>
      </c>
      <c r="B1021" t="s">
        <v>167</v>
      </c>
      <c r="C1021" t="s">
        <v>1521</v>
      </c>
      <c r="D1021" t="s">
        <v>25</v>
      </c>
      <c r="E1021" t="s">
        <v>34</v>
      </c>
      <c r="F1021" t="s">
        <v>27</v>
      </c>
      <c r="G1021" t="s">
        <v>176</v>
      </c>
      <c r="H1021">
        <v>624</v>
      </c>
      <c r="I1021">
        <v>40</v>
      </c>
      <c r="J1021">
        <v>0</v>
      </c>
      <c r="K1021" t="s">
        <v>36</v>
      </c>
      <c r="L1021">
        <v>48</v>
      </c>
      <c r="M1021" t="s">
        <v>21</v>
      </c>
      <c r="N1021">
        <f>COUNTIF(order_data[Order_ID],order_data[[#This Row],[Order_ID]])</f>
        <v>1</v>
      </c>
      <c r="O1021">
        <f>order_data[[#This Row],[Order_Value]]-order_data[[#This Row],[Discount]]</f>
        <v>624</v>
      </c>
      <c r="P1021">
        <f>order_data[[#This Row],[Order_Value]]+order_data[[#This Row],[Delivery_Fee]]-order_data[[#This Row],[Discount]]</f>
        <v>664</v>
      </c>
      <c r="Q1021" t="str">
        <f>TEXT(order_data[[#This Row],[Order_Date]],"mmm")</f>
        <v>Feb</v>
      </c>
      <c r="R1021">
        <f>MONTH(order_data[[#This Row],[Order_Date]])</f>
        <v>2</v>
      </c>
    </row>
    <row r="1022" spans="1:18" x14ac:dyDescent="0.35">
      <c r="A1022" t="s">
        <v>1686</v>
      </c>
      <c r="B1022" t="s">
        <v>154</v>
      </c>
      <c r="C1022" t="s">
        <v>1687</v>
      </c>
      <c r="D1022" t="s">
        <v>53</v>
      </c>
      <c r="E1022" t="s">
        <v>54</v>
      </c>
      <c r="F1022" t="s">
        <v>55</v>
      </c>
      <c r="G1022" t="s">
        <v>35</v>
      </c>
      <c r="H1022">
        <v>777</v>
      </c>
      <c r="I1022">
        <v>40</v>
      </c>
      <c r="J1022">
        <v>100</v>
      </c>
      <c r="K1022" t="s">
        <v>29</v>
      </c>
      <c r="L1022">
        <v>30</v>
      </c>
      <c r="M1022" t="s">
        <v>21</v>
      </c>
      <c r="N1022">
        <f>COUNTIF(order_data[Order_ID],order_data[[#This Row],[Order_ID]])</f>
        <v>1</v>
      </c>
      <c r="O1022">
        <f>order_data[[#This Row],[Order_Value]]-order_data[[#This Row],[Discount]]</f>
        <v>677</v>
      </c>
      <c r="P1022">
        <f>order_data[[#This Row],[Order_Value]]+order_data[[#This Row],[Delivery_Fee]]-order_data[[#This Row],[Discount]]</f>
        <v>717</v>
      </c>
      <c r="Q1022" t="str">
        <f>TEXT(order_data[[#This Row],[Order_Date]],"mmm")</f>
        <v>Jan</v>
      </c>
      <c r="R1022">
        <f>MONTH(order_data[[#This Row],[Order_Date]])</f>
        <v>1</v>
      </c>
    </row>
    <row r="1023" spans="1:18" x14ac:dyDescent="0.35">
      <c r="A1023" t="s">
        <v>1688</v>
      </c>
      <c r="B1023" t="s">
        <v>192</v>
      </c>
      <c r="C1023" t="s">
        <v>494</v>
      </c>
      <c r="D1023" t="s">
        <v>53</v>
      </c>
      <c r="E1023" t="s">
        <v>152</v>
      </c>
      <c r="F1023" t="s">
        <v>18</v>
      </c>
      <c r="G1023" t="s">
        <v>107</v>
      </c>
      <c r="H1023">
        <v>491</v>
      </c>
      <c r="I1023">
        <v>30</v>
      </c>
      <c r="J1023">
        <v>0</v>
      </c>
      <c r="K1023" t="s">
        <v>36</v>
      </c>
      <c r="L1023">
        <v>27</v>
      </c>
      <c r="M1023" t="s">
        <v>21</v>
      </c>
      <c r="N1023">
        <f>COUNTIF(order_data[Order_ID],order_data[[#This Row],[Order_ID]])</f>
        <v>1</v>
      </c>
      <c r="O1023">
        <f>order_data[[#This Row],[Order_Value]]-order_data[[#This Row],[Discount]]</f>
        <v>491</v>
      </c>
      <c r="P1023">
        <f>order_data[[#This Row],[Order_Value]]+order_data[[#This Row],[Delivery_Fee]]-order_data[[#This Row],[Discount]]</f>
        <v>521</v>
      </c>
      <c r="Q1023" t="str">
        <f>TEXT(order_data[[#This Row],[Order_Date]],"mmm")</f>
        <v>Mar</v>
      </c>
      <c r="R1023">
        <f>MONTH(order_data[[#This Row],[Order_Date]])</f>
        <v>3</v>
      </c>
    </row>
    <row r="1024" spans="1:18" x14ac:dyDescent="0.35">
      <c r="A1024" t="s">
        <v>1689</v>
      </c>
      <c r="B1024" t="s">
        <v>580</v>
      </c>
      <c r="C1024" t="s">
        <v>88</v>
      </c>
      <c r="D1024" t="s">
        <v>25</v>
      </c>
      <c r="E1024" t="s">
        <v>26</v>
      </c>
      <c r="F1024" t="s">
        <v>27</v>
      </c>
      <c r="G1024" t="s">
        <v>35</v>
      </c>
      <c r="H1024">
        <v>423</v>
      </c>
      <c r="I1024">
        <v>50</v>
      </c>
      <c r="J1024">
        <v>30</v>
      </c>
      <c r="K1024" t="s">
        <v>29</v>
      </c>
      <c r="L1024">
        <v>24</v>
      </c>
      <c r="M1024" t="s">
        <v>30</v>
      </c>
      <c r="N1024">
        <f>COUNTIF(order_data[Order_ID],order_data[[#This Row],[Order_ID]])</f>
        <v>1</v>
      </c>
      <c r="O1024">
        <f>order_data[[#This Row],[Order_Value]]-order_data[[#This Row],[Discount]]</f>
        <v>393</v>
      </c>
      <c r="P1024">
        <f>order_data[[#This Row],[Order_Value]]+order_data[[#This Row],[Delivery_Fee]]-order_data[[#This Row],[Discount]]</f>
        <v>443</v>
      </c>
      <c r="Q1024" t="str">
        <f>TEXT(order_data[[#This Row],[Order_Date]],"mmm")</f>
        <v>Mar</v>
      </c>
      <c r="R1024">
        <f>MONTH(order_data[[#This Row],[Order_Date]])</f>
        <v>3</v>
      </c>
    </row>
    <row r="1025" spans="1:18" x14ac:dyDescent="0.35">
      <c r="A1025" t="s">
        <v>1690</v>
      </c>
      <c r="B1025" t="s">
        <v>326</v>
      </c>
      <c r="C1025" t="s">
        <v>1691</v>
      </c>
      <c r="D1025" t="s">
        <v>53</v>
      </c>
      <c r="E1025" t="s">
        <v>54</v>
      </c>
      <c r="F1025" t="s">
        <v>55</v>
      </c>
      <c r="G1025" t="s">
        <v>35</v>
      </c>
      <c r="H1025">
        <v>165</v>
      </c>
      <c r="I1025">
        <v>40</v>
      </c>
      <c r="J1025">
        <v>20</v>
      </c>
      <c r="K1025" t="s">
        <v>29</v>
      </c>
      <c r="L1025">
        <v>43</v>
      </c>
      <c r="M1025" t="s">
        <v>30</v>
      </c>
      <c r="N1025">
        <f>COUNTIF(order_data[Order_ID],order_data[[#This Row],[Order_ID]])</f>
        <v>1</v>
      </c>
      <c r="O1025">
        <f>order_data[[#This Row],[Order_Value]]-order_data[[#This Row],[Discount]]</f>
        <v>145</v>
      </c>
      <c r="P1025">
        <f>order_data[[#This Row],[Order_Value]]+order_data[[#This Row],[Delivery_Fee]]-order_data[[#This Row],[Discount]]</f>
        <v>185</v>
      </c>
      <c r="Q1025" t="str">
        <f>TEXT(order_data[[#This Row],[Order_Date]],"mmm")</f>
        <v>Mar</v>
      </c>
      <c r="R1025">
        <f>MONTH(order_data[[#This Row],[Order_Date]])</f>
        <v>3</v>
      </c>
    </row>
    <row r="1026" spans="1:18" x14ac:dyDescent="0.35">
      <c r="A1026" t="s">
        <v>1692</v>
      </c>
      <c r="B1026" t="s">
        <v>129</v>
      </c>
      <c r="C1026" t="s">
        <v>1693</v>
      </c>
      <c r="D1026" t="s">
        <v>46</v>
      </c>
      <c r="E1026" t="s">
        <v>148</v>
      </c>
      <c r="F1026" t="s">
        <v>27</v>
      </c>
      <c r="G1026" t="s">
        <v>42</v>
      </c>
      <c r="H1026">
        <v>754</v>
      </c>
      <c r="I1026">
        <v>30</v>
      </c>
      <c r="J1026">
        <v>100</v>
      </c>
      <c r="K1026" t="s">
        <v>36</v>
      </c>
      <c r="L1026">
        <v>30</v>
      </c>
      <c r="M1026" t="s">
        <v>21</v>
      </c>
      <c r="N1026">
        <f>COUNTIF(order_data[Order_ID],order_data[[#This Row],[Order_ID]])</f>
        <v>1</v>
      </c>
      <c r="O1026">
        <f>order_data[[#This Row],[Order_Value]]-order_data[[#This Row],[Discount]]</f>
        <v>654</v>
      </c>
      <c r="P1026">
        <f>order_data[[#This Row],[Order_Value]]+order_data[[#This Row],[Delivery_Fee]]-order_data[[#This Row],[Discount]]</f>
        <v>684</v>
      </c>
      <c r="Q1026" t="str">
        <f>TEXT(order_data[[#This Row],[Order_Date]],"mmm")</f>
        <v>Feb</v>
      </c>
      <c r="R1026">
        <f>MONTH(order_data[[#This Row],[Order_Date]])</f>
        <v>2</v>
      </c>
    </row>
    <row r="1027" spans="1:18" x14ac:dyDescent="0.35">
      <c r="A1027" t="s">
        <v>1694</v>
      </c>
      <c r="B1027" t="s">
        <v>432</v>
      </c>
      <c r="C1027" t="s">
        <v>382</v>
      </c>
      <c r="D1027" t="s">
        <v>46</v>
      </c>
      <c r="E1027" t="s">
        <v>148</v>
      </c>
      <c r="F1027" t="s">
        <v>27</v>
      </c>
      <c r="G1027" t="s">
        <v>63</v>
      </c>
      <c r="H1027">
        <v>509</v>
      </c>
      <c r="I1027">
        <v>20</v>
      </c>
      <c r="J1027">
        <v>0</v>
      </c>
      <c r="K1027" t="s">
        <v>20</v>
      </c>
      <c r="L1027">
        <v>42</v>
      </c>
      <c r="M1027" t="s">
        <v>21</v>
      </c>
      <c r="N1027">
        <f>COUNTIF(order_data[Order_ID],order_data[[#This Row],[Order_ID]])</f>
        <v>1</v>
      </c>
      <c r="O1027">
        <f>order_data[[#This Row],[Order_Value]]-order_data[[#This Row],[Discount]]</f>
        <v>509</v>
      </c>
      <c r="P1027">
        <f>order_data[[#This Row],[Order_Value]]+order_data[[#This Row],[Delivery_Fee]]-order_data[[#This Row],[Discount]]</f>
        <v>529</v>
      </c>
      <c r="Q1027" t="str">
        <f>TEXT(order_data[[#This Row],[Order_Date]],"mmm")</f>
        <v>Feb</v>
      </c>
      <c r="R1027">
        <f>MONTH(order_data[[#This Row],[Order_Date]])</f>
        <v>2</v>
      </c>
    </row>
    <row r="1028" spans="1:18" x14ac:dyDescent="0.35">
      <c r="A1028" t="s">
        <v>1695</v>
      </c>
      <c r="B1028" t="s">
        <v>57</v>
      </c>
      <c r="C1028" t="s">
        <v>1612</v>
      </c>
      <c r="D1028" t="s">
        <v>53</v>
      </c>
      <c r="E1028" t="s">
        <v>54</v>
      </c>
      <c r="F1028" t="s">
        <v>55</v>
      </c>
      <c r="G1028" t="s">
        <v>49</v>
      </c>
      <c r="H1028">
        <v>488</v>
      </c>
      <c r="I1028">
        <v>30</v>
      </c>
      <c r="J1028">
        <v>100</v>
      </c>
      <c r="K1028" t="s">
        <v>29</v>
      </c>
      <c r="L1028">
        <v>39</v>
      </c>
      <c r="M1028" t="s">
        <v>21</v>
      </c>
      <c r="N1028">
        <f>COUNTIF(order_data[Order_ID],order_data[[#This Row],[Order_ID]])</f>
        <v>1</v>
      </c>
      <c r="O1028">
        <f>order_data[[#This Row],[Order_Value]]-order_data[[#This Row],[Discount]]</f>
        <v>388</v>
      </c>
      <c r="P1028">
        <f>order_data[[#This Row],[Order_Value]]+order_data[[#This Row],[Delivery_Fee]]-order_data[[#This Row],[Discount]]</f>
        <v>418</v>
      </c>
      <c r="Q1028" t="str">
        <f>TEXT(order_data[[#This Row],[Order_Date]],"mmm")</f>
        <v>Jan</v>
      </c>
      <c r="R1028">
        <f>MONTH(order_data[[#This Row],[Order_Date]])</f>
        <v>1</v>
      </c>
    </row>
    <row r="1029" spans="1:18" x14ac:dyDescent="0.35">
      <c r="A1029" t="s">
        <v>1696</v>
      </c>
      <c r="B1029" t="s">
        <v>44</v>
      </c>
      <c r="C1029" t="s">
        <v>1697</v>
      </c>
      <c r="D1029" t="s">
        <v>40</v>
      </c>
      <c r="E1029" t="s">
        <v>67</v>
      </c>
      <c r="F1029" t="s">
        <v>48</v>
      </c>
      <c r="G1029" t="s">
        <v>59</v>
      </c>
      <c r="H1029">
        <v>313</v>
      </c>
      <c r="I1029">
        <v>20</v>
      </c>
      <c r="J1029">
        <v>100</v>
      </c>
      <c r="K1029" t="s">
        <v>29</v>
      </c>
      <c r="L1029">
        <v>34</v>
      </c>
      <c r="M1029" t="s">
        <v>21</v>
      </c>
      <c r="N1029">
        <f>COUNTIF(order_data[Order_ID],order_data[[#This Row],[Order_ID]])</f>
        <v>1</v>
      </c>
      <c r="O1029">
        <f>order_data[[#This Row],[Order_Value]]-order_data[[#This Row],[Discount]]</f>
        <v>213</v>
      </c>
      <c r="P1029">
        <f>order_data[[#This Row],[Order_Value]]+order_data[[#This Row],[Delivery_Fee]]-order_data[[#This Row],[Discount]]</f>
        <v>233</v>
      </c>
      <c r="Q1029" t="str">
        <f>TEXT(order_data[[#This Row],[Order_Date]],"mmm")</f>
        <v>Jan</v>
      </c>
      <c r="R1029">
        <f>MONTH(order_data[[#This Row],[Order_Date]])</f>
        <v>1</v>
      </c>
    </row>
    <row r="1030" spans="1:18" x14ac:dyDescent="0.35">
      <c r="A1030" t="s">
        <v>1698</v>
      </c>
      <c r="B1030" t="s">
        <v>526</v>
      </c>
      <c r="C1030" t="s">
        <v>1521</v>
      </c>
      <c r="D1030" t="s">
        <v>40</v>
      </c>
      <c r="E1030" t="s">
        <v>67</v>
      </c>
      <c r="F1030" t="s">
        <v>48</v>
      </c>
      <c r="G1030" t="s">
        <v>42</v>
      </c>
      <c r="H1030">
        <v>621</v>
      </c>
      <c r="I1030">
        <v>40</v>
      </c>
      <c r="J1030">
        <v>30</v>
      </c>
      <c r="K1030" t="s">
        <v>29</v>
      </c>
      <c r="L1030">
        <v>27</v>
      </c>
      <c r="M1030" t="s">
        <v>21</v>
      </c>
      <c r="N1030">
        <f>COUNTIF(order_data[Order_ID],order_data[[#This Row],[Order_ID]])</f>
        <v>1</v>
      </c>
      <c r="O1030">
        <f>order_data[[#This Row],[Order_Value]]-order_data[[#This Row],[Discount]]</f>
        <v>591</v>
      </c>
      <c r="P1030">
        <f>order_data[[#This Row],[Order_Value]]+order_data[[#This Row],[Delivery_Fee]]-order_data[[#This Row],[Discount]]</f>
        <v>631</v>
      </c>
      <c r="Q1030" t="str">
        <f>TEXT(order_data[[#This Row],[Order_Date]],"mmm")</f>
        <v>Jan</v>
      </c>
      <c r="R1030">
        <f>MONTH(order_data[[#This Row],[Order_Date]])</f>
        <v>1</v>
      </c>
    </row>
    <row r="1031" spans="1:18" x14ac:dyDescent="0.35">
      <c r="A1031" t="s">
        <v>1699</v>
      </c>
      <c r="B1031" t="s">
        <v>223</v>
      </c>
      <c r="C1031" t="s">
        <v>1256</v>
      </c>
      <c r="D1031" t="s">
        <v>53</v>
      </c>
      <c r="E1031" t="s">
        <v>54</v>
      </c>
      <c r="F1031" t="s">
        <v>55</v>
      </c>
      <c r="G1031" t="s">
        <v>176</v>
      </c>
      <c r="H1031">
        <v>369</v>
      </c>
      <c r="I1031">
        <v>50</v>
      </c>
      <c r="J1031">
        <v>30</v>
      </c>
      <c r="K1031" t="s">
        <v>36</v>
      </c>
      <c r="L1031">
        <v>59</v>
      </c>
      <c r="M1031" t="s">
        <v>30</v>
      </c>
      <c r="N1031">
        <f>COUNTIF(order_data[Order_ID],order_data[[#This Row],[Order_ID]])</f>
        <v>1</v>
      </c>
      <c r="O1031">
        <f>order_data[[#This Row],[Order_Value]]-order_data[[#This Row],[Discount]]</f>
        <v>339</v>
      </c>
      <c r="P1031">
        <f>order_data[[#This Row],[Order_Value]]+order_data[[#This Row],[Delivery_Fee]]-order_data[[#This Row],[Discount]]</f>
        <v>389</v>
      </c>
      <c r="Q1031" t="str">
        <f>TEXT(order_data[[#This Row],[Order_Date]],"mmm")</f>
        <v>Mar</v>
      </c>
      <c r="R1031">
        <f>MONTH(order_data[[#This Row],[Order_Date]])</f>
        <v>3</v>
      </c>
    </row>
    <row r="1032" spans="1:18" x14ac:dyDescent="0.35">
      <c r="A1032" t="s">
        <v>1700</v>
      </c>
      <c r="B1032" t="s">
        <v>305</v>
      </c>
      <c r="C1032" t="s">
        <v>1372</v>
      </c>
      <c r="D1032" t="s">
        <v>25</v>
      </c>
      <c r="E1032" t="s">
        <v>26</v>
      </c>
      <c r="F1032" t="s">
        <v>27</v>
      </c>
      <c r="G1032" t="s">
        <v>19</v>
      </c>
      <c r="H1032">
        <v>373</v>
      </c>
      <c r="I1032">
        <v>50</v>
      </c>
      <c r="J1032">
        <v>50</v>
      </c>
      <c r="K1032" t="s">
        <v>20</v>
      </c>
      <c r="L1032">
        <v>33</v>
      </c>
      <c r="M1032" t="s">
        <v>21</v>
      </c>
      <c r="N1032">
        <f>COUNTIF(order_data[Order_ID],order_data[[#This Row],[Order_ID]])</f>
        <v>1</v>
      </c>
      <c r="O1032">
        <f>order_data[[#This Row],[Order_Value]]-order_data[[#This Row],[Discount]]</f>
        <v>323</v>
      </c>
      <c r="P1032">
        <f>order_data[[#This Row],[Order_Value]]+order_data[[#This Row],[Delivery_Fee]]-order_data[[#This Row],[Discount]]</f>
        <v>373</v>
      </c>
      <c r="Q1032" t="str">
        <f>TEXT(order_data[[#This Row],[Order_Date]],"mmm")</f>
        <v>Jan</v>
      </c>
      <c r="R1032">
        <f>MONTH(order_data[[#This Row],[Order_Date]])</f>
        <v>1</v>
      </c>
    </row>
    <row r="1033" spans="1:18" x14ac:dyDescent="0.35">
      <c r="A1033" t="s">
        <v>1701</v>
      </c>
      <c r="B1033" t="s">
        <v>23</v>
      </c>
      <c r="C1033" t="s">
        <v>1702</v>
      </c>
      <c r="D1033" t="s">
        <v>16</v>
      </c>
      <c r="E1033" t="s">
        <v>89</v>
      </c>
      <c r="F1033" t="s">
        <v>18</v>
      </c>
      <c r="G1033" t="s">
        <v>49</v>
      </c>
      <c r="H1033">
        <v>365</v>
      </c>
      <c r="I1033">
        <v>30</v>
      </c>
      <c r="J1033">
        <v>20</v>
      </c>
      <c r="K1033" t="s">
        <v>29</v>
      </c>
      <c r="L1033">
        <v>35</v>
      </c>
      <c r="M1033" t="s">
        <v>21</v>
      </c>
      <c r="N1033">
        <f>COUNTIF(order_data[Order_ID],order_data[[#This Row],[Order_ID]])</f>
        <v>1</v>
      </c>
      <c r="O1033">
        <f>order_data[[#This Row],[Order_Value]]-order_data[[#This Row],[Discount]]</f>
        <v>345</v>
      </c>
      <c r="P1033">
        <f>order_data[[#This Row],[Order_Value]]+order_data[[#This Row],[Delivery_Fee]]-order_data[[#This Row],[Discount]]</f>
        <v>375</v>
      </c>
      <c r="Q1033" t="str">
        <f>TEXT(order_data[[#This Row],[Order_Date]],"mmm")</f>
        <v>Mar</v>
      </c>
      <c r="R1033">
        <f>MONTH(order_data[[#This Row],[Order_Date]])</f>
        <v>3</v>
      </c>
    </row>
    <row r="1034" spans="1:18" x14ac:dyDescent="0.35">
      <c r="A1034" t="s">
        <v>1703</v>
      </c>
      <c r="B1034" t="s">
        <v>297</v>
      </c>
      <c r="C1034" t="s">
        <v>801</v>
      </c>
      <c r="D1034" t="s">
        <v>40</v>
      </c>
      <c r="E1034" t="s">
        <v>41</v>
      </c>
      <c r="F1034" t="s">
        <v>27</v>
      </c>
      <c r="G1034" t="s">
        <v>107</v>
      </c>
      <c r="H1034">
        <v>517</v>
      </c>
      <c r="I1034">
        <v>50</v>
      </c>
      <c r="J1034">
        <v>0</v>
      </c>
      <c r="K1034" t="s">
        <v>20</v>
      </c>
      <c r="L1034">
        <v>37</v>
      </c>
      <c r="M1034" t="s">
        <v>21</v>
      </c>
      <c r="N1034">
        <f>COUNTIF(order_data[Order_ID],order_data[[#This Row],[Order_ID]])</f>
        <v>1</v>
      </c>
      <c r="O1034">
        <f>order_data[[#This Row],[Order_Value]]-order_data[[#This Row],[Discount]]</f>
        <v>517</v>
      </c>
      <c r="P1034">
        <f>order_data[[#This Row],[Order_Value]]+order_data[[#This Row],[Delivery_Fee]]-order_data[[#This Row],[Discount]]</f>
        <v>567</v>
      </c>
      <c r="Q1034" t="str">
        <f>TEXT(order_data[[#This Row],[Order_Date]],"mmm")</f>
        <v>Feb</v>
      </c>
      <c r="R1034">
        <f>MONTH(order_data[[#This Row],[Order_Date]])</f>
        <v>2</v>
      </c>
    </row>
    <row r="1035" spans="1:18" x14ac:dyDescent="0.35">
      <c r="A1035" t="s">
        <v>1704</v>
      </c>
      <c r="B1035" t="s">
        <v>102</v>
      </c>
      <c r="C1035" t="s">
        <v>1705</v>
      </c>
      <c r="D1035" t="s">
        <v>46</v>
      </c>
      <c r="E1035" t="s">
        <v>47</v>
      </c>
      <c r="F1035" t="s">
        <v>48</v>
      </c>
      <c r="G1035" t="s">
        <v>28</v>
      </c>
      <c r="H1035">
        <v>687</v>
      </c>
      <c r="I1035">
        <v>40</v>
      </c>
      <c r="J1035">
        <v>0</v>
      </c>
      <c r="K1035" t="s">
        <v>29</v>
      </c>
      <c r="L1035">
        <v>55</v>
      </c>
      <c r="M1035" t="s">
        <v>21</v>
      </c>
      <c r="N1035">
        <f>COUNTIF(order_data[Order_ID],order_data[[#This Row],[Order_ID]])</f>
        <v>1</v>
      </c>
      <c r="O1035">
        <f>order_data[[#This Row],[Order_Value]]-order_data[[#This Row],[Discount]]</f>
        <v>687</v>
      </c>
      <c r="P1035">
        <f>order_data[[#This Row],[Order_Value]]+order_data[[#This Row],[Delivery_Fee]]-order_data[[#This Row],[Discount]]</f>
        <v>727</v>
      </c>
      <c r="Q1035" t="str">
        <f>TEXT(order_data[[#This Row],[Order_Date]],"mmm")</f>
        <v>Mar</v>
      </c>
      <c r="R1035">
        <f>MONTH(order_data[[#This Row],[Order_Date]])</f>
        <v>3</v>
      </c>
    </row>
    <row r="1036" spans="1:18" x14ac:dyDescent="0.35">
      <c r="A1036" t="s">
        <v>1706</v>
      </c>
      <c r="B1036" t="s">
        <v>154</v>
      </c>
      <c r="C1036" t="s">
        <v>1461</v>
      </c>
      <c r="D1036" t="s">
        <v>53</v>
      </c>
      <c r="E1036" t="s">
        <v>152</v>
      </c>
      <c r="F1036" t="s">
        <v>18</v>
      </c>
      <c r="G1036" t="s">
        <v>176</v>
      </c>
      <c r="H1036">
        <v>759</v>
      </c>
      <c r="I1036">
        <v>30</v>
      </c>
      <c r="J1036">
        <v>20</v>
      </c>
      <c r="K1036" t="s">
        <v>20</v>
      </c>
      <c r="L1036">
        <v>53</v>
      </c>
      <c r="M1036" t="s">
        <v>21</v>
      </c>
      <c r="N1036">
        <f>COUNTIF(order_data[Order_ID],order_data[[#This Row],[Order_ID]])</f>
        <v>1</v>
      </c>
      <c r="O1036">
        <f>order_data[[#This Row],[Order_Value]]-order_data[[#This Row],[Discount]]</f>
        <v>739</v>
      </c>
      <c r="P1036">
        <f>order_data[[#This Row],[Order_Value]]+order_data[[#This Row],[Delivery_Fee]]-order_data[[#This Row],[Discount]]</f>
        <v>769</v>
      </c>
      <c r="Q1036" t="str">
        <f>TEXT(order_data[[#This Row],[Order_Date]],"mmm")</f>
        <v>Jan</v>
      </c>
      <c r="R1036">
        <f>MONTH(order_data[[#This Row],[Order_Date]])</f>
        <v>1</v>
      </c>
    </row>
    <row r="1037" spans="1:18" x14ac:dyDescent="0.35">
      <c r="A1037" t="s">
        <v>1707</v>
      </c>
      <c r="B1037" t="s">
        <v>61</v>
      </c>
      <c r="C1037" t="s">
        <v>551</v>
      </c>
      <c r="D1037" t="s">
        <v>46</v>
      </c>
      <c r="E1037" t="s">
        <v>70</v>
      </c>
      <c r="F1037" t="s">
        <v>18</v>
      </c>
      <c r="G1037" t="s">
        <v>28</v>
      </c>
      <c r="H1037">
        <v>800</v>
      </c>
      <c r="I1037">
        <v>40</v>
      </c>
      <c r="J1037">
        <v>0</v>
      </c>
      <c r="K1037" t="s">
        <v>29</v>
      </c>
      <c r="L1037">
        <v>22</v>
      </c>
      <c r="M1037" t="s">
        <v>21</v>
      </c>
      <c r="N1037">
        <f>COUNTIF(order_data[Order_ID],order_data[[#This Row],[Order_ID]])</f>
        <v>1</v>
      </c>
      <c r="O1037">
        <f>order_data[[#This Row],[Order_Value]]-order_data[[#This Row],[Discount]]</f>
        <v>800</v>
      </c>
      <c r="P1037">
        <f>order_data[[#This Row],[Order_Value]]+order_data[[#This Row],[Delivery_Fee]]-order_data[[#This Row],[Discount]]</f>
        <v>840</v>
      </c>
      <c r="Q1037" t="str">
        <f>TEXT(order_data[[#This Row],[Order_Date]],"mmm")</f>
        <v>Jan</v>
      </c>
      <c r="R1037">
        <f>MONTH(order_data[[#This Row],[Order_Date]])</f>
        <v>1</v>
      </c>
    </row>
    <row r="1038" spans="1:18" x14ac:dyDescent="0.35">
      <c r="A1038" t="s">
        <v>1708</v>
      </c>
      <c r="B1038" t="s">
        <v>580</v>
      </c>
      <c r="C1038" t="s">
        <v>1206</v>
      </c>
      <c r="D1038" t="s">
        <v>53</v>
      </c>
      <c r="E1038" t="s">
        <v>84</v>
      </c>
      <c r="F1038" t="s">
        <v>85</v>
      </c>
      <c r="G1038" t="s">
        <v>74</v>
      </c>
      <c r="H1038">
        <v>341</v>
      </c>
      <c r="I1038">
        <v>20</v>
      </c>
      <c r="J1038">
        <v>100</v>
      </c>
      <c r="K1038" t="s">
        <v>20</v>
      </c>
      <c r="L1038">
        <v>31</v>
      </c>
      <c r="M1038" t="s">
        <v>30</v>
      </c>
      <c r="N1038">
        <f>COUNTIF(order_data[Order_ID],order_data[[#This Row],[Order_ID]])</f>
        <v>1</v>
      </c>
      <c r="O1038">
        <f>order_data[[#This Row],[Order_Value]]-order_data[[#This Row],[Discount]]</f>
        <v>241</v>
      </c>
      <c r="P1038">
        <f>order_data[[#This Row],[Order_Value]]+order_data[[#This Row],[Delivery_Fee]]-order_data[[#This Row],[Discount]]</f>
        <v>261</v>
      </c>
      <c r="Q1038" t="str">
        <f>TEXT(order_data[[#This Row],[Order_Date]],"mmm")</f>
        <v>Mar</v>
      </c>
      <c r="R1038">
        <f>MONTH(order_data[[#This Row],[Order_Date]])</f>
        <v>3</v>
      </c>
    </row>
    <row r="1039" spans="1:18" x14ac:dyDescent="0.35">
      <c r="A1039" t="s">
        <v>1709</v>
      </c>
      <c r="B1039" t="s">
        <v>241</v>
      </c>
      <c r="C1039" t="s">
        <v>1461</v>
      </c>
      <c r="D1039" t="s">
        <v>25</v>
      </c>
      <c r="E1039" t="s">
        <v>26</v>
      </c>
      <c r="F1039" t="s">
        <v>27</v>
      </c>
      <c r="G1039" t="s">
        <v>42</v>
      </c>
      <c r="H1039">
        <v>227</v>
      </c>
      <c r="I1039">
        <v>40</v>
      </c>
      <c r="J1039">
        <v>100</v>
      </c>
      <c r="K1039" t="s">
        <v>20</v>
      </c>
      <c r="L1039">
        <v>32</v>
      </c>
      <c r="M1039" t="s">
        <v>21</v>
      </c>
      <c r="N1039">
        <f>COUNTIF(order_data[Order_ID],order_data[[#This Row],[Order_ID]])</f>
        <v>1</v>
      </c>
      <c r="O1039">
        <f>order_data[[#This Row],[Order_Value]]-order_data[[#This Row],[Discount]]</f>
        <v>127</v>
      </c>
      <c r="P1039">
        <f>order_data[[#This Row],[Order_Value]]+order_data[[#This Row],[Delivery_Fee]]-order_data[[#This Row],[Discount]]</f>
        <v>167</v>
      </c>
      <c r="Q1039" t="str">
        <f>TEXT(order_data[[#This Row],[Order_Date]],"mmm")</f>
        <v>Mar</v>
      </c>
      <c r="R1039">
        <f>MONTH(order_data[[#This Row],[Order_Date]])</f>
        <v>3</v>
      </c>
    </row>
    <row r="1040" spans="1:18" x14ac:dyDescent="0.35">
      <c r="A1040" t="s">
        <v>1710</v>
      </c>
      <c r="B1040" t="s">
        <v>102</v>
      </c>
      <c r="C1040" t="s">
        <v>1711</v>
      </c>
      <c r="D1040" t="s">
        <v>25</v>
      </c>
      <c r="E1040" t="s">
        <v>26</v>
      </c>
      <c r="F1040" t="s">
        <v>27</v>
      </c>
      <c r="G1040" t="s">
        <v>28</v>
      </c>
      <c r="H1040">
        <v>620</v>
      </c>
      <c r="I1040">
        <v>30</v>
      </c>
      <c r="J1040">
        <v>20</v>
      </c>
      <c r="K1040" t="s">
        <v>20</v>
      </c>
      <c r="L1040">
        <v>21</v>
      </c>
      <c r="M1040" t="s">
        <v>21</v>
      </c>
      <c r="N1040">
        <f>COUNTIF(order_data[Order_ID],order_data[[#This Row],[Order_ID]])</f>
        <v>1</v>
      </c>
      <c r="O1040">
        <f>order_data[[#This Row],[Order_Value]]-order_data[[#This Row],[Discount]]</f>
        <v>600</v>
      </c>
      <c r="P1040">
        <f>order_data[[#This Row],[Order_Value]]+order_data[[#This Row],[Delivery_Fee]]-order_data[[#This Row],[Discount]]</f>
        <v>630</v>
      </c>
      <c r="Q1040" t="str">
        <f>TEXT(order_data[[#This Row],[Order_Date]],"mmm")</f>
        <v>Mar</v>
      </c>
      <c r="R1040">
        <f>MONTH(order_data[[#This Row],[Order_Date]])</f>
        <v>3</v>
      </c>
    </row>
    <row r="1041" spans="1:18" x14ac:dyDescent="0.35">
      <c r="A1041" t="s">
        <v>1712</v>
      </c>
      <c r="B1041" t="s">
        <v>398</v>
      </c>
      <c r="C1041" t="s">
        <v>708</v>
      </c>
      <c r="D1041" t="s">
        <v>16</v>
      </c>
      <c r="E1041" t="s">
        <v>89</v>
      </c>
      <c r="F1041" t="s">
        <v>18</v>
      </c>
      <c r="G1041" t="s">
        <v>19</v>
      </c>
      <c r="H1041">
        <v>183</v>
      </c>
      <c r="I1041">
        <v>20</v>
      </c>
      <c r="J1041">
        <v>0</v>
      </c>
      <c r="K1041" t="s">
        <v>36</v>
      </c>
      <c r="L1041">
        <v>36</v>
      </c>
      <c r="M1041" t="s">
        <v>21</v>
      </c>
      <c r="N1041">
        <f>COUNTIF(order_data[Order_ID],order_data[[#This Row],[Order_ID]])</f>
        <v>1</v>
      </c>
      <c r="O1041">
        <f>order_data[[#This Row],[Order_Value]]-order_data[[#This Row],[Discount]]</f>
        <v>183</v>
      </c>
      <c r="P1041">
        <f>order_data[[#This Row],[Order_Value]]+order_data[[#This Row],[Delivery_Fee]]-order_data[[#This Row],[Discount]]</f>
        <v>203</v>
      </c>
      <c r="Q1041" t="str">
        <f>TEXT(order_data[[#This Row],[Order_Date]],"mmm")</f>
        <v>Feb</v>
      </c>
      <c r="R1041">
        <f>MONTH(order_data[[#This Row],[Order_Date]])</f>
        <v>2</v>
      </c>
    </row>
    <row r="1042" spans="1:18" x14ac:dyDescent="0.35">
      <c r="A1042" t="s">
        <v>1713</v>
      </c>
      <c r="B1042" t="s">
        <v>273</v>
      </c>
      <c r="C1042" t="s">
        <v>1381</v>
      </c>
      <c r="D1042" t="s">
        <v>16</v>
      </c>
      <c r="E1042" t="s">
        <v>131</v>
      </c>
      <c r="F1042" t="s">
        <v>55</v>
      </c>
      <c r="G1042" t="s">
        <v>176</v>
      </c>
      <c r="H1042">
        <v>317</v>
      </c>
      <c r="I1042">
        <v>30</v>
      </c>
      <c r="J1042">
        <v>100</v>
      </c>
      <c r="K1042" t="s">
        <v>36</v>
      </c>
      <c r="L1042">
        <v>60</v>
      </c>
      <c r="M1042" t="s">
        <v>21</v>
      </c>
      <c r="N1042">
        <f>COUNTIF(order_data[Order_ID],order_data[[#This Row],[Order_ID]])</f>
        <v>1</v>
      </c>
      <c r="O1042">
        <f>order_data[[#This Row],[Order_Value]]-order_data[[#This Row],[Discount]]</f>
        <v>217</v>
      </c>
      <c r="P1042">
        <f>order_data[[#This Row],[Order_Value]]+order_data[[#This Row],[Delivery_Fee]]-order_data[[#This Row],[Discount]]</f>
        <v>247</v>
      </c>
      <c r="Q1042" t="str">
        <f>TEXT(order_data[[#This Row],[Order_Date]],"mmm")</f>
        <v>Mar</v>
      </c>
      <c r="R1042">
        <f>MONTH(order_data[[#This Row],[Order_Date]])</f>
        <v>3</v>
      </c>
    </row>
    <row r="1043" spans="1:18" x14ac:dyDescent="0.35">
      <c r="A1043" t="s">
        <v>1714</v>
      </c>
      <c r="B1043" t="s">
        <v>91</v>
      </c>
      <c r="C1043" t="s">
        <v>1108</v>
      </c>
      <c r="D1043" t="s">
        <v>25</v>
      </c>
      <c r="E1043" t="s">
        <v>26</v>
      </c>
      <c r="F1043" t="s">
        <v>27</v>
      </c>
      <c r="G1043" t="s">
        <v>42</v>
      </c>
      <c r="H1043">
        <v>324</v>
      </c>
      <c r="I1043">
        <v>40</v>
      </c>
      <c r="J1043">
        <v>50</v>
      </c>
      <c r="K1043" t="s">
        <v>29</v>
      </c>
      <c r="L1043">
        <v>42</v>
      </c>
      <c r="M1043" t="s">
        <v>21</v>
      </c>
      <c r="N1043">
        <f>COUNTIF(order_data[Order_ID],order_data[[#This Row],[Order_ID]])</f>
        <v>1</v>
      </c>
      <c r="O1043">
        <f>order_data[[#This Row],[Order_Value]]-order_data[[#This Row],[Discount]]</f>
        <v>274</v>
      </c>
      <c r="P1043">
        <f>order_data[[#This Row],[Order_Value]]+order_data[[#This Row],[Delivery_Fee]]-order_data[[#This Row],[Discount]]</f>
        <v>314</v>
      </c>
      <c r="Q1043" t="str">
        <f>TEXT(order_data[[#This Row],[Order_Date]],"mmm")</f>
        <v>Mar</v>
      </c>
      <c r="R1043">
        <f>MONTH(order_data[[#This Row],[Order_Date]])</f>
        <v>3</v>
      </c>
    </row>
    <row r="1044" spans="1:18" x14ac:dyDescent="0.35">
      <c r="A1044" t="s">
        <v>1715</v>
      </c>
      <c r="B1044" t="s">
        <v>241</v>
      </c>
      <c r="C1044" t="s">
        <v>858</v>
      </c>
      <c r="D1044" t="s">
        <v>46</v>
      </c>
      <c r="E1044" t="s">
        <v>70</v>
      </c>
      <c r="F1044" t="s">
        <v>18</v>
      </c>
      <c r="G1044" t="s">
        <v>63</v>
      </c>
      <c r="H1044">
        <v>332</v>
      </c>
      <c r="I1044">
        <v>20</v>
      </c>
      <c r="J1044">
        <v>50</v>
      </c>
      <c r="K1044" t="s">
        <v>36</v>
      </c>
      <c r="L1044">
        <v>24</v>
      </c>
      <c r="M1044" t="s">
        <v>21</v>
      </c>
      <c r="N1044">
        <f>COUNTIF(order_data[Order_ID],order_data[[#This Row],[Order_ID]])</f>
        <v>1</v>
      </c>
      <c r="O1044">
        <f>order_data[[#This Row],[Order_Value]]-order_data[[#This Row],[Discount]]</f>
        <v>282</v>
      </c>
      <c r="P1044">
        <f>order_data[[#This Row],[Order_Value]]+order_data[[#This Row],[Delivery_Fee]]-order_data[[#This Row],[Discount]]</f>
        <v>302</v>
      </c>
      <c r="Q1044" t="str">
        <f>TEXT(order_data[[#This Row],[Order_Date]],"mmm")</f>
        <v>Mar</v>
      </c>
      <c r="R1044">
        <f>MONTH(order_data[[#This Row],[Order_Date]])</f>
        <v>3</v>
      </c>
    </row>
    <row r="1045" spans="1:18" x14ac:dyDescent="0.35">
      <c r="A1045" t="s">
        <v>1716</v>
      </c>
      <c r="B1045" t="s">
        <v>213</v>
      </c>
      <c r="C1045" t="s">
        <v>610</v>
      </c>
      <c r="D1045" t="s">
        <v>25</v>
      </c>
      <c r="E1045" t="s">
        <v>78</v>
      </c>
      <c r="F1045" t="s">
        <v>48</v>
      </c>
      <c r="G1045" t="s">
        <v>28</v>
      </c>
      <c r="H1045">
        <v>556</v>
      </c>
      <c r="I1045">
        <v>20</v>
      </c>
      <c r="J1045">
        <v>0</v>
      </c>
      <c r="K1045" t="s">
        <v>36</v>
      </c>
      <c r="L1045">
        <v>36</v>
      </c>
      <c r="M1045" t="s">
        <v>30</v>
      </c>
      <c r="N1045">
        <f>COUNTIF(order_data[Order_ID],order_data[[#This Row],[Order_ID]])</f>
        <v>1</v>
      </c>
      <c r="O1045">
        <f>order_data[[#This Row],[Order_Value]]-order_data[[#This Row],[Discount]]</f>
        <v>556</v>
      </c>
      <c r="P1045">
        <f>order_data[[#This Row],[Order_Value]]+order_data[[#This Row],[Delivery_Fee]]-order_data[[#This Row],[Discount]]</f>
        <v>576</v>
      </c>
      <c r="Q1045" t="str">
        <f>TEXT(order_data[[#This Row],[Order_Date]],"mmm")</f>
        <v>Jan</v>
      </c>
      <c r="R1045">
        <f>MONTH(order_data[[#This Row],[Order_Date]])</f>
        <v>1</v>
      </c>
    </row>
    <row r="1046" spans="1:18" x14ac:dyDescent="0.35">
      <c r="A1046" t="s">
        <v>1717</v>
      </c>
      <c r="B1046" t="s">
        <v>223</v>
      </c>
      <c r="C1046" t="s">
        <v>828</v>
      </c>
      <c r="D1046" t="s">
        <v>46</v>
      </c>
      <c r="E1046" t="s">
        <v>47</v>
      </c>
      <c r="F1046" t="s">
        <v>48</v>
      </c>
      <c r="G1046" t="s">
        <v>28</v>
      </c>
      <c r="H1046">
        <v>177</v>
      </c>
      <c r="I1046">
        <v>30</v>
      </c>
      <c r="J1046">
        <v>20</v>
      </c>
      <c r="K1046" t="s">
        <v>29</v>
      </c>
      <c r="L1046">
        <v>30</v>
      </c>
      <c r="M1046" t="s">
        <v>21</v>
      </c>
      <c r="N1046">
        <f>COUNTIF(order_data[Order_ID],order_data[[#This Row],[Order_ID]])</f>
        <v>1</v>
      </c>
      <c r="O1046">
        <f>order_data[[#This Row],[Order_Value]]-order_data[[#This Row],[Discount]]</f>
        <v>157</v>
      </c>
      <c r="P1046">
        <f>order_data[[#This Row],[Order_Value]]+order_data[[#This Row],[Delivery_Fee]]-order_data[[#This Row],[Discount]]</f>
        <v>187</v>
      </c>
      <c r="Q1046" t="str">
        <f>TEXT(order_data[[#This Row],[Order_Date]],"mmm")</f>
        <v>Mar</v>
      </c>
      <c r="R1046">
        <f>MONTH(order_data[[#This Row],[Order_Date]])</f>
        <v>3</v>
      </c>
    </row>
    <row r="1047" spans="1:18" x14ac:dyDescent="0.35">
      <c r="A1047" t="s">
        <v>1718</v>
      </c>
      <c r="B1047" t="s">
        <v>368</v>
      </c>
      <c r="C1047" t="s">
        <v>543</v>
      </c>
      <c r="D1047" t="s">
        <v>16</v>
      </c>
      <c r="E1047" t="s">
        <v>89</v>
      </c>
      <c r="F1047" t="s">
        <v>18</v>
      </c>
      <c r="G1047" t="s">
        <v>107</v>
      </c>
      <c r="H1047">
        <v>151</v>
      </c>
      <c r="I1047">
        <v>40</v>
      </c>
      <c r="J1047">
        <v>30</v>
      </c>
      <c r="K1047" t="s">
        <v>20</v>
      </c>
      <c r="L1047">
        <v>52</v>
      </c>
      <c r="M1047" t="s">
        <v>21</v>
      </c>
      <c r="N1047">
        <f>COUNTIF(order_data[Order_ID],order_data[[#This Row],[Order_ID]])</f>
        <v>1</v>
      </c>
      <c r="O1047">
        <f>order_data[[#This Row],[Order_Value]]-order_data[[#This Row],[Discount]]</f>
        <v>121</v>
      </c>
      <c r="P1047">
        <f>order_data[[#This Row],[Order_Value]]+order_data[[#This Row],[Delivery_Fee]]-order_data[[#This Row],[Discount]]</f>
        <v>161</v>
      </c>
      <c r="Q1047" t="str">
        <f>TEXT(order_data[[#This Row],[Order_Date]],"mmm")</f>
        <v>Feb</v>
      </c>
      <c r="R1047">
        <f>MONTH(order_data[[#This Row],[Order_Date]])</f>
        <v>2</v>
      </c>
    </row>
    <row r="1048" spans="1:18" x14ac:dyDescent="0.35">
      <c r="A1048" t="s">
        <v>1719</v>
      </c>
      <c r="B1048" t="s">
        <v>189</v>
      </c>
      <c r="C1048" t="s">
        <v>1720</v>
      </c>
      <c r="D1048" t="s">
        <v>40</v>
      </c>
      <c r="E1048" t="s">
        <v>67</v>
      </c>
      <c r="F1048" t="s">
        <v>48</v>
      </c>
      <c r="G1048" t="s">
        <v>19</v>
      </c>
      <c r="H1048">
        <v>594</v>
      </c>
      <c r="I1048">
        <v>50</v>
      </c>
      <c r="J1048">
        <v>100</v>
      </c>
      <c r="K1048" t="s">
        <v>36</v>
      </c>
      <c r="L1048">
        <v>45</v>
      </c>
      <c r="M1048" t="s">
        <v>21</v>
      </c>
      <c r="N1048">
        <f>COUNTIF(order_data[Order_ID],order_data[[#This Row],[Order_ID]])</f>
        <v>1</v>
      </c>
      <c r="O1048">
        <f>order_data[[#This Row],[Order_Value]]-order_data[[#This Row],[Discount]]</f>
        <v>494</v>
      </c>
      <c r="P1048">
        <f>order_data[[#This Row],[Order_Value]]+order_data[[#This Row],[Delivery_Fee]]-order_data[[#This Row],[Discount]]</f>
        <v>544</v>
      </c>
      <c r="Q1048" t="str">
        <f>TEXT(order_data[[#This Row],[Order_Date]],"mmm")</f>
        <v>Feb</v>
      </c>
      <c r="R1048">
        <f>MONTH(order_data[[#This Row],[Order_Date]])</f>
        <v>2</v>
      </c>
    </row>
    <row r="1049" spans="1:18" x14ac:dyDescent="0.35">
      <c r="A1049" t="s">
        <v>1721</v>
      </c>
      <c r="B1049" t="s">
        <v>267</v>
      </c>
      <c r="C1049" t="s">
        <v>940</v>
      </c>
      <c r="D1049" t="s">
        <v>16</v>
      </c>
      <c r="E1049" t="s">
        <v>131</v>
      </c>
      <c r="F1049" t="s">
        <v>55</v>
      </c>
      <c r="G1049" t="s">
        <v>107</v>
      </c>
      <c r="H1049">
        <v>449</v>
      </c>
      <c r="I1049">
        <v>50</v>
      </c>
      <c r="J1049">
        <v>50</v>
      </c>
      <c r="K1049" t="s">
        <v>29</v>
      </c>
      <c r="L1049">
        <v>24</v>
      </c>
      <c r="M1049" t="s">
        <v>30</v>
      </c>
      <c r="N1049">
        <f>COUNTIF(order_data[Order_ID],order_data[[#This Row],[Order_ID]])</f>
        <v>1</v>
      </c>
      <c r="O1049">
        <f>order_data[[#This Row],[Order_Value]]-order_data[[#This Row],[Discount]]</f>
        <v>399</v>
      </c>
      <c r="P1049">
        <f>order_data[[#This Row],[Order_Value]]+order_data[[#This Row],[Delivery_Fee]]-order_data[[#This Row],[Discount]]</f>
        <v>449</v>
      </c>
      <c r="Q1049" t="str">
        <f>TEXT(order_data[[#This Row],[Order_Date]],"mmm")</f>
        <v>Jan</v>
      </c>
      <c r="R1049">
        <f>MONTH(order_data[[#This Row],[Order_Date]])</f>
        <v>1</v>
      </c>
    </row>
    <row r="1050" spans="1:18" x14ac:dyDescent="0.35">
      <c r="A1050" t="s">
        <v>1722</v>
      </c>
      <c r="B1050" t="s">
        <v>271</v>
      </c>
      <c r="C1050" t="s">
        <v>253</v>
      </c>
      <c r="D1050" t="s">
        <v>46</v>
      </c>
      <c r="E1050" t="s">
        <v>47</v>
      </c>
      <c r="F1050" t="s">
        <v>48</v>
      </c>
      <c r="G1050" t="s">
        <v>49</v>
      </c>
      <c r="H1050">
        <v>681</v>
      </c>
      <c r="I1050">
        <v>40</v>
      </c>
      <c r="J1050">
        <v>100</v>
      </c>
      <c r="K1050" t="s">
        <v>36</v>
      </c>
      <c r="L1050">
        <v>30</v>
      </c>
      <c r="M1050" t="s">
        <v>21</v>
      </c>
      <c r="N1050">
        <f>COUNTIF(order_data[Order_ID],order_data[[#This Row],[Order_ID]])</f>
        <v>1</v>
      </c>
      <c r="O1050">
        <f>order_data[[#This Row],[Order_Value]]-order_data[[#This Row],[Discount]]</f>
        <v>581</v>
      </c>
      <c r="P1050">
        <f>order_data[[#This Row],[Order_Value]]+order_data[[#This Row],[Delivery_Fee]]-order_data[[#This Row],[Discount]]</f>
        <v>621</v>
      </c>
      <c r="Q1050" t="str">
        <f>TEXT(order_data[[#This Row],[Order_Date]],"mmm")</f>
        <v>Jan</v>
      </c>
      <c r="R1050">
        <f>MONTH(order_data[[#This Row],[Order_Date]])</f>
        <v>1</v>
      </c>
    </row>
    <row r="1051" spans="1:18" x14ac:dyDescent="0.35">
      <c r="A1051" t="s">
        <v>1723</v>
      </c>
      <c r="B1051" t="s">
        <v>657</v>
      </c>
      <c r="C1051" t="s">
        <v>686</v>
      </c>
      <c r="D1051" t="s">
        <v>46</v>
      </c>
      <c r="E1051" t="s">
        <v>148</v>
      </c>
      <c r="F1051" t="s">
        <v>27</v>
      </c>
      <c r="G1051" t="s">
        <v>107</v>
      </c>
      <c r="H1051">
        <v>539</v>
      </c>
      <c r="I1051">
        <v>50</v>
      </c>
      <c r="J1051">
        <v>50</v>
      </c>
      <c r="K1051" t="s">
        <v>20</v>
      </c>
      <c r="L1051">
        <v>40</v>
      </c>
      <c r="M1051" t="s">
        <v>21</v>
      </c>
      <c r="N1051">
        <f>COUNTIF(order_data[Order_ID],order_data[[#This Row],[Order_ID]])</f>
        <v>1</v>
      </c>
      <c r="O1051">
        <f>order_data[[#This Row],[Order_Value]]-order_data[[#This Row],[Discount]]</f>
        <v>489</v>
      </c>
      <c r="P1051">
        <f>order_data[[#This Row],[Order_Value]]+order_data[[#This Row],[Delivery_Fee]]-order_data[[#This Row],[Discount]]</f>
        <v>539</v>
      </c>
      <c r="Q1051" t="str">
        <f>TEXT(order_data[[#This Row],[Order_Date]],"mmm")</f>
        <v>Jan</v>
      </c>
      <c r="R1051">
        <f>MONTH(order_data[[#This Row],[Order_Date]])</f>
        <v>1</v>
      </c>
    </row>
    <row r="1052" spans="1:18" x14ac:dyDescent="0.35">
      <c r="A1052" t="s">
        <v>1724</v>
      </c>
      <c r="B1052" t="s">
        <v>174</v>
      </c>
      <c r="C1052" t="s">
        <v>1725</v>
      </c>
      <c r="D1052" t="s">
        <v>53</v>
      </c>
      <c r="E1052" t="s">
        <v>54</v>
      </c>
      <c r="F1052" t="s">
        <v>55</v>
      </c>
      <c r="G1052" t="s">
        <v>176</v>
      </c>
      <c r="H1052">
        <v>383</v>
      </c>
      <c r="I1052">
        <v>20</v>
      </c>
      <c r="J1052">
        <v>50</v>
      </c>
      <c r="K1052" t="s">
        <v>20</v>
      </c>
      <c r="L1052">
        <v>23</v>
      </c>
      <c r="M1052" t="s">
        <v>21</v>
      </c>
      <c r="N1052">
        <f>COUNTIF(order_data[Order_ID],order_data[[#This Row],[Order_ID]])</f>
        <v>1</v>
      </c>
      <c r="O1052">
        <f>order_data[[#This Row],[Order_Value]]-order_data[[#This Row],[Discount]]</f>
        <v>333</v>
      </c>
      <c r="P1052">
        <f>order_data[[#This Row],[Order_Value]]+order_data[[#This Row],[Delivery_Fee]]-order_data[[#This Row],[Discount]]</f>
        <v>353</v>
      </c>
      <c r="Q1052" t="str">
        <f>TEXT(order_data[[#This Row],[Order_Date]],"mmm")</f>
        <v>Feb</v>
      </c>
      <c r="R1052">
        <f>MONTH(order_data[[#This Row],[Order_Date]])</f>
        <v>2</v>
      </c>
    </row>
    <row r="1053" spans="1:18" x14ac:dyDescent="0.35">
      <c r="A1053" t="s">
        <v>1726</v>
      </c>
      <c r="B1053" t="s">
        <v>189</v>
      </c>
      <c r="C1053" t="s">
        <v>640</v>
      </c>
      <c r="D1053" t="s">
        <v>53</v>
      </c>
      <c r="E1053" t="s">
        <v>54</v>
      </c>
      <c r="F1053" t="s">
        <v>55</v>
      </c>
      <c r="G1053" t="s">
        <v>59</v>
      </c>
      <c r="H1053">
        <v>419</v>
      </c>
      <c r="I1053">
        <v>30</v>
      </c>
      <c r="J1053">
        <v>0</v>
      </c>
      <c r="K1053" t="s">
        <v>36</v>
      </c>
      <c r="L1053">
        <v>29</v>
      </c>
      <c r="M1053" t="s">
        <v>30</v>
      </c>
      <c r="N1053">
        <f>COUNTIF(order_data[Order_ID],order_data[[#This Row],[Order_ID]])</f>
        <v>1</v>
      </c>
      <c r="O1053">
        <f>order_data[[#This Row],[Order_Value]]-order_data[[#This Row],[Discount]]</f>
        <v>419</v>
      </c>
      <c r="P1053">
        <f>order_data[[#This Row],[Order_Value]]+order_data[[#This Row],[Delivery_Fee]]-order_data[[#This Row],[Discount]]</f>
        <v>449</v>
      </c>
      <c r="Q1053" t="str">
        <f>TEXT(order_data[[#This Row],[Order_Date]],"mmm")</f>
        <v>Feb</v>
      </c>
      <c r="R1053">
        <f>MONTH(order_data[[#This Row],[Order_Date]])</f>
        <v>2</v>
      </c>
    </row>
    <row r="1054" spans="1:18" x14ac:dyDescent="0.35">
      <c r="A1054" t="s">
        <v>1727</v>
      </c>
      <c r="B1054" t="s">
        <v>226</v>
      </c>
      <c r="C1054" t="s">
        <v>1406</v>
      </c>
      <c r="D1054" t="s">
        <v>16</v>
      </c>
      <c r="E1054" t="s">
        <v>17</v>
      </c>
      <c r="F1054" t="s">
        <v>18</v>
      </c>
      <c r="G1054" t="s">
        <v>63</v>
      </c>
      <c r="H1054">
        <v>700</v>
      </c>
      <c r="I1054">
        <v>50</v>
      </c>
      <c r="J1054">
        <v>30</v>
      </c>
      <c r="K1054" t="s">
        <v>29</v>
      </c>
      <c r="L1054">
        <v>28</v>
      </c>
      <c r="M1054" t="s">
        <v>21</v>
      </c>
      <c r="N1054">
        <f>COUNTIF(order_data[Order_ID],order_data[[#This Row],[Order_ID]])</f>
        <v>1</v>
      </c>
      <c r="O1054">
        <f>order_data[[#This Row],[Order_Value]]-order_data[[#This Row],[Discount]]</f>
        <v>670</v>
      </c>
      <c r="P1054">
        <f>order_data[[#This Row],[Order_Value]]+order_data[[#This Row],[Delivery_Fee]]-order_data[[#This Row],[Discount]]</f>
        <v>720</v>
      </c>
      <c r="Q1054" t="str">
        <f>TEXT(order_data[[#This Row],[Order_Date]],"mmm")</f>
        <v>Jan</v>
      </c>
      <c r="R1054">
        <f>MONTH(order_data[[#This Row],[Order_Date]])</f>
        <v>1</v>
      </c>
    </row>
    <row r="1055" spans="1:18" x14ac:dyDescent="0.35">
      <c r="A1055" t="s">
        <v>1728</v>
      </c>
      <c r="B1055" t="s">
        <v>241</v>
      </c>
      <c r="C1055" t="s">
        <v>1295</v>
      </c>
      <c r="D1055" t="s">
        <v>40</v>
      </c>
      <c r="E1055" t="s">
        <v>41</v>
      </c>
      <c r="F1055" t="s">
        <v>27</v>
      </c>
      <c r="G1055" t="s">
        <v>19</v>
      </c>
      <c r="H1055">
        <v>374</v>
      </c>
      <c r="I1055">
        <v>50</v>
      </c>
      <c r="J1055">
        <v>50</v>
      </c>
      <c r="K1055" t="s">
        <v>29</v>
      </c>
      <c r="L1055">
        <v>50</v>
      </c>
      <c r="M1055" t="s">
        <v>21</v>
      </c>
      <c r="N1055">
        <f>COUNTIF(order_data[Order_ID],order_data[[#This Row],[Order_ID]])</f>
        <v>1</v>
      </c>
      <c r="O1055">
        <f>order_data[[#This Row],[Order_Value]]-order_data[[#This Row],[Discount]]</f>
        <v>324</v>
      </c>
      <c r="P1055">
        <f>order_data[[#This Row],[Order_Value]]+order_data[[#This Row],[Delivery_Fee]]-order_data[[#This Row],[Discount]]</f>
        <v>374</v>
      </c>
      <c r="Q1055" t="str">
        <f>TEXT(order_data[[#This Row],[Order_Date]],"mmm")</f>
        <v>Mar</v>
      </c>
      <c r="R1055">
        <f>MONTH(order_data[[#This Row],[Order_Date]])</f>
        <v>3</v>
      </c>
    </row>
    <row r="1056" spans="1:18" x14ac:dyDescent="0.35">
      <c r="A1056" t="s">
        <v>1729</v>
      </c>
      <c r="B1056" t="s">
        <v>568</v>
      </c>
      <c r="C1056" t="s">
        <v>604</v>
      </c>
      <c r="D1056" t="s">
        <v>25</v>
      </c>
      <c r="E1056" t="s">
        <v>78</v>
      </c>
      <c r="F1056" t="s">
        <v>48</v>
      </c>
      <c r="G1056" t="s">
        <v>74</v>
      </c>
      <c r="H1056">
        <v>310</v>
      </c>
      <c r="I1056">
        <v>30</v>
      </c>
      <c r="J1056">
        <v>100</v>
      </c>
      <c r="K1056" t="s">
        <v>36</v>
      </c>
      <c r="L1056">
        <v>22</v>
      </c>
      <c r="M1056" t="s">
        <v>21</v>
      </c>
      <c r="N1056">
        <f>COUNTIF(order_data[Order_ID],order_data[[#This Row],[Order_ID]])</f>
        <v>1</v>
      </c>
      <c r="O1056">
        <f>order_data[[#This Row],[Order_Value]]-order_data[[#This Row],[Discount]]</f>
        <v>210</v>
      </c>
      <c r="P1056">
        <f>order_data[[#This Row],[Order_Value]]+order_data[[#This Row],[Delivery_Fee]]-order_data[[#This Row],[Discount]]</f>
        <v>240</v>
      </c>
      <c r="Q1056" t="str">
        <f>TEXT(order_data[[#This Row],[Order_Date]],"mmm")</f>
        <v>Mar</v>
      </c>
      <c r="R1056">
        <f>MONTH(order_data[[#This Row],[Order_Date]])</f>
        <v>3</v>
      </c>
    </row>
    <row r="1057" spans="1:18" x14ac:dyDescent="0.35">
      <c r="A1057" t="s">
        <v>1730</v>
      </c>
      <c r="B1057" t="s">
        <v>129</v>
      </c>
      <c r="C1057" t="s">
        <v>455</v>
      </c>
      <c r="D1057" t="s">
        <v>40</v>
      </c>
      <c r="E1057" t="s">
        <v>111</v>
      </c>
      <c r="F1057" t="s">
        <v>18</v>
      </c>
      <c r="G1057" t="s">
        <v>176</v>
      </c>
      <c r="H1057">
        <v>705</v>
      </c>
      <c r="I1057">
        <v>40</v>
      </c>
      <c r="J1057">
        <v>50</v>
      </c>
      <c r="K1057" t="s">
        <v>20</v>
      </c>
      <c r="L1057">
        <v>34</v>
      </c>
      <c r="M1057" t="s">
        <v>21</v>
      </c>
      <c r="N1057">
        <f>COUNTIF(order_data[Order_ID],order_data[[#This Row],[Order_ID]])</f>
        <v>1</v>
      </c>
      <c r="O1057">
        <f>order_data[[#This Row],[Order_Value]]-order_data[[#This Row],[Discount]]</f>
        <v>655</v>
      </c>
      <c r="P1057">
        <f>order_data[[#This Row],[Order_Value]]+order_data[[#This Row],[Delivery_Fee]]-order_data[[#This Row],[Discount]]</f>
        <v>695</v>
      </c>
      <c r="Q1057" t="str">
        <f>TEXT(order_data[[#This Row],[Order_Date]],"mmm")</f>
        <v>Feb</v>
      </c>
      <c r="R1057">
        <f>MONTH(order_data[[#This Row],[Order_Date]])</f>
        <v>2</v>
      </c>
    </row>
    <row r="1058" spans="1:18" x14ac:dyDescent="0.35">
      <c r="A1058" t="s">
        <v>1731</v>
      </c>
      <c r="B1058" t="s">
        <v>61</v>
      </c>
      <c r="C1058" t="s">
        <v>886</v>
      </c>
      <c r="D1058" t="s">
        <v>40</v>
      </c>
      <c r="E1058" t="s">
        <v>41</v>
      </c>
      <c r="F1058" t="s">
        <v>27</v>
      </c>
      <c r="G1058" t="s">
        <v>49</v>
      </c>
      <c r="H1058">
        <v>608</v>
      </c>
      <c r="I1058">
        <v>50</v>
      </c>
      <c r="J1058">
        <v>20</v>
      </c>
      <c r="K1058" t="s">
        <v>20</v>
      </c>
      <c r="L1058">
        <v>26</v>
      </c>
      <c r="M1058" t="s">
        <v>30</v>
      </c>
      <c r="N1058">
        <f>COUNTIF(order_data[Order_ID],order_data[[#This Row],[Order_ID]])</f>
        <v>1</v>
      </c>
      <c r="O1058">
        <f>order_data[[#This Row],[Order_Value]]-order_data[[#This Row],[Discount]]</f>
        <v>588</v>
      </c>
      <c r="P1058">
        <f>order_data[[#This Row],[Order_Value]]+order_data[[#This Row],[Delivery_Fee]]-order_data[[#This Row],[Discount]]</f>
        <v>638</v>
      </c>
      <c r="Q1058" t="str">
        <f>TEXT(order_data[[#This Row],[Order_Date]],"mmm")</f>
        <v>Jan</v>
      </c>
      <c r="R1058">
        <f>MONTH(order_data[[#This Row],[Order_Date]])</f>
        <v>1</v>
      </c>
    </row>
    <row r="1059" spans="1:18" x14ac:dyDescent="0.35">
      <c r="A1059" t="s">
        <v>1732</v>
      </c>
      <c r="B1059" t="s">
        <v>273</v>
      </c>
      <c r="C1059" t="s">
        <v>88</v>
      </c>
      <c r="D1059" t="s">
        <v>40</v>
      </c>
      <c r="E1059" t="s">
        <v>41</v>
      </c>
      <c r="F1059" t="s">
        <v>27</v>
      </c>
      <c r="G1059" t="s">
        <v>59</v>
      </c>
      <c r="H1059">
        <v>654</v>
      </c>
      <c r="I1059">
        <v>20</v>
      </c>
      <c r="J1059">
        <v>30</v>
      </c>
      <c r="K1059" t="s">
        <v>20</v>
      </c>
      <c r="L1059">
        <v>26</v>
      </c>
      <c r="M1059" t="s">
        <v>21</v>
      </c>
      <c r="N1059">
        <f>COUNTIF(order_data[Order_ID],order_data[[#This Row],[Order_ID]])</f>
        <v>1</v>
      </c>
      <c r="O1059">
        <f>order_data[[#This Row],[Order_Value]]-order_data[[#This Row],[Discount]]</f>
        <v>624</v>
      </c>
      <c r="P1059">
        <f>order_data[[#This Row],[Order_Value]]+order_data[[#This Row],[Delivery_Fee]]-order_data[[#This Row],[Discount]]</f>
        <v>644</v>
      </c>
      <c r="Q1059" t="str">
        <f>TEXT(order_data[[#This Row],[Order_Date]],"mmm")</f>
        <v>Mar</v>
      </c>
      <c r="R1059">
        <f>MONTH(order_data[[#This Row],[Order_Date]])</f>
        <v>3</v>
      </c>
    </row>
    <row r="1060" spans="1:18" x14ac:dyDescent="0.35">
      <c r="A1060" t="s">
        <v>1733</v>
      </c>
      <c r="B1060" t="s">
        <v>562</v>
      </c>
      <c r="C1060" t="s">
        <v>1658</v>
      </c>
      <c r="D1060" t="s">
        <v>46</v>
      </c>
      <c r="E1060" t="s">
        <v>148</v>
      </c>
      <c r="F1060" t="s">
        <v>27</v>
      </c>
      <c r="G1060" t="s">
        <v>107</v>
      </c>
      <c r="H1060">
        <v>150</v>
      </c>
      <c r="I1060">
        <v>20</v>
      </c>
      <c r="J1060">
        <v>100</v>
      </c>
      <c r="K1060" t="s">
        <v>20</v>
      </c>
      <c r="L1060">
        <v>29</v>
      </c>
      <c r="M1060" t="s">
        <v>21</v>
      </c>
      <c r="N1060">
        <f>COUNTIF(order_data[Order_ID],order_data[[#This Row],[Order_ID]])</f>
        <v>1</v>
      </c>
      <c r="O1060">
        <f>order_data[[#This Row],[Order_Value]]-order_data[[#This Row],[Discount]]</f>
        <v>50</v>
      </c>
      <c r="P1060">
        <f>order_data[[#This Row],[Order_Value]]+order_data[[#This Row],[Delivery_Fee]]-order_data[[#This Row],[Discount]]</f>
        <v>70</v>
      </c>
      <c r="Q1060" t="str">
        <f>TEXT(order_data[[#This Row],[Order_Date]],"mmm")</f>
        <v>Feb</v>
      </c>
      <c r="R1060">
        <f>MONTH(order_data[[#This Row],[Order_Date]])</f>
        <v>2</v>
      </c>
    </row>
    <row r="1061" spans="1:18" x14ac:dyDescent="0.35">
      <c r="A1061" t="s">
        <v>1734</v>
      </c>
      <c r="B1061" t="s">
        <v>154</v>
      </c>
      <c r="C1061" t="s">
        <v>1621</v>
      </c>
      <c r="D1061" t="s">
        <v>25</v>
      </c>
      <c r="E1061" t="s">
        <v>26</v>
      </c>
      <c r="F1061" t="s">
        <v>27</v>
      </c>
      <c r="G1061" t="s">
        <v>28</v>
      </c>
      <c r="H1061">
        <v>430</v>
      </c>
      <c r="I1061">
        <v>40</v>
      </c>
      <c r="J1061">
        <v>30</v>
      </c>
      <c r="K1061" t="s">
        <v>29</v>
      </c>
      <c r="L1061">
        <v>60</v>
      </c>
      <c r="M1061" t="s">
        <v>21</v>
      </c>
      <c r="N1061">
        <f>COUNTIF(order_data[Order_ID],order_data[[#This Row],[Order_ID]])</f>
        <v>1</v>
      </c>
      <c r="O1061">
        <f>order_data[[#This Row],[Order_Value]]-order_data[[#This Row],[Discount]]</f>
        <v>400</v>
      </c>
      <c r="P1061">
        <f>order_data[[#This Row],[Order_Value]]+order_data[[#This Row],[Delivery_Fee]]-order_data[[#This Row],[Discount]]</f>
        <v>440</v>
      </c>
      <c r="Q1061" t="str">
        <f>TEXT(order_data[[#This Row],[Order_Date]],"mmm")</f>
        <v>Jan</v>
      </c>
      <c r="R1061">
        <f>MONTH(order_data[[#This Row],[Order_Date]])</f>
        <v>1</v>
      </c>
    </row>
    <row r="1062" spans="1:18" x14ac:dyDescent="0.35">
      <c r="A1062" t="s">
        <v>1735</v>
      </c>
      <c r="B1062" t="s">
        <v>72</v>
      </c>
      <c r="C1062" t="s">
        <v>377</v>
      </c>
      <c r="D1062" t="s">
        <v>53</v>
      </c>
      <c r="E1062" t="s">
        <v>84</v>
      </c>
      <c r="F1062" t="s">
        <v>85</v>
      </c>
      <c r="G1062" t="s">
        <v>28</v>
      </c>
      <c r="H1062">
        <v>726</v>
      </c>
      <c r="I1062">
        <v>30</v>
      </c>
      <c r="J1062">
        <v>50</v>
      </c>
      <c r="K1062" t="s">
        <v>36</v>
      </c>
      <c r="L1062">
        <v>52</v>
      </c>
      <c r="M1062" t="s">
        <v>21</v>
      </c>
      <c r="N1062">
        <f>COUNTIF(order_data[Order_ID],order_data[[#This Row],[Order_ID]])</f>
        <v>1</v>
      </c>
      <c r="O1062">
        <f>order_data[[#This Row],[Order_Value]]-order_data[[#This Row],[Discount]]</f>
        <v>676</v>
      </c>
      <c r="P1062">
        <f>order_data[[#This Row],[Order_Value]]+order_data[[#This Row],[Delivery_Fee]]-order_data[[#This Row],[Discount]]</f>
        <v>706</v>
      </c>
      <c r="Q1062" t="str">
        <f>TEXT(order_data[[#This Row],[Order_Date]],"mmm")</f>
        <v>Jan</v>
      </c>
      <c r="R1062">
        <f>MONTH(order_data[[#This Row],[Order_Date]])</f>
        <v>1</v>
      </c>
    </row>
    <row r="1063" spans="1:18" x14ac:dyDescent="0.35">
      <c r="A1063" t="s">
        <v>1736</v>
      </c>
      <c r="B1063" t="s">
        <v>241</v>
      </c>
      <c r="C1063" t="s">
        <v>937</v>
      </c>
      <c r="D1063" t="s">
        <v>40</v>
      </c>
      <c r="E1063" t="s">
        <v>41</v>
      </c>
      <c r="F1063" t="s">
        <v>27</v>
      </c>
      <c r="G1063" t="s">
        <v>176</v>
      </c>
      <c r="H1063">
        <v>660</v>
      </c>
      <c r="I1063">
        <v>50</v>
      </c>
      <c r="J1063">
        <v>30</v>
      </c>
      <c r="K1063" t="s">
        <v>29</v>
      </c>
      <c r="L1063">
        <v>37</v>
      </c>
      <c r="M1063" t="s">
        <v>21</v>
      </c>
      <c r="N1063">
        <f>COUNTIF(order_data[Order_ID],order_data[[#This Row],[Order_ID]])</f>
        <v>1</v>
      </c>
      <c r="O1063">
        <f>order_data[[#This Row],[Order_Value]]-order_data[[#This Row],[Discount]]</f>
        <v>630</v>
      </c>
      <c r="P1063">
        <f>order_data[[#This Row],[Order_Value]]+order_data[[#This Row],[Delivery_Fee]]-order_data[[#This Row],[Discount]]</f>
        <v>680</v>
      </c>
      <c r="Q1063" t="str">
        <f>TEXT(order_data[[#This Row],[Order_Date]],"mmm")</f>
        <v>Mar</v>
      </c>
      <c r="R1063">
        <f>MONTH(order_data[[#This Row],[Order_Date]])</f>
        <v>3</v>
      </c>
    </row>
    <row r="1064" spans="1:18" x14ac:dyDescent="0.35">
      <c r="A1064" t="s">
        <v>1737</v>
      </c>
      <c r="B1064" t="s">
        <v>146</v>
      </c>
      <c r="C1064" t="s">
        <v>1264</v>
      </c>
      <c r="D1064" t="s">
        <v>16</v>
      </c>
      <c r="E1064" t="s">
        <v>131</v>
      </c>
      <c r="F1064" t="s">
        <v>55</v>
      </c>
      <c r="G1064" t="s">
        <v>19</v>
      </c>
      <c r="H1064">
        <v>200</v>
      </c>
      <c r="I1064">
        <v>30</v>
      </c>
      <c r="J1064">
        <v>30</v>
      </c>
      <c r="K1064" t="s">
        <v>20</v>
      </c>
      <c r="L1064">
        <v>57</v>
      </c>
      <c r="M1064" t="s">
        <v>21</v>
      </c>
      <c r="N1064">
        <f>COUNTIF(order_data[Order_ID],order_data[[#This Row],[Order_ID]])</f>
        <v>1</v>
      </c>
      <c r="O1064">
        <f>order_data[[#This Row],[Order_Value]]-order_data[[#This Row],[Discount]]</f>
        <v>170</v>
      </c>
      <c r="P1064">
        <f>order_data[[#This Row],[Order_Value]]+order_data[[#This Row],[Delivery_Fee]]-order_data[[#This Row],[Discount]]</f>
        <v>200</v>
      </c>
      <c r="Q1064" t="str">
        <f>TEXT(order_data[[#This Row],[Order_Date]],"mmm")</f>
        <v>Feb</v>
      </c>
      <c r="R1064">
        <f>MONTH(order_data[[#This Row],[Order_Date]])</f>
        <v>2</v>
      </c>
    </row>
    <row r="1065" spans="1:18" x14ac:dyDescent="0.35">
      <c r="A1065" t="s">
        <v>1738</v>
      </c>
      <c r="B1065" t="s">
        <v>99</v>
      </c>
      <c r="C1065" t="s">
        <v>924</v>
      </c>
      <c r="D1065" t="s">
        <v>40</v>
      </c>
      <c r="E1065" t="s">
        <v>41</v>
      </c>
      <c r="F1065" t="s">
        <v>27</v>
      </c>
      <c r="G1065" t="s">
        <v>35</v>
      </c>
      <c r="H1065">
        <v>786</v>
      </c>
      <c r="I1065">
        <v>20</v>
      </c>
      <c r="J1065">
        <v>20</v>
      </c>
      <c r="K1065" t="s">
        <v>36</v>
      </c>
      <c r="L1065">
        <v>46</v>
      </c>
      <c r="M1065" t="s">
        <v>21</v>
      </c>
      <c r="N1065">
        <f>COUNTIF(order_data[Order_ID],order_data[[#This Row],[Order_ID]])</f>
        <v>1</v>
      </c>
      <c r="O1065">
        <f>order_data[[#This Row],[Order_Value]]-order_data[[#This Row],[Discount]]</f>
        <v>766</v>
      </c>
      <c r="P1065">
        <f>order_data[[#This Row],[Order_Value]]+order_data[[#This Row],[Delivery_Fee]]-order_data[[#This Row],[Discount]]</f>
        <v>786</v>
      </c>
      <c r="Q1065" t="str">
        <f>TEXT(order_data[[#This Row],[Order_Date]],"mmm")</f>
        <v>Mar</v>
      </c>
      <c r="R1065">
        <f>MONTH(order_data[[#This Row],[Order_Date]])</f>
        <v>3</v>
      </c>
    </row>
    <row r="1066" spans="1:18" x14ac:dyDescent="0.35">
      <c r="A1066" t="s">
        <v>1739</v>
      </c>
      <c r="B1066" t="s">
        <v>247</v>
      </c>
      <c r="C1066" t="s">
        <v>1162</v>
      </c>
      <c r="D1066" t="s">
        <v>16</v>
      </c>
      <c r="E1066" t="s">
        <v>131</v>
      </c>
      <c r="F1066" t="s">
        <v>55</v>
      </c>
      <c r="G1066" t="s">
        <v>42</v>
      </c>
      <c r="H1066">
        <v>455</v>
      </c>
      <c r="I1066">
        <v>40</v>
      </c>
      <c r="J1066">
        <v>30</v>
      </c>
      <c r="K1066" t="s">
        <v>29</v>
      </c>
      <c r="L1066">
        <v>48</v>
      </c>
      <c r="M1066" t="s">
        <v>21</v>
      </c>
      <c r="N1066">
        <f>COUNTIF(order_data[Order_ID],order_data[[#This Row],[Order_ID]])</f>
        <v>1</v>
      </c>
      <c r="O1066">
        <f>order_data[[#This Row],[Order_Value]]-order_data[[#This Row],[Discount]]</f>
        <v>425</v>
      </c>
      <c r="P1066">
        <f>order_data[[#This Row],[Order_Value]]+order_data[[#This Row],[Delivery_Fee]]-order_data[[#This Row],[Discount]]</f>
        <v>465</v>
      </c>
      <c r="Q1066" t="str">
        <f>TEXT(order_data[[#This Row],[Order_Date]],"mmm")</f>
        <v>Mar</v>
      </c>
      <c r="R1066">
        <f>MONTH(order_data[[#This Row],[Order_Date]])</f>
        <v>3</v>
      </c>
    </row>
    <row r="1067" spans="1:18" x14ac:dyDescent="0.35">
      <c r="A1067" t="s">
        <v>1740</v>
      </c>
      <c r="B1067" t="s">
        <v>252</v>
      </c>
      <c r="C1067" t="s">
        <v>1741</v>
      </c>
      <c r="D1067" t="s">
        <v>40</v>
      </c>
      <c r="E1067" t="s">
        <v>67</v>
      </c>
      <c r="F1067" t="s">
        <v>48</v>
      </c>
      <c r="G1067" t="s">
        <v>28</v>
      </c>
      <c r="H1067">
        <v>640</v>
      </c>
      <c r="I1067">
        <v>50</v>
      </c>
      <c r="J1067">
        <v>20</v>
      </c>
      <c r="K1067" t="s">
        <v>20</v>
      </c>
      <c r="L1067">
        <v>44</v>
      </c>
      <c r="M1067" t="s">
        <v>21</v>
      </c>
      <c r="N1067">
        <f>COUNTIF(order_data[Order_ID],order_data[[#This Row],[Order_ID]])</f>
        <v>1</v>
      </c>
      <c r="O1067">
        <f>order_data[[#This Row],[Order_Value]]-order_data[[#This Row],[Discount]]</f>
        <v>620</v>
      </c>
      <c r="P1067">
        <f>order_data[[#This Row],[Order_Value]]+order_data[[#This Row],[Delivery_Fee]]-order_data[[#This Row],[Discount]]</f>
        <v>670</v>
      </c>
      <c r="Q1067" t="str">
        <f>TEXT(order_data[[#This Row],[Order_Date]],"mmm")</f>
        <v>Jan</v>
      </c>
      <c r="R1067">
        <f>MONTH(order_data[[#This Row],[Order_Date]])</f>
        <v>1</v>
      </c>
    </row>
    <row r="1068" spans="1:18" x14ac:dyDescent="0.35">
      <c r="A1068" t="s">
        <v>1742</v>
      </c>
      <c r="B1068" t="s">
        <v>244</v>
      </c>
      <c r="C1068" t="s">
        <v>519</v>
      </c>
      <c r="D1068" t="s">
        <v>40</v>
      </c>
      <c r="E1068" t="s">
        <v>41</v>
      </c>
      <c r="F1068" t="s">
        <v>27</v>
      </c>
      <c r="G1068" t="s">
        <v>28</v>
      </c>
      <c r="H1068">
        <v>470</v>
      </c>
      <c r="I1068">
        <v>50</v>
      </c>
      <c r="J1068">
        <v>0</v>
      </c>
      <c r="K1068" t="s">
        <v>36</v>
      </c>
      <c r="L1068">
        <v>51</v>
      </c>
      <c r="M1068" t="s">
        <v>21</v>
      </c>
      <c r="N1068">
        <f>COUNTIF(order_data[Order_ID],order_data[[#This Row],[Order_ID]])</f>
        <v>1</v>
      </c>
      <c r="O1068">
        <f>order_data[[#This Row],[Order_Value]]-order_data[[#This Row],[Discount]]</f>
        <v>470</v>
      </c>
      <c r="P1068">
        <f>order_data[[#This Row],[Order_Value]]+order_data[[#This Row],[Delivery_Fee]]-order_data[[#This Row],[Discount]]</f>
        <v>520</v>
      </c>
      <c r="Q1068" t="str">
        <f>TEXT(order_data[[#This Row],[Order_Date]],"mmm")</f>
        <v>Feb</v>
      </c>
      <c r="R1068">
        <f>MONTH(order_data[[#This Row],[Order_Date]])</f>
        <v>2</v>
      </c>
    </row>
    <row r="1069" spans="1:18" x14ac:dyDescent="0.35">
      <c r="A1069" t="s">
        <v>1743</v>
      </c>
      <c r="B1069" t="s">
        <v>600</v>
      </c>
      <c r="C1069" t="s">
        <v>114</v>
      </c>
      <c r="D1069" t="s">
        <v>16</v>
      </c>
      <c r="E1069" t="s">
        <v>17</v>
      </c>
      <c r="F1069" t="s">
        <v>18</v>
      </c>
      <c r="G1069" t="s">
        <v>42</v>
      </c>
      <c r="H1069">
        <v>736</v>
      </c>
      <c r="I1069">
        <v>40</v>
      </c>
      <c r="J1069">
        <v>50</v>
      </c>
      <c r="K1069" t="s">
        <v>36</v>
      </c>
      <c r="L1069">
        <v>55</v>
      </c>
      <c r="M1069" t="s">
        <v>21</v>
      </c>
      <c r="N1069">
        <f>COUNTIF(order_data[Order_ID],order_data[[#This Row],[Order_ID]])</f>
        <v>1</v>
      </c>
      <c r="O1069">
        <f>order_data[[#This Row],[Order_Value]]-order_data[[#This Row],[Discount]]</f>
        <v>686</v>
      </c>
      <c r="P1069">
        <f>order_data[[#This Row],[Order_Value]]+order_data[[#This Row],[Delivery_Fee]]-order_data[[#This Row],[Discount]]</f>
        <v>726</v>
      </c>
      <c r="Q1069" t="str">
        <f>TEXT(order_data[[#This Row],[Order_Date]],"mmm")</f>
        <v>Mar</v>
      </c>
      <c r="R1069">
        <f>MONTH(order_data[[#This Row],[Order_Date]])</f>
        <v>3</v>
      </c>
    </row>
    <row r="1070" spans="1:18" x14ac:dyDescent="0.35">
      <c r="A1070" t="s">
        <v>1744</v>
      </c>
      <c r="B1070" t="s">
        <v>143</v>
      </c>
      <c r="C1070" t="s">
        <v>934</v>
      </c>
      <c r="D1070" t="s">
        <v>16</v>
      </c>
      <c r="E1070" t="s">
        <v>17</v>
      </c>
      <c r="F1070" t="s">
        <v>18</v>
      </c>
      <c r="G1070" t="s">
        <v>74</v>
      </c>
      <c r="H1070">
        <v>339</v>
      </c>
      <c r="I1070">
        <v>50</v>
      </c>
      <c r="J1070">
        <v>100</v>
      </c>
      <c r="K1070" t="s">
        <v>36</v>
      </c>
      <c r="L1070">
        <v>23</v>
      </c>
      <c r="M1070" t="s">
        <v>21</v>
      </c>
      <c r="N1070">
        <f>COUNTIF(order_data[Order_ID],order_data[[#This Row],[Order_ID]])</f>
        <v>1</v>
      </c>
      <c r="O1070">
        <f>order_data[[#This Row],[Order_Value]]-order_data[[#This Row],[Discount]]</f>
        <v>239</v>
      </c>
      <c r="P1070">
        <f>order_data[[#This Row],[Order_Value]]+order_data[[#This Row],[Delivery_Fee]]-order_data[[#This Row],[Discount]]</f>
        <v>289</v>
      </c>
      <c r="Q1070" t="str">
        <f>TEXT(order_data[[#This Row],[Order_Date]],"mmm")</f>
        <v>Feb</v>
      </c>
      <c r="R1070">
        <f>MONTH(order_data[[#This Row],[Order_Date]])</f>
        <v>2</v>
      </c>
    </row>
    <row r="1071" spans="1:18" x14ac:dyDescent="0.35">
      <c r="A1071" t="s">
        <v>1745</v>
      </c>
      <c r="B1071" t="s">
        <v>241</v>
      </c>
      <c r="C1071" t="s">
        <v>1532</v>
      </c>
      <c r="D1071" t="s">
        <v>53</v>
      </c>
      <c r="E1071" t="s">
        <v>54</v>
      </c>
      <c r="F1071" t="s">
        <v>55</v>
      </c>
      <c r="G1071" t="s">
        <v>49</v>
      </c>
      <c r="H1071">
        <v>207</v>
      </c>
      <c r="I1071">
        <v>30</v>
      </c>
      <c r="J1071">
        <v>50</v>
      </c>
      <c r="K1071" t="s">
        <v>36</v>
      </c>
      <c r="L1071">
        <v>22</v>
      </c>
      <c r="M1071" t="s">
        <v>21</v>
      </c>
      <c r="N1071">
        <f>COUNTIF(order_data[Order_ID],order_data[[#This Row],[Order_ID]])</f>
        <v>1</v>
      </c>
      <c r="O1071">
        <f>order_data[[#This Row],[Order_Value]]-order_data[[#This Row],[Discount]]</f>
        <v>157</v>
      </c>
      <c r="P1071">
        <f>order_data[[#This Row],[Order_Value]]+order_data[[#This Row],[Delivery_Fee]]-order_data[[#This Row],[Discount]]</f>
        <v>187</v>
      </c>
      <c r="Q1071" t="str">
        <f>TEXT(order_data[[#This Row],[Order_Date]],"mmm")</f>
        <v>Mar</v>
      </c>
      <c r="R1071">
        <f>MONTH(order_data[[#This Row],[Order_Date]])</f>
        <v>3</v>
      </c>
    </row>
    <row r="1072" spans="1:18" x14ac:dyDescent="0.35">
      <c r="A1072" t="s">
        <v>1746</v>
      </c>
      <c r="B1072" t="s">
        <v>368</v>
      </c>
      <c r="C1072" t="s">
        <v>489</v>
      </c>
      <c r="D1072" t="s">
        <v>53</v>
      </c>
      <c r="E1072" t="s">
        <v>54</v>
      </c>
      <c r="F1072" t="s">
        <v>55</v>
      </c>
      <c r="G1072" t="s">
        <v>42</v>
      </c>
      <c r="H1072">
        <v>158</v>
      </c>
      <c r="I1072">
        <v>50</v>
      </c>
      <c r="J1072">
        <v>50</v>
      </c>
      <c r="K1072" t="s">
        <v>29</v>
      </c>
      <c r="L1072">
        <v>52</v>
      </c>
      <c r="M1072" t="s">
        <v>21</v>
      </c>
      <c r="N1072">
        <f>COUNTIF(order_data[Order_ID],order_data[[#This Row],[Order_ID]])</f>
        <v>1</v>
      </c>
      <c r="O1072">
        <f>order_data[[#This Row],[Order_Value]]-order_data[[#This Row],[Discount]]</f>
        <v>108</v>
      </c>
      <c r="P1072">
        <f>order_data[[#This Row],[Order_Value]]+order_data[[#This Row],[Delivery_Fee]]-order_data[[#This Row],[Discount]]</f>
        <v>158</v>
      </c>
      <c r="Q1072" t="str">
        <f>TEXT(order_data[[#This Row],[Order_Date]],"mmm")</f>
        <v>Feb</v>
      </c>
      <c r="R1072">
        <f>MONTH(order_data[[#This Row],[Order_Date]])</f>
        <v>2</v>
      </c>
    </row>
    <row r="1073" spans="1:18" x14ac:dyDescent="0.35">
      <c r="A1073" t="s">
        <v>1747</v>
      </c>
      <c r="B1073" t="s">
        <v>133</v>
      </c>
      <c r="C1073" t="s">
        <v>979</v>
      </c>
      <c r="D1073" t="s">
        <v>46</v>
      </c>
      <c r="E1073" t="s">
        <v>47</v>
      </c>
      <c r="F1073" t="s">
        <v>48</v>
      </c>
      <c r="G1073" t="s">
        <v>28</v>
      </c>
      <c r="H1073">
        <v>151</v>
      </c>
      <c r="I1073">
        <v>40</v>
      </c>
      <c r="J1073">
        <v>30</v>
      </c>
      <c r="K1073" t="s">
        <v>29</v>
      </c>
      <c r="L1073">
        <v>38</v>
      </c>
      <c r="M1073" t="s">
        <v>21</v>
      </c>
      <c r="N1073">
        <f>COUNTIF(order_data[Order_ID],order_data[[#This Row],[Order_ID]])</f>
        <v>1</v>
      </c>
      <c r="O1073">
        <f>order_data[[#This Row],[Order_Value]]-order_data[[#This Row],[Discount]]</f>
        <v>121</v>
      </c>
      <c r="P1073">
        <f>order_data[[#This Row],[Order_Value]]+order_data[[#This Row],[Delivery_Fee]]-order_data[[#This Row],[Discount]]</f>
        <v>161</v>
      </c>
      <c r="Q1073" t="str">
        <f>TEXT(order_data[[#This Row],[Order_Date]],"mmm")</f>
        <v>Mar</v>
      </c>
      <c r="R1073">
        <f>MONTH(order_data[[#This Row],[Order_Date]])</f>
        <v>3</v>
      </c>
    </row>
    <row r="1074" spans="1:18" x14ac:dyDescent="0.35">
      <c r="A1074" t="s">
        <v>1748</v>
      </c>
      <c r="B1074" t="s">
        <v>38</v>
      </c>
      <c r="C1074" t="s">
        <v>229</v>
      </c>
      <c r="D1074" t="s">
        <v>25</v>
      </c>
      <c r="E1074" t="s">
        <v>34</v>
      </c>
      <c r="F1074" t="s">
        <v>27</v>
      </c>
      <c r="G1074" t="s">
        <v>19</v>
      </c>
      <c r="H1074">
        <v>673</v>
      </c>
      <c r="I1074">
        <v>40</v>
      </c>
      <c r="J1074">
        <v>30</v>
      </c>
      <c r="K1074" t="s">
        <v>36</v>
      </c>
      <c r="L1074">
        <v>22</v>
      </c>
      <c r="M1074" t="s">
        <v>21</v>
      </c>
      <c r="N1074">
        <f>COUNTIF(order_data[Order_ID],order_data[[#This Row],[Order_ID]])</f>
        <v>1</v>
      </c>
      <c r="O1074">
        <f>order_data[[#This Row],[Order_Value]]-order_data[[#This Row],[Discount]]</f>
        <v>643</v>
      </c>
      <c r="P1074">
        <f>order_data[[#This Row],[Order_Value]]+order_data[[#This Row],[Delivery_Fee]]-order_data[[#This Row],[Discount]]</f>
        <v>683</v>
      </c>
      <c r="Q1074" t="str">
        <f>TEXT(order_data[[#This Row],[Order_Date]],"mmm")</f>
        <v>Jan</v>
      </c>
      <c r="R1074">
        <f>MONTH(order_data[[#This Row],[Order_Date]])</f>
        <v>1</v>
      </c>
    </row>
    <row r="1075" spans="1:18" x14ac:dyDescent="0.35">
      <c r="A1075" t="s">
        <v>1749</v>
      </c>
      <c r="B1075" t="s">
        <v>99</v>
      </c>
      <c r="C1075" t="s">
        <v>510</v>
      </c>
      <c r="D1075" t="s">
        <v>53</v>
      </c>
      <c r="E1075" t="s">
        <v>54</v>
      </c>
      <c r="F1075" t="s">
        <v>55</v>
      </c>
      <c r="G1075" t="s">
        <v>28</v>
      </c>
      <c r="H1075">
        <v>470</v>
      </c>
      <c r="I1075">
        <v>50</v>
      </c>
      <c r="J1075">
        <v>30</v>
      </c>
      <c r="K1075" t="s">
        <v>20</v>
      </c>
      <c r="L1075">
        <v>32</v>
      </c>
      <c r="M1075" t="s">
        <v>30</v>
      </c>
      <c r="N1075">
        <f>COUNTIF(order_data[Order_ID],order_data[[#This Row],[Order_ID]])</f>
        <v>1</v>
      </c>
      <c r="O1075">
        <f>order_data[[#This Row],[Order_Value]]-order_data[[#This Row],[Discount]]</f>
        <v>440</v>
      </c>
      <c r="P1075">
        <f>order_data[[#This Row],[Order_Value]]+order_data[[#This Row],[Delivery_Fee]]-order_data[[#This Row],[Discount]]</f>
        <v>490</v>
      </c>
      <c r="Q1075" t="str">
        <f>TEXT(order_data[[#This Row],[Order_Date]],"mmm")</f>
        <v>Mar</v>
      </c>
      <c r="R1075">
        <f>MONTH(order_data[[#This Row],[Order_Date]])</f>
        <v>3</v>
      </c>
    </row>
    <row r="1076" spans="1:18" x14ac:dyDescent="0.35">
      <c r="A1076" t="s">
        <v>1750</v>
      </c>
      <c r="B1076" t="s">
        <v>398</v>
      </c>
      <c r="C1076" t="s">
        <v>954</v>
      </c>
      <c r="D1076" t="s">
        <v>16</v>
      </c>
      <c r="E1076" t="s">
        <v>17</v>
      </c>
      <c r="F1076" t="s">
        <v>18</v>
      </c>
      <c r="G1076" t="s">
        <v>107</v>
      </c>
      <c r="H1076">
        <v>665</v>
      </c>
      <c r="I1076">
        <v>40</v>
      </c>
      <c r="J1076">
        <v>100</v>
      </c>
      <c r="K1076" t="s">
        <v>29</v>
      </c>
      <c r="L1076">
        <v>57</v>
      </c>
      <c r="M1076" t="s">
        <v>21</v>
      </c>
      <c r="N1076">
        <f>COUNTIF(order_data[Order_ID],order_data[[#This Row],[Order_ID]])</f>
        <v>1</v>
      </c>
      <c r="O1076">
        <f>order_data[[#This Row],[Order_Value]]-order_data[[#This Row],[Discount]]</f>
        <v>565</v>
      </c>
      <c r="P1076">
        <f>order_data[[#This Row],[Order_Value]]+order_data[[#This Row],[Delivery_Fee]]-order_data[[#This Row],[Discount]]</f>
        <v>605</v>
      </c>
      <c r="Q1076" t="str">
        <f>TEXT(order_data[[#This Row],[Order_Date]],"mmm")</f>
        <v>Feb</v>
      </c>
      <c r="R1076">
        <f>MONTH(order_data[[#This Row],[Order_Date]])</f>
        <v>2</v>
      </c>
    </row>
    <row r="1077" spans="1:18" x14ac:dyDescent="0.35">
      <c r="A1077" t="s">
        <v>1751</v>
      </c>
      <c r="B1077" t="s">
        <v>295</v>
      </c>
      <c r="C1077" t="s">
        <v>144</v>
      </c>
      <c r="D1077" t="s">
        <v>53</v>
      </c>
      <c r="E1077" t="s">
        <v>84</v>
      </c>
      <c r="F1077" t="s">
        <v>85</v>
      </c>
      <c r="G1077" t="s">
        <v>49</v>
      </c>
      <c r="H1077">
        <v>560</v>
      </c>
      <c r="I1077">
        <v>30</v>
      </c>
      <c r="J1077">
        <v>30</v>
      </c>
      <c r="K1077" t="s">
        <v>36</v>
      </c>
      <c r="L1077">
        <v>23</v>
      </c>
      <c r="M1077" t="s">
        <v>21</v>
      </c>
      <c r="N1077">
        <f>COUNTIF(order_data[Order_ID],order_data[[#This Row],[Order_ID]])</f>
        <v>1</v>
      </c>
      <c r="O1077">
        <f>order_data[[#This Row],[Order_Value]]-order_data[[#This Row],[Discount]]</f>
        <v>530</v>
      </c>
      <c r="P1077">
        <f>order_data[[#This Row],[Order_Value]]+order_data[[#This Row],[Delivery_Fee]]-order_data[[#This Row],[Discount]]</f>
        <v>560</v>
      </c>
      <c r="Q1077" t="str">
        <f>TEXT(order_data[[#This Row],[Order_Date]],"mmm")</f>
        <v>Jan</v>
      </c>
      <c r="R1077">
        <f>MONTH(order_data[[#This Row],[Order_Date]])</f>
        <v>1</v>
      </c>
    </row>
    <row r="1078" spans="1:18" x14ac:dyDescent="0.35">
      <c r="A1078" t="s">
        <v>1752</v>
      </c>
      <c r="B1078" t="s">
        <v>267</v>
      </c>
      <c r="C1078" t="s">
        <v>467</v>
      </c>
      <c r="D1078" t="s">
        <v>40</v>
      </c>
      <c r="E1078" t="s">
        <v>111</v>
      </c>
      <c r="F1078" t="s">
        <v>18</v>
      </c>
      <c r="G1078" t="s">
        <v>19</v>
      </c>
      <c r="H1078">
        <v>301</v>
      </c>
      <c r="I1078">
        <v>20</v>
      </c>
      <c r="J1078">
        <v>50</v>
      </c>
      <c r="K1078" t="s">
        <v>29</v>
      </c>
      <c r="L1078">
        <v>21</v>
      </c>
      <c r="M1078" t="s">
        <v>21</v>
      </c>
      <c r="N1078">
        <f>COUNTIF(order_data[Order_ID],order_data[[#This Row],[Order_ID]])</f>
        <v>1</v>
      </c>
      <c r="O1078">
        <f>order_data[[#This Row],[Order_Value]]-order_data[[#This Row],[Discount]]</f>
        <v>251</v>
      </c>
      <c r="P1078">
        <f>order_data[[#This Row],[Order_Value]]+order_data[[#This Row],[Delivery_Fee]]-order_data[[#This Row],[Discount]]</f>
        <v>271</v>
      </c>
      <c r="Q1078" t="str">
        <f>TEXT(order_data[[#This Row],[Order_Date]],"mmm")</f>
        <v>Jan</v>
      </c>
      <c r="R1078">
        <f>MONTH(order_data[[#This Row],[Order_Date]])</f>
        <v>1</v>
      </c>
    </row>
    <row r="1079" spans="1:18" x14ac:dyDescent="0.35">
      <c r="A1079" t="s">
        <v>1753</v>
      </c>
      <c r="B1079" t="s">
        <v>657</v>
      </c>
      <c r="C1079" t="s">
        <v>930</v>
      </c>
      <c r="D1079" t="s">
        <v>25</v>
      </c>
      <c r="E1079" t="s">
        <v>78</v>
      </c>
      <c r="F1079" t="s">
        <v>48</v>
      </c>
      <c r="G1079" t="s">
        <v>49</v>
      </c>
      <c r="H1079">
        <v>677</v>
      </c>
      <c r="I1079">
        <v>20</v>
      </c>
      <c r="J1079">
        <v>50</v>
      </c>
      <c r="K1079" t="s">
        <v>20</v>
      </c>
      <c r="L1079">
        <v>20</v>
      </c>
      <c r="M1079" t="s">
        <v>21</v>
      </c>
      <c r="N1079">
        <f>COUNTIF(order_data[Order_ID],order_data[[#This Row],[Order_ID]])</f>
        <v>1</v>
      </c>
      <c r="O1079">
        <f>order_data[[#This Row],[Order_Value]]-order_data[[#This Row],[Discount]]</f>
        <v>627</v>
      </c>
      <c r="P1079">
        <f>order_data[[#This Row],[Order_Value]]+order_data[[#This Row],[Delivery_Fee]]-order_data[[#This Row],[Discount]]</f>
        <v>647</v>
      </c>
      <c r="Q1079" t="str">
        <f>TEXT(order_data[[#This Row],[Order_Date]],"mmm")</f>
        <v>Jan</v>
      </c>
      <c r="R1079">
        <f>MONTH(order_data[[#This Row],[Order_Date]])</f>
        <v>1</v>
      </c>
    </row>
    <row r="1080" spans="1:18" x14ac:dyDescent="0.35">
      <c r="A1080" t="s">
        <v>1754</v>
      </c>
      <c r="B1080" t="s">
        <v>326</v>
      </c>
      <c r="C1080" t="s">
        <v>668</v>
      </c>
      <c r="D1080" t="s">
        <v>53</v>
      </c>
      <c r="E1080" t="s">
        <v>54</v>
      </c>
      <c r="F1080" t="s">
        <v>55</v>
      </c>
      <c r="G1080" t="s">
        <v>63</v>
      </c>
      <c r="H1080">
        <v>206</v>
      </c>
      <c r="I1080">
        <v>30</v>
      </c>
      <c r="J1080">
        <v>20</v>
      </c>
      <c r="K1080" t="s">
        <v>20</v>
      </c>
      <c r="L1080">
        <v>60</v>
      </c>
      <c r="M1080" t="s">
        <v>21</v>
      </c>
      <c r="N1080">
        <f>COUNTIF(order_data[Order_ID],order_data[[#This Row],[Order_ID]])</f>
        <v>1</v>
      </c>
      <c r="O1080">
        <f>order_data[[#This Row],[Order_Value]]-order_data[[#This Row],[Discount]]</f>
        <v>186</v>
      </c>
      <c r="P1080">
        <f>order_data[[#This Row],[Order_Value]]+order_data[[#This Row],[Delivery_Fee]]-order_data[[#This Row],[Discount]]</f>
        <v>216</v>
      </c>
      <c r="Q1080" t="str">
        <f>TEXT(order_data[[#This Row],[Order_Date]],"mmm")</f>
        <v>Mar</v>
      </c>
      <c r="R1080">
        <f>MONTH(order_data[[#This Row],[Order_Date]])</f>
        <v>3</v>
      </c>
    </row>
    <row r="1081" spans="1:18" x14ac:dyDescent="0.35">
      <c r="A1081" t="s">
        <v>1755</v>
      </c>
      <c r="B1081" t="s">
        <v>126</v>
      </c>
      <c r="C1081" t="s">
        <v>83</v>
      </c>
      <c r="D1081" t="s">
        <v>16</v>
      </c>
      <c r="E1081" t="s">
        <v>131</v>
      </c>
      <c r="F1081" t="s">
        <v>55</v>
      </c>
      <c r="G1081" t="s">
        <v>107</v>
      </c>
      <c r="H1081">
        <v>652</v>
      </c>
      <c r="I1081">
        <v>40</v>
      </c>
      <c r="J1081">
        <v>50</v>
      </c>
      <c r="K1081" t="s">
        <v>29</v>
      </c>
      <c r="L1081">
        <v>35</v>
      </c>
      <c r="M1081" t="s">
        <v>21</v>
      </c>
      <c r="N1081">
        <f>COUNTIF(order_data[Order_ID],order_data[[#This Row],[Order_ID]])</f>
        <v>1</v>
      </c>
      <c r="O1081">
        <f>order_data[[#This Row],[Order_Value]]-order_data[[#This Row],[Discount]]</f>
        <v>602</v>
      </c>
      <c r="P1081">
        <f>order_data[[#This Row],[Order_Value]]+order_data[[#This Row],[Delivery_Fee]]-order_data[[#This Row],[Discount]]</f>
        <v>642</v>
      </c>
      <c r="Q1081" t="str">
        <f>TEXT(order_data[[#This Row],[Order_Date]],"mmm")</f>
        <v>Mar</v>
      </c>
      <c r="R1081">
        <f>MONTH(order_data[[#This Row],[Order_Date]])</f>
        <v>3</v>
      </c>
    </row>
    <row r="1082" spans="1:18" x14ac:dyDescent="0.35">
      <c r="A1082" t="s">
        <v>1756</v>
      </c>
      <c r="B1082" t="s">
        <v>271</v>
      </c>
      <c r="C1082" t="s">
        <v>315</v>
      </c>
      <c r="D1082" t="s">
        <v>25</v>
      </c>
      <c r="E1082" t="s">
        <v>34</v>
      </c>
      <c r="F1082" t="s">
        <v>27</v>
      </c>
      <c r="G1082" t="s">
        <v>74</v>
      </c>
      <c r="H1082">
        <v>482</v>
      </c>
      <c r="I1082">
        <v>20</v>
      </c>
      <c r="J1082">
        <v>100</v>
      </c>
      <c r="K1082" t="s">
        <v>29</v>
      </c>
      <c r="L1082">
        <v>31</v>
      </c>
      <c r="M1082" t="s">
        <v>21</v>
      </c>
      <c r="N1082">
        <f>COUNTIF(order_data[Order_ID],order_data[[#This Row],[Order_ID]])</f>
        <v>1</v>
      </c>
      <c r="O1082">
        <f>order_data[[#This Row],[Order_Value]]-order_data[[#This Row],[Discount]]</f>
        <v>382</v>
      </c>
      <c r="P1082">
        <f>order_data[[#This Row],[Order_Value]]+order_data[[#This Row],[Delivery_Fee]]-order_data[[#This Row],[Discount]]</f>
        <v>402</v>
      </c>
      <c r="Q1082" t="str">
        <f>TEXT(order_data[[#This Row],[Order_Date]],"mmm")</f>
        <v>Jan</v>
      </c>
      <c r="R1082">
        <f>MONTH(order_data[[#This Row],[Order_Date]])</f>
        <v>1</v>
      </c>
    </row>
    <row r="1083" spans="1:18" x14ac:dyDescent="0.35">
      <c r="A1083" t="s">
        <v>1757</v>
      </c>
      <c r="B1083" t="s">
        <v>476</v>
      </c>
      <c r="C1083" t="s">
        <v>274</v>
      </c>
      <c r="D1083" t="s">
        <v>40</v>
      </c>
      <c r="E1083" t="s">
        <v>67</v>
      </c>
      <c r="F1083" t="s">
        <v>48</v>
      </c>
      <c r="G1083" t="s">
        <v>35</v>
      </c>
      <c r="H1083">
        <v>589</v>
      </c>
      <c r="I1083">
        <v>40</v>
      </c>
      <c r="J1083">
        <v>50</v>
      </c>
      <c r="K1083" t="s">
        <v>36</v>
      </c>
      <c r="L1083">
        <v>55</v>
      </c>
      <c r="M1083" t="s">
        <v>21</v>
      </c>
      <c r="N1083">
        <f>COUNTIF(order_data[Order_ID],order_data[[#This Row],[Order_ID]])</f>
        <v>1</v>
      </c>
      <c r="O1083">
        <f>order_data[[#This Row],[Order_Value]]-order_data[[#This Row],[Discount]]</f>
        <v>539</v>
      </c>
      <c r="P1083">
        <f>order_data[[#This Row],[Order_Value]]+order_data[[#This Row],[Delivery_Fee]]-order_data[[#This Row],[Discount]]</f>
        <v>579</v>
      </c>
      <c r="Q1083" t="str">
        <f>TEXT(order_data[[#This Row],[Order_Date]],"mmm")</f>
        <v>Jan</v>
      </c>
      <c r="R1083">
        <f>MONTH(order_data[[#This Row],[Order_Date]])</f>
        <v>1</v>
      </c>
    </row>
    <row r="1084" spans="1:18" x14ac:dyDescent="0.35">
      <c r="A1084" t="s">
        <v>1758</v>
      </c>
      <c r="B1084" t="s">
        <v>583</v>
      </c>
      <c r="C1084" t="s">
        <v>92</v>
      </c>
      <c r="D1084" t="s">
        <v>16</v>
      </c>
      <c r="E1084" t="s">
        <v>17</v>
      </c>
      <c r="F1084" t="s">
        <v>18</v>
      </c>
      <c r="G1084" t="s">
        <v>49</v>
      </c>
      <c r="H1084">
        <v>720</v>
      </c>
      <c r="I1084">
        <v>20</v>
      </c>
      <c r="J1084">
        <v>0</v>
      </c>
      <c r="K1084" t="s">
        <v>20</v>
      </c>
      <c r="L1084">
        <v>34</v>
      </c>
      <c r="M1084" t="s">
        <v>21</v>
      </c>
      <c r="N1084">
        <f>COUNTIF(order_data[Order_ID],order_data[[#This Row],[Order_ID]])</f>
        <v>1</v>
      </c>
      <c r="O1084">
        <f>order_data[[#This Row],[Order_Value]]-order_data[[#This Row],[Discount]]</f>
        <v>720</v>
      </c>
      <c r="P1084">
        <f>order_data[[#This Row],[Order_Value]]+order_data[[#This Row],[Delivery_Fee]]-order_data[[#This Row],[Discount]]</f>
        <v>740</v>
      </c>
      <c r="Q1084" t="str">
        <f>TEXT(order_data[[#This Row],[Order_Date]],"mmm")</f>
        <v>Jan</v>
      </c>
      <c r="R1084">
        <f>MONTH(order_data[[#This Row],[Order_Date]])</f>
        <v>1</v>
      </c>
    </row>
    <row r="1085" spans="1:18" x14ac:dyDescent="0.35">
      <c r="A1085" t="s">
        <v>1759</v>
      </c>
      <c r="B1085" t="s">
        <v>473</v>
      </c>
      <c r="C1085" t="s">
        <v>1760</v>
      </c>
      <c r="D1085" t="s">
        <v>53</v>
      </c>
      <c r="E1085" t="s">
        <v>54</v>
      </c>
      <c r="F1085" t="s">
        <v>55</v>
      </c>
      <c r="G1085" t="s">
        <v>28</v>
      </c>
      <c r="H1085">
        <v>650</v>
      </c>
      <c r="I1085">
        <v>20</v>
      </c>
      <c r="J1085">
        <v>20</v>
      </c>
      <c r="K1085" t="s">
        <v>29</v>
      </c>
      <c r="L1085">
        <v>51</v>
      </c>
      <c r="M1085" t="s">
        <v>21</v>
      </c>
      <c r="N1085">
        <f>COUNTIF(order_data[Order_ID],order_data[[#This Row],[Order_ID]])</f>
        <v>1</v>
      </c>
      <c r="O1085">
        <f>order_data[[#This Row],[Order_Value]]-order_data[[#This Row],[Discount]]</f>
        <v>630</v>
      </c>
      <c r="P1085">
        <f>order_data[[#This Row],[Order_Value]]+order_data[[#This Row],[Delivery_Fee]]-order_data[[#This Row],[Discount]]</f>
        <v>650</v>
      </c>
      <c r="Q1085" t="str">
        <f>TEXT(order_data[[#This Row],[Order_Date]],"mmm")</f>
        <v>Mar</v>
      </c>
      <c r="R1085">
        <f>MONTH(order_data[[#This Row],[Order_Date]])</f>
        <v>3</v>
      </c>
    </row>
    <row r="1086" spans="1:18" x14ac:dyDescent="0.35">
      <c r="A1086" t="s">
        <v>1761</v>
      </c>
      <c r="B1086" t="s">
        <v>57</v>
      </c>
      <c r="C1086" t="s">
        <v>1374</v>
      </c>
      <c r="D1086" t="s">
        <v>16</v>
      </c>
      <c r="E1086" t="s">
        <v>89</v>
      </c>
      <c r="F1086" t="s">
        <v>18</v>
      </c>
      <c r="G1086" t="s">
        <v>74</v>
      </c>
      <c r="H1086">
        <v>674</v>
      </c>
      <c r="I1086">
        <v>40</v>
      </c>
      <c r="J1086">
        <v>50</v>
      </c>
      <c r="K1086" t="s">
        <v>29</v>
      </c>
      <c r="L1086">
        <v>47</v>
      </c>
      <c r="M1086" t="s">
        <v>21</v>
      </c>
      <c r="N1086">
        <f>COUNTIF(order_data[Order_ID],order_data[[#This Row],[Order_ID]])</f>
        <v>1</v>
      </c>
      <c r="O1086">
        <f>order_data[[#This Row],[Order_Value]]-order_data[[#This Row],[Discount]]</f>
        <v>624</v>
      </c>
      <c r="P1086">
        <f>order_data[[#This Row],[Order_Value]]+order_data[[#This Row],[Delivery_Fee]]-order_data[[#This Row],[Discount]]</f>
        <v>664</v>
      </c>
      <c r="Q1086" t="str">
        <f>TEXT(order_data[[#This Row],[Order_Date]],"mmm")</f>
        <v>Jan</v>
      </c>
      <c r="R1086">
        <f>MONTH(order_data[[#This Row],[Order_Date]])</f>
        <v>1</v>
      </c>
    </row>
    <row r="1087" spans="1:18" x14ac:dyDescent="0.35">
      <c r="A1087" t="s">
        <v>1762</v>
      </c>
      <c r="B1087" t="s">
        <v>286</v>
      </c>
      <c r="C1087" t="s">
        <v>1534</v>
      </c>
      <c r="D1087" t="s">
        <v>53</v>
      </c>
      <c r="E1087" t="s">
        <v>84</v>
      </c>
      <c r="F1087" t="s">
        <v>85</v>
      </c>
      <c r="G1087" t="s">
        <v>176</v>
      </c>
      <c r="H1087">
        <v>782</v>
      </c>
      <c r="I1087">
        <v>30</v>
      </c>
      <c r="J1087">
        <v>100</v>
      </c>
      <c r="K1087" t="s">
        <v>36</v>
      </c>
      <c r="L1087">
        <v>35</v>
      </c>
      <c r="M1087" t="s">
        <v>30</v>
      </c>
      <c r="N1087">
        <f>COUNTIF(order_data[Order_ID],order_data[[#This Row],[Order_ID]])</f>
        <v>1</v>
      </c>
      <c r="O1087">
        <f>order_data[[#This Row],[Order_Value]]-order_data[[#This Row],[Discount]]</f>
        <v>682</v>
      </c>
      <c r="P1087">
        <f>order_data[[#This Row],[Order_Value]]+order_data[[#This Row],[Delivery_Fee]]-order_data[[#This Row],[Discount]]</f>
        <v>712</v>
      </c>
      <c r="Q1087" t="str">
        <f>TEXT(order_data[[#This Row],[Order_Date]],"mmm")</f>
        <v>Mar</v>
      </c>
      <c r="R1087">
        <f>MONTH(order_data[[#This Row],[Order_Date]])</f>
        <v>3</v>
      </c>
    </row>
    <row r="1088" spans="1:18" x14ac:dyDescent="0.35">
      <c r="A1088" t="s">
        <v>1763</v>
      </c>
      <c r="B1088" t="s">
        <v>329</v>
      </c>
      <c r="C1088" t="s">
        <v>1204</v>
      </c>
      <c r="D1088" t="s">
        <v>46</v>
      </c>
      <c r="E1088" t="s">
        <v>47</v>
      </c>
      <c r="F1088" t="s">
        <v>48</v>
      </c>
      <c r="G1088" t="s">
        <v>176</v>
      </c>
      <c r="H1088">
        <v>439</v>
      </c>
      <c r="I1088">
        <v>50</v>
      </c>
      <c r="J1088">
        <v>100</v>
      </c>
      <c r="K1088" t="s">
        <v>29</v>
      </c>
      <c r="L1088">
        <v>56</v>
      </c>
      <c r="M1088" t="s">
        <v>21</v>
      </c>
      <c r="N1088">
        <f>COUNTIF(order_data[Order_ID],order_data[[#This Row],[Order_ID]])</f>
        <v>1</v>
      </c>
      <c r="O1088">
        <f>order_data[[#This Row],[Order_Value]]-order_data[[#This Row],[Discount]]</f>
        <v>339</v>
      </c>
      <c r="P1088">
        <f>order_data[[#This Row],[Order_Value]]+order_data[[#This Row],[Delivery_Fee]]-order_data[[#This Row],[Discount]]</f>
        <v>389</v>
      </c>
      <c r="Q1088" t="str">
        <f>TEXT(order_data[[#This Row],[Order_Date]],"mmm")</f>
        <v>Mar</v>
      </c>
      <c r="R1088">
        <f>MONTH(order_data[[#This Row],[Order_Date]])</f>
        <v>3</v>
      </c>
    </row>
    <row r="1089" spans="1:18" x14ac:dyDescent="0.35">
      <c r="A1089" t="s">
        <v>1764</v>
      </c>
      <c r="B1089" t="s">
        <v>207</v>
      </c>
      <c r="C1089" t="s">
        <v>1765</v>
      </c>
      <c r="D1089" t="s">
        <v>46</v>
      </c>
      <c r="E1089" t="s">
        <v>70</v>
      </c>
      <c r="F1089" t="s">
        <v>18</v>
      </c>
      <c r="G1089" t="s">
        <v>74</v>
      </c>
      <c r="H1089">
        <v>399</v>
      </c>
      <c r="I1089">
        <v>50</v>
      </c>
      <c r="J1089">
        <v>0</v>
      </c>
      <c r="K1089" t="s">
        <v>20</v>
      </c>
      <c r="L1089">
        <v>45</v>
      </c>
      <c r="M1089" t="s">
        <v>21</v>
      </c>
      <c r="N1089">
        <f>COUNTIF(order_data[Order_ID],order_data[[#This Row],[Order_ID]])</f>
        <v>1</v>
      </c>
      <c r="O1089">
        <f>order_data[[#This Row],[Order_Value]]-order_data[[#This Row],[Discount]]</f>
        <v>399</v>
      </c>
      <c r="P1089">
        <f>order_data[[#This Row],[Order_Value]]+order_data[[#This Row],[Delivery_Fee]]-order_data[[#This Row],[Discount]]</f>
        <v>449</v>
      </c>
      <c r="Q1089" t="str">
        <f>TEXT(order_data[[#This Row],[Order_Date]],"mmm")</f>
        <v>Jan</v>
      </c>
      <c r="R1089">
        <f>MONTH(order_data[[#This Row],[Order_Date]])</f>
        <v>1</v>
      </c>
    </row>
    <row r="1090" spans="1:18" x14ac:dyDescent="0.35">
      <c r="A1090" t="s">
        <v>1766</v>
      </c>
      <c r="B1090" t="s">
        <v>223</v>
      </c>
      <c r="C1090" t="s">
        <v>1767</v>
      </c>
      <c r="D1090" t="s">
        <v>46</v>
      </c>
      <c r="E1090" t="s">
        <v>148</v>
      </c>
      <c r="F1090" t="s">
        <v>27</v>
      </c>
      <c r="G1090" t="s">
        <v>42</v>
      </c>
      <c r="H1090">
        <v>528</v>
      </c>
      <c r="I1090">
        <v>50</v>
      </c>
      <c r="J1090">
        <v>20</v>
      </c>
      <c r="K1090" t="s">
        <v>36</v>
      </c>
      <c r="L1090">
        <v>48</v>
      </c>
      <c r="M1090" t="s">
        <v>30</v>
      </c>
      <c r="N1090">
        <f>COUNTIF(order_data[Order_ID],order_data[[#This Row],[Order_ID]])</f>
        <v>1</v>
      </c>
      <c r="O1090">
        <f>order_data[[#This Row],[Order_Value]]-order_data[[#This Row],[Discount]]</f>
        <v>508</v>
      </c>
      <c r="P1090">
        <f>order_data[[#This Row],[Order_Value]]+order_data[[#This Row],[Delivery_Fee]]-order_data[[#This Row],[Discount]]</f>
        <v>558</v>
      </c>
      <c r="Q1090" t="str">
        <f>TEXT(order_data[[#This Row],[Order_Date]],"mmm")</f>
        <v>Mar</v>
      </c>
      <c r="R1090">
        <f>MONTH(order_data[[#This Row],[Order_Date]])</f>
        <v>3</v>
      </c>
    </row>
    <row r="1091" spans="1:18" x14ac:dyDescent="0.35">
      <c r="A1091" t="s">
        <v>1768</v>
      </c>
      <c r="B1091" t="s">
        <v>580</v>
      </c>
      <c r="C1091" t="s">
        <v>824</v>
      </c>
      <c r="D1091" t="s">
        <v>53</v>
      </c>
      <c r="E1091" t="s">
        <v>54</v>
      </c>
      <c r="F1091" t="s">
        <v>55</v>
      </c>
      <c r="G1091" t="s">
        <v>19</v>
      </c>
      <c r="H1091">
        <v>583</v>
      </c>
      <c r="I1091">
        <v>30</v>
      </c>
      <c r="J1091">
        <v>50</v>
      </c>
      <c r="K1091" t="s">
        <v>36</v>
      </c>
      <c r="L1091">
        <v>23</v>
      </c>
      <c r="M1091" t="s">
        <v>21</v>
      </c>
      <c r="N1091">
        <f>COUNTIF(order_data[Order_ID],order_data[[#This Row],[Order_ID]])</f>
        <v>1</v>
      </c>
      <c r="O1091">
        <f>order_data[[#This Row],[Order_Value]]-order_data[[#This Row],[Discount]]</f>
        <v>533</v>
      </c>
      <c r="P1091">
        <f>order_data[[#This Row],[Order_Value]]+order_data[[#This Row],[Delivery_Fee]]-order_data[[#This Row],[Discount]]</f>
        <v>563</v>
      </c>
      <c r="Q1091" t="str">
        <f>TEXT(order_data[[#This Row],[Order_Date]],"mmm")</f>
        <v>Mar</v>
      </c>
      <c r="R1091">
        <f>MONTH(order_data[[#This Row],[Order_Date]])</f>
        <v>3</v>
      </c>
    </row>
    <row r="1092" spans="1:18" x14ac:dyDescent="0.35">
      <c r="A1092" t="s">
        <v>1769</v>
      </c>
      <c r="B1092" t="s">
        <v>87</v>
      </c>
      <c r="C1092" t="s">
        <v>1770</v>
      </c>
      <c r="D1092" t="s">
        <v>40</v>
      </c>
      <c r="E1092" t="s">
        <v>41</v>
      </c>
      <c r="F1092" t="s">
        <v>27</v>
      </c>
      <c r="G1092" t="s">
        <v>19</v>
      </c>
      <c r="H1092">
        <v>686</v>
      </c>
      <c r="I1092">
        <v>20</v>
      </c>
      <c r="J1092">
        <v>50</v>
      </c>
      <c r="K1092" t="s">
        <v>29</v>
      </c>
      <c r="L1092">
        <v>47</v>
      </c>
      <c r="M1092" t="s">
        <v>21</v>
      </c>
      <c r="N1092">
        <f>COUNTIF(order_data[Order_ID],order_data[[#This Row],[Order_ID]])</f>
        <v>1</v>
      </c>
      <c r="O1092">
        <f>order_data[[#This Row],[Order_Value]]-order_data[[#This Row],[Discount]]</f>
        <v>636</v>
      </c>
      <c r="P1092">
        <f>order_data[[#This Row],[Order_Value]]+order_data[[#This Row],[Delivery_Fee]]-order_data[[#This Row],[Discount]]</f>
        <v>656</v>
      </c>
      <c r="Q1092" t="str">
        <f>TEXT(order_data[[#This Row],[Order_Date]],"mmm")</f>
        <v>Jan</v>
      </c>
      <c r="R1092">
        <f>MONTH(order_data[[#This Row],[Order_Date]])</f>
        <v>1</v>
      </c>
    </row>
    <row r="1093" spans="1:18" x14ac:dyDescent="0.35">
      <c r="A1093" t="s">
        <v>1771</v>
      </c>
      <c r="B1093" t="s">
        <v>136</v>
      </c>
      <c r="C1093" t="s">
        <v>905</v>
      </c>
      <c r="D1093" t="s">
        <v>40</v>
      </c>
      <c r="E1093" t="s">
        <v>111</v>
      </c>
      <c r="F1093" t="s">
        <v>18</v>
      </c>
      <c r="G1093" t="s">
        <v>59</v>
      </c>
      <c r="H1093">
        <v>248</v>
      </c>
      <c r="I1093">
        <v>50</v>
      </c>
      <c r="J1093">
        <v>20</v>
      </c>
      <c r="K1093" t="s">
        <v>36</v>
      </c>
      <c r="L1093">
        <v>22</v>
      </c>
      <c r="M1093" t="s">
        <v>21</v>
      </c>
      <c r="N1093">
        <f>COUNTIF(order_data[Order_ID],order_data[[#This Row],[Order_ID]])</f>
        <v>1</v>
      </c>
      <c r="O1093">
        <f>order_data[[#This Row],[Order_Value]]-order_data[[#This Row],[Discount]]</f>
        <v>228</v>
      </c>
      <c r="P1093">
        <f>order_data[[#This Row],[Order_Value]]+order_data[[#This Row],[Delivery_Fee]]-order_data[[#This Row],[Discount]]</f>
        <v>278</v>
      </c>
      <c r="Q1093" t="str">
        <f>TEXT(order_data[[#This Row],[Order_Date]],"mmm")</f>
        <v>Feb</v>
      </c>
      <c r="R1093">
        <f>MONTH(order_data[[#This Row],[Order_Date]])</f>
        <v>2</v>
      </c>
    </row>
    <row r="1094" spans="1:18" x14ac:dyDescent="0.35">
      <c r="A1094" t="s">
        <v>1772</v>
      </c>
      <c r="B1094" t="s">
        <v>286</v>
      </c>
      <c r="C1094" t="s">
        <v>1083</v>
      </c>
      <c r="D1094" t="s">
        <v>40</v>
      </c>
      <c r="E1094" t="s">
        <v>67</v>
      </c>
      <c r="F1094" t="s">
        <v>48</v>
      </c>
      <c r="G1094" t="s">
        <v>42</v>
      </c>
      <c r="H1094">
        <v>568</v>
      </c>
      <c r="I1094">
        <v>30</v>
      </c>
      <c r="J1094">
        <v>20</v>
      </c>
      <c r="K1094" t="s">
        <v>36</v>
      </c>
      <c r="L1094">
        <v>46</v>
      </c>
      <c r="M1094" t="s">
        <v>21</v>
      </c>
      <c r="N1094">
        <f>COUNTIF(order_data[Order_ID],order_data[[#This Row],[Order_ID]])</f>
        <v>1</v>
      </c>
      <c r="O1094">
        <f>order_data[[#This Row],[Order_Value]]-order_data[[#This Row],[Discount]]</f>
        <v>548</v>
      </c>
      <c r="P1094">
        <f>order_data[[#This Row],[Order_Value]]+order_data[[#This Row],[Delivery_Fee]]-order_data[[#This Row],[Discount]]</f>
        <v>578</v>
      </c>
      <c r="Q1094" t="str">
        <f>TEXT(order_data[[#This Row],[Order_Date]],"mmm")</f>
        <v>Mar</v>
      </c>
      <c r="R1094">
        <f>MONTH(order_data[[#This Row],[Order_Date]])</f>
        <v>3</v>
      </c>
    </row>
    <row r="1095" spans="1:18" x14ac:dyDescent="0.35">
      <c r="A1095" t="s">
        <v>1773</v>
      </c>
      <c r="B1095" t="s">
        <v>326</v>
      </c>
      <c r="C1095" t="s">
        <v>1774</v>
      </c>
      <c r="D1095" t="s">
        <v>53</v>
      </c>
      <c r="E1095" t="s">
        <v>54</v>
      </c>
      <c r="F1095" t="s">
        <v>55</v>
      </c>
      <c r="G1095" t="s">
        <v>59</v>
      </c>
      <c r="H1095">
        <v>350</v>
      </c>
      <c r="I1095">
        <v>20</v>
      </c>
      <c r="J1095">
        <v>0</v>
      </c>
      <c r="K1095" t="s">
        <v>36</v>
      </c>
      <c r="L1095">
        <v>32</v>
      </c>
      <c r="M1095" t="s">
        <v>21</v>
      </c>
      <c r="N1095">
        <f>COUNTIF(order_data[Order_ID],order_data[[#This Row],[Order_ID]])</f>
        <v>1</v>
      </c>
      <c r="O1095">
        <f>order_data[[#This Row],[Order_Value]]-order_data[[#This Row],[Discount]]</f>
        <v>350</v>
      </c>
      <c r="P1095">
        <f>order_data[[#This Row],[Order_Value]]+order_data[[#This Row],[Delivery_Fee]]-order_data[[#This Row],[Discount]]</f>
        <v>370</v>
      </c>
      <c r="Q1095" t="str">
        <f>TEXT(order_data[[#This Row],[Order_Date]],"mmm")</f>
        <v>Mar</v>
      </c>
      <c r="R1095">
        <f>MONTH(order_data[[#This Row],[Order_Date]])</f>
        <v>3</v>
      </c>
    </row>
    <row r="1096" spans="1:18" x14ac:dyDescent="0.35">
      <c r="A1096" t="s">
        <v>1775</v>
      </c>
      <c r="B1096" t="s">
        <v>342</v>
      </c>
      <c r="C1096" t="s">
        <v>211</v>
      </c>
      <c r="D1096" t="s">
        <v>16</v>
      </c>
      <c r="E1096" t="s">
        <v>17</v>
      </c>
      <c r="F1096" t="s">
        <v>18</v>
      </c>
      <c r="G1096" t="s">
        <v>74</v>
      </c>
      <c r="H1096">
        <v>643</v>
      </c>
      <c r="I1096">
        <v>30</v>
      </c>
      <c r="J1096">
        <v>30</v>
      </c>
      <c r="K1096" t="s">
        <v>29</v>
      </c>
      <c r="L1096">
        <v>45</v>
      </c>
      <c r="M1096" t="s">
        <v>21</v>
      </c>
      <c r="N1096">
        <f>COUNTIF(order_data[Order_ID],order_data[[#This Row],[Order_ID]])</f>
        <v>1</v>
      </c>
      <c r="O1096">
        <f>order_data[[#This Row],[Order_Value]]-order_data[[#This Row],[Discount]]</f>
        <v>613</v>
      </c>
      <c r="P1096">
        <f>order_data[[#This Row],[Order_Value]]+order_data[[#This Row],[Delivery_Fee]]-order_data[[#This Row],[Discount]]</f>
        <v>643</v>
      </c>
      <c r="Q1096" t="str">
        <f>TEXT(order_data[[#This Row],[Order_Date]],"mmm")</f>
        <v>Jan</v>
      </c>
      <c r="R1096">
        <f>MONTH(order_data[[#This Row],[Order_Date]])</f>
        <v>1</v>
      </c>
    </row>
    <row r="1097" spans="1:18" x14ac:dyDescent="0.35">
      <c r="A1097" t="s">
        <v>1776</v>
      </c>
      <c r="B1097" t="s">
        <v>226</v>
      </c>
      <c r="C1097" t="s">
        <v>587</v>
      </c>
      <c r="D1097" t="s">
        <v>25</v>
      </c>
      <c r="E1097" t="s">
        <v>78</v>
      </c>
      <c r="F1097" t="s">
        <v>48</v>
      </c>
      <c r="G1097" t="s">
        <v>35</v>
      </c>
      <c r="H1097">
        <v>245</v>
      </c>
      <c r="I1097">
        <v>40</v>
      </c>
      <c r="J1097">
        <v>20</v>
      </c>
      <c r="K1097" t="s">
        <v>29</v>
      </c>
      <c r="L1097">
        <v>45</v>
      </c>
      <c r="M1097" t="s">
        <v>21</v>
      </c>
      <c r="N1097">
        <f>COUNTIF(order_data[Order_ID],order_data[[#This Row],[Order_ID]])</f>
        <v>1</v>
      </c>
      <c r="O1097">
        <f>order_data[[#This Row],[Order_Value]]-order_data[[#This Row],[Discount]]</f>
        <v>225</v>
      </c>
      <c r="P1097">
        <f>order_data[[#This Row],[Order_Value]]+order_data[[#This Row],[Delivery_Fee]]-order_data[[#This Row],[Discount]]</f>
        <v>265</v>
      </c>
      <c r="Q1097" t="str">
        <f>TEXT(order_data[[#This Row],[Order_Date]],"mmm")</f>
        <v>Jan</v>
      </c>
      <c r="R1097">
        <f>MONTH(order_data[[#This Row],[Order_Date]])</f>
        <v>1</v>
      </c>
    </row>
    <row r="1098" spans="1:18" x14ac:dyDescent="0.35">
      <c r="A1098" t="s">
        <v>1777</v>
      </c>
      <c r="B1098" t="s">
        <v>398</v>
      </c>
      <c r="C1098" t="s">
        <v>1124</v>
      </c>
      <c r="D1098" t="s">
        <v>53</v>
      </c>
      <c r="E1098" t="s">
        <v>54</v>
      </c>
      <c r="F1098" t="s">
        <v>55</v>
      </c>
      <c r="G1098" t="s">
        <v>49</v>
      </c>
      <c r="H1098">
        <v>244</v>
      </c>
      <c r="I1098">
        <v>40</v>
      </c>
      <c r="J1098">
        <v>0</v>
      </c>
      <c r="K1098" t="s">
        <v>36</v>
      </c>
      <c r="L1098">
        <v>32</v>
      </c>
      <c r="M1098" t="s">
        <v>21</v>
      </c>
      <c r="N1098">
        <f>COUNTIF(order_data[Order_ID],order_data[[#This Row],[Order_ID]])</f>
        <v>1</v>
      </c>
      <c r="O1098">
        <f>order_data[[#This Row],[Order_Value]]-order_data[[#This Row],[Discount]]</f>
        <v>244</v>
      </c>
      <c r="P1098">
        <f>order_data[[#This Row],[Order_Value]]+order_data[[#This Row],[Delivery_Fee]]-order_data[[#This Row],[Discount]]</f>
        <v>284</v>
      </c>
      <c r="Q1098" t="str">
        <f>TEXT(order_data[[#This Row],[Order_Date]],"mmm")</f>
        <v>Feb</v>
      </c>
      <c r="R1098">
        <f>MONTH(order_data[[#This Row],[Order_Date]])</f>
        <v>2</v>
      </c>
    </row>
    <row r="1099" spans="1:18" x14ac:dyDescent="0.35">
      <c r="A1099" t="s">
        <v>1778</v>
      </c>
      <c r="B1099" t="s">
        <v>72</v>
      </c>
      <c r="C1099" t="s">
        <v>1779</v>
      </c>
      <c r="D1099" t="s">
        <v>53</v>
      </c>
      <c r="E1099" t="s">
        <v>84</v>
      </c>
      <c r="F1099" t="s">
        <v>85</v>
      </c>
      <c r="G1099" t="s">
        <v>28</v>
      </c>
      <c r="H1099">
        <v>593</v>
      </c>
      <c r="I1099">
        <v>50</v>
      </c>
      <c r="J1099">
        <v>30</v>
      </c>
      <c r="K1099" t="s">
        <v>29</v>
      </c>
      <c r="L1099">
        <v>38</v>
      </c>
      <c r="M1099" t="s">
        <v>21</v>
      </c>
      <c r="N1099">
        <f>COUNTIF(order_data[Order_ID],order_data[[#This Row],[Order_ID]])</f>
        <v>1</v>
      </c>
      <c r="O1099">
        <f>order_data[[#This Row],[Order_Value]]-order_data[[#This Row],[Discount]]</f>
        <v>563</v>
      </c>
      <c r="P1099">
        <f>order_data[[#This Row],[Order_Value]]+order_data[[#This Row],[Delivery_Fee]]-order_data[[#This Row],[Discount]]</f>
        <v>613</v>
      </c>
      <c r="Q1099" t="str">
        <f>TEXT(order_data[[#This Row],[Order_Date]],"mmm")</f>
        <v>Jan</v>
      </c>
      <c r="R1099">
        <f>MONTH(order_data[[#This Row],[Order_Date]])</f>
        <v>1</v>
      </c>
    </row>
    <row r="1100" spans="1:18" x14ac:dyDescent="0.35">
      <c r="A1100" t="s">
        <v>1780</v>
      </c>
      <c r="B1100" t="s">
        <v>129</v>
      </c>
      <c r="C1100" t="s">
        <v>1384</v>
      </c>
      <c r="D1100" t="s">
        <v>16</v>
      </c>
      <c r="E1100" t="s">
        <v>131</v>
      </c>
      <c r="F1100" t="s">
        <v>55</v>
      </c>
      <c r="G1100" t="s">
        <v>28</v>
      </c>
      <c r="H1100">
        <v>315</v>
      </c>
      <c r="I1100">
        <v>20</v>
      </c>
      <c r="J1100">
        <v>0</v>
      </c>
      <c r="K1100" t="s">
        <v>36</v>
      </c>
      <c r="L1100">
        <v>59</v>
      </c>
      <c r="M1100" t="s">
        <v>21</v>
      </c>
      <c r="N1100">
        <f>COUNTIF(order_data[Order_ID],order_data[[#This Row],[Order_ID]])</f>
        <v>1</v>
      </c>
      <c r="O1100">
        <f>order_data[[#This Row],[Order_Value]]-order_data[[#This Row],[Discount]]</f>
        <v>315</v>
      </c>
      <c r="P1100">
        <f>order_data[[#This Row],[Order_Value]]+order_data[[#This Row],[Delivery_Fee]]-order_data[[#This Row],[Discount]]</f>
        <v>335</v>
      </c>
      <c r="Q1100" t="str">
        <f>TEXT(order_data[[#This Row],[Order_Date]],"mmm")</f>
        <v>Feb</v>
      </c>
      <c r="R1100">
        <f>MONTH(order_data[[#This Row],[Order_Date]])</f>
        <v>2</v>
      </c>
    </row>
    <row r="1101" spans="1:18" x14ac:dyDescent="0.35">
      <c r="A1101" t="s">
        <v>1781</v>
      </c>
      <c r="B1101" t="s">
        <v>76</v>
      </c>
      <c r="C1101" t="s">
        <v>100</v>
      </c>
      <c r="D1101" t="s">
        <v>25</v>
      </c>
      <c r="E1101" t="s">
        <v>26</v>
      </c>
      <c r="F1101" t="s">
        <v>27</v>
      </c>
      <c r="G1101" t="s">
        <v>49</v>
      </c>
      <c r="H1101">
        <v>456</v>
      </c>
      <c r="I1101">
        <v>40</v>
      </c>
      <c r="J1101">
        <v>0</v>
      </c>
      <c r="K1101" t="s">
        <v>29</v>
      </c>
      <c r="L1101">
        <v>20</v>
      </c>
      <c r="M1101" t="s">
        <v>21</v>
      </c>
      <c r="N1101">
        <f>COUNTIF(order_data[Order_ID],order_data[[#This Row],[Order_ID]])</f>
        <v>1</v>
      </c>
      <c r="O1101">
        <f>order_data[[#This Row],[Order_Value]]-order_data[[#This Row],[Discount]]</f>
        <v>456</v>
      </c>
      <c r="P1101">
        <f>order_data[[#This Row],[Order_Value]]+order_data[[#This Row],[Delivery_Fee]]-order_data[[#This Row],[Discount]]</f>
        <v>496</v>
      </c>
      <c r="Q1101" t="str">
        <f>TEXT(order_data[[#This Row],[Order_Date]],"mmm")</f>
        <v>Feb</v>
      </c>
      <c r="R1101">
        <f>MONTH(order_data[[#This Row],[Order_Date]])</f>
        <v>2</v>
      </c>
    </row>
    <row r="1102" spans="1:18" x14ac:dyDescent="0.35">
      <c r="A1102" t="s">
        <v>1782</v>
      </c>
      <c r="B1102" t="s">
        <v>213</v>
      </c>
      <c r="C1102" t="s">
        <v>1472</v>
      </c>
      <c r="D1102" t="s">
        <v>46</v>
      </c>
      <c r="E1102" t="s">
        <v>47</v>
      </c>
      <c r="F1102" t="s">
        <v>48</v>
      </c>
      <c r="G1102" t="s">
        <v>74</v>
      </c>
      <c r="H1102">
        <v>762</v>
      </c>
      <c r="I1102">
        <v>50</v>
      </c>
      <c r="J1102">
        <v>30</v>
      </c>
      <c r="K1102" t="s">
        <v>36</v>
      </c>
      <c r="L1102">
        <v>29</v>
      </c>
      <c r="M1102" t="s">
        <v>21</v>
      </c>
      <c r="N1102">
        <f>COUNTIF(order_data[Order_ID],order_data[[#This Row],[Order_ID]])</f>
        <v>1</v>
      </c>
      <c r="O1102">
        <f>order_data[[#This Row],[Order_Value]]-order_data[[#This Row],[Discount]]</f>
        <v>732</v>
      </c>
      <c r="P1102">
        <f>order_data[[#This Row],[Order_Value]]+order_data[[#This Row],[Delivery_Fee]]-order_data[[#This Row],[Discount]]</f>
        <v>782</v>
      </c>
      <c r="Q1102" t="str">
        <f>TEXT(order_data[[#This Row],[Order_Date]],"mmm")</f>
        <v>Jan</v>
      </c>
      <c r="R1102">
        <f>MONTH(order_data[[#This Row],[Order_Date]])</f>
        <v>1</v>
      </c>
    </row>
    <row r="1103" spans="1:18" x14ac:dyDescent="0.35">
      <c r="A1103" t="s">
        <v>1783</v>
      </c>
      <c r="B1103" t="s">
        <v>65</v>
      </c>
      <c r="C1103" t="s">
        <v>982</v>
      </c>
      <c r="D1103" t="s">
        <v>40</v>
      </c>
      <c r="E1103" t="s">
        <v>41</v>
      </c>
      <c r="F1103" t="s">
        <v>27</v>
      </c>
      <c r="G1103" t="s">
        <v>28</v>
      </c>
      <c r="H1103">
        <v>572</v>
      </c>
      <c r="I1103">
        <v>50</v>
      </c>
      <c r="J1103">
        <v>30</v>
      </c>
      <c r="K1103" t="s">
        <v>20</v>
      </c>
      <c r="L1103">
        <v>31</v>
      </c>
      <c r="M1103" t="s">
        <v>21</v>
      </c>
      <c r="N1103">
        <f>COUNTIF(order_data[Order_ID],order_data[[#This Row],[Order_ID]])</f>
        <v>1</v>
      </c>
      <c r="O1103">
        <f>order_data[[#This Row],[Order_Value]]-order_data[[#This Row],[Discount]]</f>
        <v>542</v>
      </c>
      <c r="P1103">
        <f>order_data[[#This Row],[Order_Value]]+order_data[[#This Row],[Delivery_Fee]]-order_data[[#This Row],[Discount]]</f>
        <v>592</v>
      </c>
      <c r="Q1103" t="str">
        <f>TEXT(order_data[[#This Row],[Order_Date]],"mmm")</f>
        <v>Mar</v>
      </c>
      <c r="R1103">
        <f>MONTH(order_data[[#This Row],[Order_Date]])</f>
        <v>3</v>
      </c>
    </row>
    <row r="1104" spans="1:18" x14ac:dyDescent="0.35">
      <c r="A1104" t="s">
        <v>1784</v>
      </c>
      <c r="B1104" t="s">
        <v>91</v>
      </c>
      <c r="C1104" t="s">
        <v>317</v>
      </c>
      <c r="D1104" t="s">
        <v>53</v>
      </c>
      <c r="E1104" t="s">
        <v>152</v>
      </c>
      <c r="F1104" t="s">
        <v>18</v>
      </c>
      <c r="G1104" t="s">
        <v>176</v>
      </c>
      <c r="H1104">
        <v>438</v>
      </c>
      <c r="I1104">
        <v>50</v>
      </c>
      <c r="J1104">
        <v>20</v>
      </c>
      <c r="K1104" t="s">
        <v>36</v>
      </c>
      <c r="L1104">
        <v>55</v>
      </c>
      <c r="M1104" t="s">
        <v>21</v>
      </c>
      <c r="N1104">
        <f>COUNTIF(order_data[Order_ID],order_data[[#This Row],[Order_ID]])</f>
        <v>1</v>
      </c>
      <c r="O1104">
        <f>order_data[[#This Row],[Order_Value]]-order_data[[#This Row],[Discount]]</f>
        <v>418</v>
      </c>
      <c r="P1104">
        <f>order_data[[#This Row],[Order_Value]]+order_data[[#This Row],[Delivery_Fee]]-order_data[[#This Row],[Discount]]</f>
        <v>468</v>
      </c>
      <c r="Q1104" t="str">
        <f>TEXT(order_data[[#This Row],[Order_Date]],"mmm")</f>
        <v>Mar</v>
      </c>
      <c r="R1104">
        <f>MONTH(order_data[[#This Row],[Order_Date]])</f>
        <v>3</v>
      </c>
    </row>
    <row r="1105" spans="1:18" x14ac:dyDescent="0.35">
      <c r="A1105" t="s">
        <v>1785</v>
      </c>
      <c r="B1105" t="s">
        <v>267</v>
      </c>
      <c r="C1105" t="s">
        <v>1786</v>
      </c>
      <c r="D1105" t="s">
        <v>16</v>
      </c>
      <c r="E1105" t="s">
        <v>89</v>
      </c>
      <c r="F1105" t="s">
        <v>18</v>
      </c>
      <c r="G1105" t="s">
        <v>59</v>
      </c>
      <c r="H1105">
        <v>266</v>
      </c>
      <c r="I1105">
        <v>50</v>
      </c>
      <c r="J1105">
        <v>50</v>
      </c>
      <c r="K1105" t="s">
        <v>29</v>
      </c>
      <c r="L1105">
        <v>27</v>
      </c>
      <c r="M1105" t="s">
        <v>21</v>
      </c>
      <c r="N1105">
        <f>COUNTIF(order_data[Order_ID],order_data[[#This Row],[Order_ID]])</f>
        <v>1</v>
      </c>
      <c r="O1105">
        <f>order_data[[#This Row],[Order_Value]]-order_data[[#This Row],[Discount]]</f>
        <v>216</v>
      </c>
      <c r="P1105">
        <f>order_data[[#This Row],[Order_Value]]+order_data[[#This Row],[Delivery_Fee]]-order_data[[#This Row],[Discount]]</f>
        <v>266</v>
      </c>
      <c r="Q1105" t="str">
        <f>TEXT(order_data[[#This Row],[Order_Date]],"mmm")</f>
        <v>Jan</v>
      </c>
      <c r="R1105">
        <f>MONTH(order_data[[#This Row],[Order_Date]])</f>
        <v>1</v>
      </c>
    </row>
    <row r="1106" spans="1:18" x14ac:dyDescent="0.35">
      <c r="A1106" t="s">
        <v>1787</v>
      </c>
      <c r="B1106" t="s">
        <v>126</v>
      </c>
      <c r="C1106" t="s">
        <v>1788</v>
      </c>
      <c r="D1106" t="s">
        <v>46</v>
      </c>
      <c r="E1106" t="s">
        <v>148</v>
      </c>
      <c r="F1106" t="s">
        <v>27</v>
      </c>
      <c r="G1106" t="s">
        <v>42</v>
      </c>
      <c r="H1106">
        <v>645</v>
      </c>
      <c r="I1106">
        <v>50</v>
      </c>
      <c r="J1106">
        <v>100</v>
      </c>
      <c r="K1106" t="s">
        <v>36</v>
      </c>
      <c r="L1106">
        <v>43</v>
      </c>
      <c r="M1106" t="s">
        <v>21</v>
      </c>
      <c r="N1106">
        <f>COUNTIF(order_data[Order_ID],order_data[[#This Row],[Order_ID]])</f>
        <v>1</v>
      </c>
      <c r="O1106">
        <f>order_data[[#This Row],[Order_Value]]-order_data[[#This Row],[Discount]]</f>
        <v>545</v>
      </c>
      <c r="P1106">
        <f>order_data[[#This Row],[Order_Value]]+order_data[[#This Row],[Delivery_Fee]]-order_data[[#This Row],[Discount]]</f>
        <v>595</v>
      </c>
      <c r="Q1106" t="str">
        <f>TEXT(order_data[[#This Row],[Order_Date]],"mmm")</f>
        <v>Mar</v>
      </c>
      <c r="R1106">
        <f>MONTH(order_data[[#This Row],[Order_Date]])</f>
        <v>3</v>
      </c>
    </row>
    <row r="1107" spans="1:18" x14ac:dyDescent="0.35">
      <c r="A1107" t="s">
        <v>1789</v>
      </c>
      <c r="B1107" t="s">
        <v>267</v>
      </c>
      <c r="C1107" t="s">
        <v>1233</v>
      </c>
      <c r="D1107" t="s">
        <v>53</v>
      </c>
      <c r="E1107" t="s">
        <v>84</v>
      </c>
      <c r="F1107" t="s">
        <v>85</v>
      </c>
      <c r="G1107" t="s">
        <v>49</v>
      </c>
      <c r="H1107">
        <v>771</v>
      </c>
      <c r="I1107">
        <v>50</v>
      </c>
      <c r="J1107">
        <v>50</v>
      </c>
      <c r="K1107" t="s">
        <v>29</v>
      </c>
      <c r="L1107">
        <v>34</v>
      </c>
      <c r="M1107" t="s">
        <v>21</v>
      </c>
      <c r="N1107">
        <f>COUNTIF(order_data[Order_ID],order_data[[#This Row],[Order_ID]])</f>
        <v>1</v>
      </c>
      <c r="O1107">
        <f>order_data[[#This Row],[Order_Value]]-order_data[[#This Row],[Discount]]</f>
        <v>721</v>
      </c>
      <c r="P1107">
        <f>order_data[[#This Row],[Order_Value]]+order_data[[#This Row],[Delivery_Fee]]-order_data[[#This Row],[Discount]]</f>
        <v>771</v>
      </c>
      <c r="Q1107" t="str">
        <f>TEXT(order_data[[#This Row],[Order_Date]],"mmm")</f>
        <v>Jan</v>
      </c>
      <c r="R1107">
        <f>MONTH(order_data[[#This Row],[Order_Date]])</f>
        <v>1</v>
      </c>
    </row>
    <row r="1108" spans="1:18" x14ac:dyDescent="0.35">
      <c r="A1108" t="s">
        <v>1790</v>
      </c>
      <c r="B1108" t="s">
        <v>23</v>
      </c>
      <c r="C1108" t="s">
        <v>298</v>
      </c>
      <c r="D1108" t="s">
        <v>53</v>
      </c>
      <c r="E1108" t="s">
        <v>84</v>
      </c>
      <c r="F1108" t="s">
        <v>85</v>
      </c>
      <c r="G1108" t="s">
        <v>107</v>
      </c>
      <c r="H1108">
        <v>711</v>
      </c>
      <c r="I1108">
        <v>20</v>
      </c>
      <c r="J1108">
        <v>0</v>
      </c>
      <c r="K1108" t="s">
        <v>29</v>
      </c>
      <c r="L1108">
        <v>54</v>
      </c>
      <c r="M1108" t="s">
        <v>21</v>
      </c>
      <c r="N1108">
        <f>COUNTIF(order_data[Order_ID],order_data[[#This Row],[Order_ID]])</f>
        <v>1</v>
      </c>
      <c r="O1108">
        <f>order_data[[#This Row],[Order_Value]]-order_data[[#This Row],[Discount]]</f>
        <v>711</v>
      </c>
      <c r="P1108">
        <f>order_data[[#This Row],[Order_Value]]+order_data[[#This Row],[Delivery_Fee]]-order_data[[#This Row],[Discount]]</f>
        <v>731</v>
      </c>
      <c r="Q1108" t="str">
        <f>TEXT(order_data[[#This Row],[Order_Date]],"mmm")</f>
        <v>Mar</v>
      </c>
      <c r="R1108">
        <f>MONTH(order_data[[#This Row],[Order_Date]])</f>
        <v>3</v>
      </c>
    </row>
    <row r="1109" spans="1:18" x14ac:dyDescent="0.35">
      <c r="A1109" t="s">
        <v>1791</v>
      </c>
      <c r="B1109" t="s">
        <v>181</v>
      </c>
      <c r="C1109" t="s">
        <v>1792</v>
      </c>
      <c r="D1109" t="s">
        <v>46</v>
      </c>
      <c r="E1109" t="s">
        <v>148</v>
      </c>
      <c r="F1109" t="s">
        <v>27</v>
      </c>
      <c r="G1109" t="s">
        <v>19</v>
      </c>
      <c r="H1109">
        <v>204</v>
      </c>
      <c r="I1109">
        <v>40</v>
      </c>
      <c r="J1109">
        <v>0</v>
      </c>
      <c r="K1109" t="s">
        <v>20</v>
      </c>
      <c r="L1109">
        <v>50</v>
      </c>
      <c r="M1109" t="s">
        <v>21</v>
      </c>
      <c r="N1109">
        <f>COUNTIF(order_data[Order_ID],order_data[[#This Row],[Order_ID]])</f>
        <v>1</v>
      </c>
      <c r="O1109">
        <f>order_data[[#This Row],[Order_Value]]-order_data[[#This Row],[Discount]]</f>
        <v>204</v>
      </c>
      <c r="P1109">
        <f>order_data[[#This Row],[Order_Value]]+order_data[[#This Row],[Delivery_Fee]]-order_data[[#This Row],[Discount]]</f>
        <v>244</v>
      </c>
      <c r="Q1109" t="str">
        <f>TEXT(order_data[[#This Row],[Order_Date]],"mmm")</f>
        <v>Feb</v>
      </c>
      <c r="R1109">
        <f>MONTH(order_data[[#This Row],[Order_Date]])</f>
        <v>2</v>
      </c>
    </row>
    <row r="1110" spans="1:18" x14ac:dyDescent="0.35">
      <c r="A1110" t="s">
        <v>1793</v>
      </c>
      <c r="B1110" t="s">
        <v>562</v>
      </c>
      <c r="C1110" t="s">
        <v>1794</v>
      </c>
      <c r="D1110" t="s">
        <v>40</v>
      </c>
      <c r="E1110" t="s">
        <v>111</v>
      </c>
      <c r="F1110" t="s">
        <v>18</v>
      </c>
      <c r="G1110" t="s">
        <v>107</v>
      </c>
      <c r="H1110">
        <v>407</v>
      </c>
      <c r="I1110">
        <v>30</v>
      </c>
      <c r="J1110">
        <v>20</v>
      </c>
      <c r="K1110" t="s">
        <v>29</v>
      </c>
      <c r="L1110">
        <v>45</v>
      </c>
      <c r="M1110" t="s">
        <v>21</v>
      </c>
      <c r="N1110">
        <f>COUNTIF(order_data[Order_ID],order_data[[#This Row],[Order_ID]])</f>
        <v>1</v>
      </c>
      <c r="O1110">
        <f>order_data[[#This Row],[Order_Value]]-order_data[[#This Row],[Discount]]</f>
        <v>387</v>
      </c>
      <c r="P1110">
        <f>order_data[[#This Row],[Order_Value]]+order_data[[#This Row],[Delivery_Fee]]-order_data[[#This Row],[Discount]]</f>
        <v>417</v>
      </c>
      <c r="Q1110" t="str">
        <f>TEXT(order_data[[#This Row],[Order_Date]],"mmm")</f>
        <v>Feb</v>
      </c>
      <c r="R1110">
        <f>MONTH(order_data[[#This Row],[Order_Date]])</f>
        <v>2</v>
      </c>
    </row>
    <row r="1111" spans="1:18" x14ac:dyDescent="0.35">
      <c r="A1111" t="s">
        <v>1795</v>
      </c>
      <c r="B1111" t="s">
        <v>583</v>
      </c>
      <c r="C1111" t="s">
        <v>259</v>
      </c>
      <c r="D1111" t="s">
        <v>16</v>
      </c>
      <c r="E1111" t="s">
        <v>89</v>
      </c>
      <c r="F1111" t="s">
        <v>18</v>
      </c>
      <c r="G1111" t="s">
        <v>19</v>
      </c>
      <c r="H1111">
        <v>794</v>
      </c>
      <c r="I1111">
        <v>40</v>
      </c>
      <c r="J1111">
        <v>20</v>
      </c>
      <c r="K1111" t="s">
        <v>29</v>
      </c>
      <c r="L1111">
        <v>25</v>
      </c>
      <c r="M1111" t="s">
        <v>30</v>
      </c>
      <c r="N1111">
        <f>COUNTIF(order_data[Order_ID],order_data[[#This Row],[Order_ID]])</f>
        <v>1</v>
      </c>
      <c r="O1111">
        <f>order_data[[#This Row],[Order_Value]]-order_data[[#This Row],[Discount]]</f>
        <v>774</v>
      </c>
      <c r="P1111">
        <f>order_data[[#This Row],[Order_Value]]+order_data[[#This Row],[Delivery_Fee]]-order_data[[#This Row],[Discount]]</f>
        <v>814</v>
      </c>
      <c r="Q1111" t="str">
        <f>TEXT(order_data[[#This Row],[Order_Date]],"mmm")</f>
        <v>Jan</v>
      </c>
      <c r="R1111">
        <f>MONTH(order_data[[#This Row],[Order_Date]])</f>
        <v>1</v>
      </c>
    </row>
    <row r="1112" spans="1:18" x14ac:dyDescent="0.35">
      <c r="A1112" t="s">
        <v>1796</v>
      </c>
      <c r="B1112" t="s">
        <v>109</v>
      </c>
      <c r="C1112" t="s">
        <v>856</v>
      </c>
      <c r="D1112" t="s">
        <v>53</v>
      </c>
      <c r="E1112" t="s">
        <v>84</v>
      </c>
      <c r="F1112" t="s">
        <v>85</v>
      </c>
      <c r="G1112" t="s">
        <v>63</v>
      </c>
      <c r="H1112">
        <v>239</v>
      </c>
      <c r="I1112">
        <v>40</v>
      </c>
      <c r="J1112">
        <v>100</v>
      </c>
      <c r="K1112" t="s">
        <v>36</v>
      </c>
      <c r="L1112">
        <v>38</v>
      </c>
      <c r="M1112" t="s">
        <v>21</v>
      </c>
      <c r="N1112">
        <f>COUNTIF(order_data[Order_ID],order_data[[#This Row],[Order_ID]])</f>
        <v>1</v>
      </c>
      <c r="O1112">
        <f>order_data[[#This Row],[Order_Value]]-order_data[[#This Row],[Discount]]</f>
        <v>139</v>
      </c>
      <c r="P1112">
        <f>order_data[[#This Row],[Order_Value]]+order_data[[#This Row],[Delivery_Fee]]-order_data[[#This Row],[Discount]]</f>
        <v>179</v>
      </c>
      <c r="Q1112" t="str">
        <f>TEXT(order_data[[#This Row],[Order_Date]],"mmm")</f>
        <v>Jan</v>
      </c>
      <c r="R1112">
        <f>MONTH(order_data[[#This Row],[Order_Date]])</f>
        <v>1</v>
      </c>
    </row>
    <row r="1113" spans="1:18" x14ac:dyDescent="0.35">
      <c r="A1113" t="s">
        <v>1797</v>
      </c>
      <c r="B1113" t="s">
        <v>244</v>
      </c>
      <c r="C1113" t="s">
        <v>1138</v>
      </c>
      <c r="D1113" t="s">
        <v>53</v>
      </c>
      <c r="E1113" t="s">
        <v>84</v>
      </c>
      <c r="F1113" t="s">
        <v>85</v>
      </c>
      <c r="G1113" t="s">
        <v>19</v>
      </c>
      <c r="H1113">
        <v>197</v>
      </c>
      <c r="I1113">
        <v>20</v>
      </c>
      <c r="J1113">
        <v>20</v>
      </c>
      <c r="K1113" t="s">
        <v>20</v>
      </c>
      <c r="L1113">
        <v>48</v>
      </c>
      <c r="M1113" t="s">
        <v>21</v>
      </c>
      <c r="N1113">
        <f>COUNTIF(order_data[Order_ID],order_data[[#This Row],[Order_ID]])</f>
        <v>1</v>
      </c>
      <c r="O1113">
        <f>order_data[[#This Row],[Order_Value]]-order_data[[#This Row],[Discount]]</f>
        <v>177</v>
      </c>
      <c r="P1113">
        <f>order_data[[#This Row],[Order_Value]]+order_data[[#This Row],[Delivery_Fee]]-order_data[[#This Row],[Discount]]</f>
        <v>197</v>
      </c>
      <c r="Q1113" t="str">
        <f>TEXT(order_data[[#This Row],[Order_Date]],"mmm")</f>
        <v>Feb</v>
      </c>
      <c r="R1113">
        <f>MONTH(order_data[[#This Row],[Order_Date]])</f>
        <v>2</v>
      </c>
    </row>
    <row r="1114" spans="1:18" x14ac:dyDescent="0.35">
      <c r="A1114" t="s">
        <v>1798</v>
      </c>
      <c r="B1114" t="s">
        <v>113</v>
      </c>
      <c r="C1114" t="s">
        <v>668</v>
      </c>
      <c r="D1114" t="s">
        <v>46</v>
      </c>
      <c r="E1114" t="s">
        <v>148</v>
      </c>
      <c r="F1114" t="s">
        <v>27</v>
      </c>
      <c r="G1114" t="s">
        <v>28</v>
      </c>
      <c r="H1114">
        <v>468</v>
      </c>
      <c r="I1114">
        <v>50</v>
      </c>
      <c r="J1114">
        <v>0</v>
      </c>
      <c r="K1114" t="s">
        <v>20</v>
      </c>
      <c r="L1114">
        <v>34</v>
      </c>
      <c r="M1114" t="s">
        <v>21</v>
      </c>
      <c r="N1114">
        <f>COUNTIF(order_data[Order_ID],order_data[[#This Row],[Order_ID]])</f>
        <v>1</v>
      </c>
      <c r="O1114">
        <f>order_data[[#This Row],[Order_Value]]-order_data[[#This Row],[Discount]]</f>
        <v>468</v>
      </c>
      <c r="P1114">
        <f>order_data[[#This Row],[Order_Value]]+order_data[[#This Row],[Delivery_Fee]]-order_data[[#This Row],[Discount]]</f>
        <v>518</v>
      </c>
      <c r="Q1114" t="str">
        <f>TEXT(order_data[[#This Row],[Order_Date]],"mmm")</f>
        <v>Mar</v>
      </c>
      <c r="R1114">
        <f>MONTH(order_data[[#This Row],[Order_Date]])</f>
        <v>3</v>
      </c>
    </row>
    <row r="1115" spans="1:18" x14ac:dyDescent="0.35">
      <c r="A1115" t="s">
        <v>1799</v>
      </c>
      <c r="B1115" t="s">
        <v>398</v>
      </c>
      <c r="C1115" t="s">
        <v>1063</v>
      </c>
      <c r="D1115" t="s">
        <v>25</v>
      </c>
      <c r="E1115" t="s">
        <v>34</v>
      </c>
      <c r="F1115" t="s">
        <v>27</v>
      </c>
      <c r="G1115" t="s">
        <v>49</v>
      </c>
      <c r="H1115">
        <v>462</v>
      </c>
      <c r="I1115">
        <v>30</v>
      </c>
      <c r="J1115">
        <v>20</v>
      </c>
      <c r="K1115" t="s">
        <v>20</v>
      </c>
      <c r="L1115">
        <v>29</v>
      </c>
      <c r="M1115" t="s">
        <v>21</v>
      </c>
      <c r="N1115">
        <f>COUNTIF(order_data[Order_ID],order_data[[#This Row],[Order_ID]])</f>
        <v>1</v>
      </c>
      <c r="O1115">
        <f>order_data[[#This Row],[Order_Value]]-order_data[[#This Row],[Discount]]</f>
        <v>442</v>
      </c>
      <c r="P1115">
        <f>order_data[[#This Row],[Order_Value]]+order_data[[#This Row],[Delivery_Fee]]-order_data[[#This Row],[Discount]]</f>
        <v>472</v>
      </c>
      <c r="Q1115" t="str">
        <f>TEXT(order_data[[#This Row],[Order_Date]],"mmm")</f>
        <v>Feb</v>
      </c>
      <c r="R1115">
        <f>MONTH(order_data[[#This Row],[Order_Date]])</f>
        <v>2</v>
      </c>
    </row>
    <row r="1116" spans="1:18" x14ac:dyDescent="0.35">
      <c r="A1116" t="s">
        <v>1800</v>
      </c>
      <c r="B1116" t="s">
        <v>44</v>
      </c>
      <c r="C1116" t="s">
        <v>1801</v>
      </c>
      <c r="D1116" t="s">
        <v>16</v>
      </c>
      <c r="E1116" t="s">
        <v>131</v>
      </c>
      <c r="F1116" t="s">
        <v>55</v>
      </c>
      <c r="G1116" t="s">
        <v>42</v>
      </c>
      <c r="H1116">
        <v>319</v>
      </c>
      <c r="I1116">
        <v>30</v>
      </c>
      <c r="J1116">
        <v>100</v>
      </c>
      <c r="K1116" t="s">
        <v>20</v>
      </c>
      <c r="L1116">
        <v>43</v>
      </c>
      <c r="M1116" t="s">
        <v>21</v>
      </c>
      <c r="N1116">
        <f>COUNTIF(order_data[Order_ID],order_data[[#This Row],[Order_ID]])</f>
        <v>1</v>
      </c>
      <c r="O1116">
        <f>order_data[[#This Row],[Order_Value]]-order_data[[#This Row],[Discount]]</f>
        <v>219</v>
      </c>
      <c r="P1116">
        <f>order_data[[#This Row],[Order_Value]]+order_data[[#This Row],[Delivery_Fee]]-order_data[[#This Row],[Discount]]</f>
        <v>249</v>
      </c>
      <c r="Q1116" t="str">
        <f>TEXT(order_data[[#This Row],[Order_Date]],"mmm")</f>
        <v>Jan</v>
      </c>
      <c r="R1116">
        <f>MONTH(order_data[[#This Row],[Order_Date]])</f>
        <v>1</v>
      </c>
    </row>
    <row r="1117" spans="1:18" x14ac:dyDescent="0.35">
      <c r="A1117" t="s">
        <v>1802</v>
      </c>
      <c r="B1117" t="s">
        <v>657</v>
      </c>
      <c r="C1117" t="s">
        <v>1636</v>
      </c>
      <c r="D1117" t="s">
        <v>25</v>
      </c>
      <c r="E1117" t="s">
        <v>78</v>
      </c>
      <c r="F1117" t="s">
        <v>48</v>
      </c>
      <c r="G1117" t="s">
        <v>176</v>
      </c>
      <c r="H1117">
        <v>173</v>
      </c>
      <c r="I1117">
        <v>40</v>
      </c>
      <c r="J1117">
        <v>0</v>
      </c>
      <c r="K1117" t="s">
        <v>20</v>
      </c>
      <c r="L1117">
        <v>27</v>
      </c>
      <c r="M1117" t="s">
        <v>21</v>
      </c>
      <c r="N1117">
        <f>COUNTIF(order_data[Order_ID],order_data[[#This Row],[Order_ID]])</f>
        <v>1</v>
      </c>
      <c r="O1117">
        <f>order_data[[#This Row],[Order_Value]]-order_data[[#This Row],[Discount]]</f>
        <v>173</v>
      </c>
      <c r="P1117">
        <f>order_data[[#This Row],[Order_Value]]+order_data[[#This Row],[Delivery_Fee]]-order_data[[#This Row],[Discount]]</f>
        <v>213</v>
      </c>
      <c r="Q1117" t="str">
        <f>TEXT(order_data[[#This Row],[Order_Date]],"mmm")</f>
        <v>Jan</v>
      </c>
      <c r="R1117">
        <f>MONTH(order_data[[#This Row],[Order_Date]])</f>
        <v>1</v>
      </c>
    </row>
    <row r="1118" spans="1:18" x14ac:dyDescent="0.35">
      <c r="A1118" t="s">
        <v>1803</v>
      </c>
      <c r="B1118" t="s">
        <v>336</v>
      </c>
      <c r="C1118" t="s">
        <v>1804</v>
      </c>
      <c r="D1118" t="s">
        <v>40</v>
      </c>
      <c r="E1118" t="s">
        <v>41</v>
      </c>
      <c r="F1118" t="s">
        <v>27</v>
      </c>
      <c r="G1118" t="s">
        <v>35</v>
      </c>
      <c r="H1118">
        <v>533</v>
      </c>
      <c r="I1118">
        <v>50</v>
      </c>
      <c r="J1118">
        <v>100</v>
      </c>
      <c r="K1118" t="s">
        <v>20</v>
      </c>
      <c r="L1118">
        <v>54</v>
      </c>
      <c r="M1118" t="s">
        <v>21</v>
      </c>
      <c r="N1118">
        <f>COUNTIF(order_data[Order_ID],order_data[[#This Row],[Order_ID]])</f>
        <v>1</v>
      </c>
      <c r="O1118">
        <f>order_data[[#This Row],[Order_Value]]-order_data[[#This Row],[Discount]]</f>
        <v>433</v>
      </c>
      <c r="P1118">
        <f>order_data[[#This Row],[Order_Value]]+order_data[[#This Row],[Delivery_Fee]]-order_data[[#This Row],[Discount]]</f>
        <v>483</v>
      </c>
      <c r="Q1118" t="str">
        <f>TEXT(order_data[[#This Row],[Order_Date]],"mmm")</f>
        <v>Feb</v>
      </c>
      <c r="R1118">
        <f>MONTH(order_data[[#This Row],[Order_Date]])</f>
        <v>2</v>
      </c>
    </row>
    <row r="1119" spans="1:18" x14ac:dyDescent="0.35">
      <c r="A1119" t="s">
        <v>1805</v>
      </c>
      <c r="B1119" t="s">
        <v>365</v>
      </c>
      <c r="C1119" t="s">
        <v>909</v>
      </c>
      <c r="D1119" t="s">
        <v>40</v>
      </c>
      <c r="E1119" t="s">
        <v>41</v>
      </c>
      <c r="F1119" t="s">
        <v>27</v>
      </c>
      <c r="G1119" t="s">
        <v>176</v>
      </c>
      <c r="H1119">
        <v>748</v>
      </c>
      <c r="I1119">
        <v>50</v>
      </c>
      <c r="J1119">
        <v>20</v>
      </c>
      <c r="K1119" t="s">
        <v>20</v>
      </c>
      <c r="L1119">
        <v>53</v>
      </c>
      <c r="M1119" t="s">
        <v>21</v>
      </c>
      <c r="N1119">
        <f>COUNTIF(order_data[Order_ID],order_data[[#This Row],[Order_ID]])</f>
        <v>1</v>
      </c>
      <c r="O1119">
        <f>order_data[[#This Row],[Order_Value]]-order_data[[#This Row],[Discount]]</f>
        <v>728</v>
      </c>
      <c r="P1119">
        <f>order_data[[#This Row],[Order_Value]]+order_data[[#This Row],[Delivery_Fee]]-order_data[[#This Row],[Discount]]</f>
        <v>778</v>
      </c>
      <c r="Q1119" t="str">
        <f>TEXT(order_data[[#This Row],[Order_Date]],"mmm")</f>
        <v>Jan</v>
      </c>
      <c r="R1119">
        <f>MONTH(order_data[[#This Row],[Order_Date]])</f>
        <v>1</v>
      </c>
    </row>
    <row r="1120" spans="1:18" x14ac:dyDescent="0.35">
      <c r="A1120" t="s">
        <v>1806</v>
      </c>
      <c r="B1120" t="s">
        <v>247</v>
      </c>
      <c r="C1120" t="s">
        <v>276</v>
      </c>
      <c r="D1120" t="s">
        <v>40</v>
      </c>
      <c r="E1120" t="s">
        <v>111</v>
      </c>
      <c r="F1120" t="s">
        <v>18</v>
      </c>
      <c r="G1120" t="s">
        <v>176</v>
      </c>
      <c r="H1120">
        <v>289</v>
      </c>
      <c r="I1120">
        <v>20</v>
      </c>
      <c r="J1120">
        <v>100</v>
      </c>
      <c r="K1120" t="s">
        <v>29</v>
      </c>
      <c r="L1120">
        <v>35</v>
      </c>
      <c r="M1120" t="s">
        <v>21</v>
      </c>
      <c r="N1120">
        <f>COUNTIF(order_data[Order_ID],order_data[[#This Row],[Order_ID]])</f>
        <v>1</v>
      </c>
      <c r="O1120">
        <f>order_data[[#This Row],[Order_Value]]-order_data[[#This Row],[Discount]]</f>
        <v>189</v>
      </c>
      <c r="P1120">
        <f>order_data[[#This Row],[Order_Value]]+order_data[[#This Row],[Delivery_Fee]]-order_data[[#This Row],[Discount]]</f>
        <v>209</v>
      </c>
      <c r="Q1120" t="str">
        <f>TEXT(order_data[[#This Row],[Order_Date]],"mmm")</f>
        <v>Mar</v>
      </c>
      <c r="R1120">
        <f>MONTH(order_data[[#This Row],[Order_Date]])</f>
        <v>3</v>
      </c>
    </row>
    <row r="1121" spans="1:18" x14ac:dyDescent="0.35">
      <c r="A1121" t="s">
        <v>1807</v>
      </c>
      <c r="B1121" t="s">
        <v>398</v>
      </c>
      <c r="C1121" t="s">
        <v>1243</v>
      </c>
      <c r="D1121" t="s">
        <v>46</v>
      </c>
      <c r="E1121" t="s">
        <v>148</v>
      </c>
      <c r="F1121" t="s">
        <v>27</v>
      </c>
      <c r="G1121" t="s">
        <v>42</v>
      </c>
      <c r="H1121">
        <v>412</v>
      </c>
      <c r="I1121">
        <v>30</v>
      </c>
      <c r="J1121">
        <v>20</v>
      </c>
      <c r="K1121" t="s">
        <v>36</v>
      </c>
      <c r="L1121">
        <v>20</v>
      </c>
      <c r="M1121" t="s">
        <v>21</v>
      </c>
      <c r="N1121">
        <f>COUNTIF(order_data[Order_ID],order_data[[#This Row],[Order_ID]])</f>
        <v>1</v>
      </c>
      <c r="O1121">
        <f>order_data[[#This Row],[Order_Value]]-order_data[[#This Row],[Discount]]</f>
        <v>392</v>
      </c>
      <c r="P1121">
        <f>order_data[[#This Row],[Order_Value]]+order_data[[#This Row],[Delivery_Fee]]-order_data[[#This Row],[Discount]]</f>
        <v>422</v>
      </c>
      <c r="Q1121" t="str">
        <f>TEXT(order_data[[#This Row],[Order_Date]],"mmm")</f>
        <v>Feb</v>
      </c>
      <c r="R1121">
        <f>MONTH(order_data[[#This Row],[Order_Date]])</f>
        <v>2</v>
      </c>
    </row>
    <row r="1122" spans="1:18" x14ac:dyDescent="0.35">
      <c r="A1122" t="s">
        <v>1808</v>
      </c>
      <c r="B1122" t="s">
        <v>244</v>
      </c>
      <c r="C1122" t="s">
        <v>1311</v>
      </c>
      <c r="D1122" t="s">
        <v>53</v>
      </c>
      <c r="E1122" t="s">
        <v>84</v>
      </c>
      <c r="F1122" t="s">
        <v>85</v>
      </c>
      <c r="G1122" t="s">
        <v>19</v>
      </c>
      <c r="H1122">
        <v>470</v>
      </c>
      <c r="I1122">
        <v>40</v>
      </c>
      <c r="J1122">
        <v>100</v>
      </c>
      <c r="K1122" t="s">
        <v>20</v>
      </c>
      <c r="L1122">
        <v>55</v>
      </c>
      <c r="M1122" t="s">
        <v>21</v>
      </c>
      <c r="N1122">
        <f>COUNTIF(order_data[Order_ID],order_data[[#This Row],[Order_ID]])</f>
        <v>1</v>
      </c>
      <c r="O1122">
        <f>order_data[[#This Row],[Order_Value]]-order_data[[#This Row],[Discount]]</f>
        <v>370</v>
      </c>
      <c r="P1122">
        <f>order_data[[#This Row],[Order_Value]]+order_data[[#This Row],[Delivery_Fee]]-order_data[[#This Row],[Discount]]</f>
        <v>410</v>
      </c>
      <c r="Q1122" t="str">
        <f>TEXT(order_data[[#This Row],[Order_Date]],"mmm")</f>
        <v>Feb</v>
      </c>
      <c r="R1122">
        <f>MONTH(order_data[[#This Row],[Order_Date]])</f>
        <v>2</v>
      </c>
    </row>
    <row r="1123" spans="1:18" x14ac:dyDescent="0.35">
      <c r="A1123" t="s">
        <v>1809</v>
      </c>
      <c r="B1123" t="s">
        <v>486</v>
      </c>
      <c r="C1123" t="s">
        <v>97</v>
      </c>
      <c r="D1123" t="s">
        <v>46</v>
      </c>
      <c r="E1123" t="s">
        <v>70</v>
      </c>
      <c r="F1123" t="s">
        <v>18</v>
      </c>
      <c r="G1123" t="s">
        <v>63</v>
      </c>
      <c r="H1123">
        <v>728</v>
      </c>
      <c r="I1123">
        <v>40</v>
      </c>
      <c r="J1123">
        <v>100</v>
      </c>
      <c r="K1123" t="s">
        <v>20</v>
      </c>
      <c r="L1123">
        <v>49</v>
      </c>
      <c r="M1123" t="s">
        <v>21</v>
      </c>
      <c r="N1123">
        <f>COUNTIF(order_data[Order_ID],order_data[[#This Row],[Order_ID]])</f>
        <v>1</v>
      </c>
      <c r="O1123">
        <f>order_data[[#This Row],[Order_Value]]-order_data[[#This Row],[Discount]]</f>
        <v>628</v>
      </c>
      <c r="P1123">
        <f>order_data[[#This Row],[Order_Value]]+order_data[[#This Row],[Delivery_Fee]]-order_data[[#This Row],[Discount]]</f>
        <v>668</v>
      </c>
      <c r="Q1123" t="str">
        <f>TEXT(order_data[[#This Row],[Order_Date]],"mmm")</f>
        <v>Jan</v>
      </c>
      <c r="R1123">
        <f>MONTH(order_data[[#This Row],[Order_Date]])</f>
        <v>1</v>
      </c>
    </row>
    <row r="1124" spans="1:18" x14ac:dyDescent="0.35">
      <c r="A1124" t="s">
        <v>1810</v>
      </c>
      <c r="B1124" t="s">
        <v>322</v>
      </c>
      <c r="C1124" t="s">
        <v>334</v>
      </c>
      <c r="D1124" t="s">
        <v>40</v>
      </c>
      <c r="E1124" t="s">
        <v>111</v>
      </c>
      <c r="F1124" t="s">
        <v>18</v>
      </c>
      <c r="G1124" t="s">
        <v>35</v>
      </c>
      <c r="H1124">
        <v>467</v>
      </c>
      <c r="I1124">
        <v>40</v>
      </c>
      <c r="J1124">
        <v>50</v>
      </c>
      <c r="K1124" t="s">
        <v>29</v>
      </c>
      <c r="L1124">
        <v>55</v>
      </c>
      <c r="M1124" t="s">
        <v>21</v>
      </c>
      <c r="N1124">
        <f>COUNTIF(order_data[Order_ID],order_data[[#This Row],[Order_ID]])</f>
        <v>1</v>
      </c>
      <c r="O1124">
        <f>order_data[[#This Row],[Order_Value]]-order_data[[#This Row],[Discount]]</f>
        <v>417</v>
      </c>
      <c r="P1124">
        <f>order_data[[#This Row],[Order_Value]]+order_data[[#This Row],[Delivery_Fee]]-order_data[[#This Row],[Discount]]</f>
        <v>457</v>
      </c>
      <c r="Q1124" t="str">
        <f>TEXT(order_data[[#This Row],[Order_Date]],"mmm")</f>
        <v>Jan</v>
      </c>
      <c r="R1124">
        <f>MONTH(order_data[[#This Row],[Order_Date]])</f>
        <v>1</v>
      </c>
    </row>
    <row r="1125" spans="1:18" x14ac:dyDescent="0.35">
      <c r="A1125" t="s">
        <v>1811</v>
      </c>
      <c r="B1125" t="s">
        <v>379</v>
      </c>
      <c r="C1125" t="s">
        <v>1812</v>
      </c>
      <c r="D1125" t="s">
        <v>46</v>
      </c>
      <c r="E1125" t="s">
        <v>70</v>
      </c>
      <c r="F1125" t="s">
        <v>18</v>
      </c>
      <c r="G1125" t="s">
        <v>35</v>
      </c>
      <c r="H1125">
        <v>642</v>
      </c>
      <c r="I1125">
        <v>50</v>
      </c>
      <c r="J1125">
        <v>100</v>
      </c>
      <c r="K1125" t="s">
        <v>20</v>
      </c>
      <c r="L1125">
        <v>21</v>
      </c>
      <c r="M1125" t="s">
        <v>21</v>
      </c>
      <c r="N1125">
        <f>COUNTIF(order_data[Order_ID],order_data[[#This Row],[Order_ID]])</f>
        <v>1</v>
      </c>
      <c r="O1125">
        <f>order_data[[#This Row],[Order_Value]]-order_data[[#This Row],[Discount]]</f>
        <v>542</v>
      </c>
      <c r="P1125">
        <f>order_data[[#This Row],[Order_Value]]+order_data[[#This Row],[Delivery_Fee]]-order_data[[#This Row],[Discount]]</f>
        <v>592</v>
      </c>
      <c r="Q1125" t="str">
        <f>TEXT(order_data[[#This Row],[Order_Date]],"mmm")</f>
        <v>Mar</v>
      </c>
      <c r="R1125">
        <f>MONTH(order_data[[#This Row],[Order_Date]])</f>
        <v>3</v>
      </c>
    </row>
    <row r="1126" spans="1:18" x14ac:dyDescent="0.35">
      <c r="A1126" t="s">
        <v>1813</v>
      </c>
      <c r="B1126" t="s">
        <v>154</v>
      </c>
      <c r="C1126" t="s">
        <v>1182</v>
      </c>
      <c r="D1126" t="s">
        <v>25</v>
      </c>
      <c r="E1126" t="s">
        <v>78</v>
      </c>
      <c r="F1126" t="s">
        <v>48</v>
      </c>
      <c r="G1126" t="s">
        <v>35</v>
      </c>
      <c r="H1126">
        <v>623</v>
      </c>
      <c r="I1126">
        <v>40</v>
      </c>
      <c r="J1126">
        <v>50</v>
      </c>
      <c r="K1126" t="s">
        <v>20</v>
      </c>
      <c r="L1126">
        <v>41</v>
      </c>
      <c r="M1126" t="s">
        <v>21</v>
      </c>
      <c r="N1126">
        <f>COUNTIF(order_data[Order_ID],order_data[[#This Row],[Order_ID]])</f>
        <v>1</v>
      </c>
      <c r="O1126">
        <f>order_data[[#This Row],[Order_Value]]-order_data[[#This Row],[Discount]]</f>
        <v>573</v>
      </c>
      <c r="P1126">
        <f>order_data[[#This Row],[Order_Value]]+order_data[[#This Row],[Delivery_Fee]]-order_data[[#This Row],[Discount]]</f>
        <v>613</v>
      </c>
      <c r="Q1126" t="str">
        <f>TEXT(order_data[[#This Row],[Order_Date]],"mmm")</f>
        <v>Jan</v>
      </c>
      <c r="R1126">
        <f>MONTH(order_data[[#This Row],[Order_Date]])</f>
        <v>1</v>
      </c>
    </row>
    <row r="1127" spans="1:18" x14ac:dyDescent="0.35">
      <c r="A1127" t="s">
        <v>1814</v>
      </c>
      <c r="B1127" t="s">
        <v>69</v>
      </c>
      <c r="C1127" t="s">
        <v>1593</v>
      </c>
      <c r="D1127" t="s">
        <v>16</v>
      </c>
      <c r="E1127" t="s">
        <v>89</v>
      </c>
      <c r="F1127" t="s">
        <v>18</v>
      </c>
      <c r="G1127" t="s">
        <v>63</v>
      </c>
      <c r="H1127">
        <v>690</v>
      </c>
      <c r="I1127">
        <v>40</v>
      </c>
      <c r="J1127">
        <v>100</v>
      </c>
      <c r="K1127" t="s">
        <v>20</v>
      </c>
      <c r="L1127">
        <v>21</v>
      </c>
      <c r="M1127" t="s">
        <v>21</v>
      </c>
      <c r="N1127">
        <f>COUNTIF(order_data[Order_ID],order_data[[#This Row],[Order_ID]])</f>
        <v>1</v>
      </c>
      <c r="O1127">
        <f>order_data[[#This Row],[Order_Value]]-order_data[[#This Row],[Discount]]</f>
        <v>590</v>
      </c>
      <c r="P1127">
        <f>order_data[[#This Row],[Order_Value]]+order_data[[#This Row],[Delivery_Fee]]-order_data[[#This Row],[Discount]]</f>
        <v>630</v>
      </c>
      <c r="Q1127" t="str">
        <f>TEXT(order_data[[#This Row],[Order_Date]],"mmm")</f>
        <v>Feb</v>
      </c>
      <c r="R1127">
        <f>MONTH(order_data[[#This Row],[Order_Date]])</f>
        <v>2</v>
      </c>
    </row>
    <row r="1128" spans="1:18" x14ac:dyDescent="0.35">
      <c r="A1128" t="s">
        <v>1815</v>
      </c>
      <c r="B1128" t="s">
        <v>244</v>
      </c>
      <c r="C1128" t="s">
        <v>688</v>
      </c>
      <c r="D1128" t="s">
        <v>40</v>
      </c>
      <c r="E1128" t="s">
        <v>67</v>
      </c>
      <c r="F1128" t="s">
        <v>48</v>
      </c>
      <c r="G1128" t="s">
        <v>74</v>
      </c>
      <c r="H1128">
        <v>508</v>
      </c>
      <c r="I1128">
        <v>30</v>
      </c>
      <c r="J1128">
        <v>20</v>
      </c>
      <c r="K1128" t="s">
        <v>20</v>
      </c>
      <c r="L1128">
        <v>44</v>
      </c>
      <c r="M1128" t="s">
        <v>21</v>
      </c>
      <c r="N1128">
        <f>COUNTIF(order_data[Order_ID],order_data[[#This Row],[Order_ID]])</f>
        <v>1</v>
      </c>
      <c r="O1128">
        <f>order_data[[#This Row],[Order_Value]]-order_data[[#This Row],[Discount]]</f>
        <v>488</v>
      </c>
      <c r="P1128">
        <f>order_data[[#This Row],[Order_Value]]+order_data[[#This Row],[Delivery_Fee]]-order_data[[#This Row],[Discount]]</f>
        <v>518</v>
      </c>
      <c r="Q1128" t="str">
        <f>TEXT(order_data[[#This Row],[Order_Date]],"mmm")</f>
        <v>Feb</v>
      </c>
      <c r="R1128">
        <f>MONTH(order_data[[#This Row],[Order_Date]])</f>
        <v>2</v>
      </c>
    </row>
    <row r="1129" spans="1:18" x14ac:dyDescent="0.35">
      <c r="A1129" t="s">
        <v>1816</v>
      </c>
      <c r="B1129" t="s">
        <v>305</v>
      </c>
      <c r="C1129" t="s">
        <v>1455</v>
      </c>
      <c r="D1129" t="s">
        <v>40</v>
      </c>
      <c r="E1129" t="s">
        <v>41</v>
      </c>
      <c r="F1129" t="s">
        <v>27</v>
      </c>
      <c r="G1129" t="s">
        <v>74</v>
      </c>
      <c r="H1129">
        <v>478</v>
      </c>
      <c r="I1129">
        <v>50</v>
      </c>
      <c r="J1129">
        <v>100</v>
      </c>
      <c r="K1129" t="s">
        <v>20</v>
      </c>
      <c r="L1129">
        <v>46</v>
      </c>
      <c r="M1129" t="s">
        <v>21</v>
      </c>
      <c r="N1129">
        <f>COUNTIF(order_data[Order_ID],order_data[[#This Row],[Order_ID]])</f>
        <v>1</v>
      </c>
      <c r="O1129">
        <f>order_data[[#This Row],[Order_Value]]-order_data[[#This Row],[Discount]]</f>
        <v>378</v>
      </c>
      <c r="P1129">
        <f>order_data[[#This Row],[Order_Value]]+order_data[[#This Row],[Delivery_Fee]]-order_data[[#This Row],[Discount]]</f>
        <v>428</v>
      </c>
      <c r="Q1129" t="str">
        <f>TEXT(order_data[[#This Row],[Order_Date]],"mmm")</f>
        <v>Jan</v>
      </c>
      <c r="R1129">
        <f>MONTH(order_data[[#This Row],[Order_Date]])</f>
        <v>1</v>
      </c>
    </row>
    <row r="1130" spans="1:18" x14ac:dyDescent="0.35">
      <c r="A1130" t="s">
        <v>1817</v>
      </c>
      <c r="B1130" t="s">
        <v>223</v>
      </c>
      <c r="C1130" t="s">
        <v>668</v>
      </c>
      <c r="D1130" t="s">
        <v>40</v>
      </c>
      <c r="E1130" t="s">
        <v>41</v>
      </c>
      <c r="F1130" t="s">
        <v>27</v>
      </c>
      <c r="G1130" t="s">
        <v>176</v>
      </c>
      <c r="H1130">
        <v>286</v>
      </c>
      <c r="I1130">
        <v>30</v>
      </c>
      <c r="J1130">
        <v>20</v>
      </c>
      <c r="K1130" t="s">
        <v>36</v>
      </c>
      <c r="L1130">
        <v>41</v>
      </c>
      <c r="M1130" t="s">
        <v>21</v>
      </c>
      <c r="N1130">
        <f>COUNTIF(order_data[Order_ID],order_data[[#This Row],[Order_ID]])</f>
        <v>1</v>
      </c>
      <c r="O1130">
        <f>order_data[[#This Row],[Order_Value]]-order_data[[#This Row],[Discount]]</f>
        <v>266</v>
      </c>
      <c r="P1130">
        <f>order_data[[#This Row],[Order_Value]]+order_data[[#This Row],[Delivery_Fee]]-order_data[[#This Row],[Discount]]</f>
        <v>296</v>
      </c>
      <c r="Q1130" t="str">
        <f>TEXT(order_data[[#This Row],[Order_Date]],"mmm")</f>
        <v>Mar</v>
      </c>
      <c r="R1130">
        <f>MONTH(order_data[[#This Row],[Order_Date]])</f>
        <v>3</v>
      </c>
    </row>
    <row r="1131" spans="1:18" x14ac:dyDescent="0.35">
      <c r="A1131" t="s">
        <v>1818</v>
      </c>
      <c r="B1131" t="s">
        <v>247</v>
      </c>
      <c r="C1131" t="s">
        <v>24</v>
      </c>
      <c r="D1131" t="s">
        <v>25</v>
      </c>
      <c r="E1131" t="s">
        <v>78</v>
      </c>
      <c r="F1131" t="s">
        <v>48</v>
      </c>
      <c r="G1131" t="s">
        <v>28</v>
      </c>
      <c r="H1131">
        <v>639</v>
      </c>
      <c r="I1131">
        <v>20</v>
      </c>
      <c r="J1131">
        <v>0</v>
      </c>
      <c r="K1131" t="s">
        <v>20</v>
      </c>
      <c r="L1131">
        <v>21</v>
      </c>
      <c r="M1131" t="s">
        <v>21</v>
      </c>
      <c r="N1131">
        <f>COUNTIF(order_data[Order_ID],order_data[[#This Row],[Order_ID]])</f>
        <v>1</v>
      </c>
      <c r="O1131">
        <f>order_data[[#This Row],[Order_Value]]-order_data[[#This Row],[Discount]]</f>
        <v>639</v>
      </c>
      <c r="P1131">
        <f>order_data[[#This Row],[Order_Value]]+order_data[[#This Row],[Delivery_Fee]]-order_data[[#This Row],[Discount]]</f>
        <v>659</v>
      </c>
      <c r="Q1131" t="str">
        <f>TEXT(order_data[[#This Row],[Order_Date]],"mmm")</f>
        <v>Mar</v>
      </c>
      <c r="R1131">
        <f>MONTH(order_data[[#This Row],[Order_Date]])</f>
        <v>3</v>
      </c>
    </row>
    <row r="1132" spans="1:18" x14ac:dyDescent="0.35">
      <c r="A1132" t="s">
        <v>1819</v>
      </c>
      <c r="B1132" t="s">
        <v>583</v>
      </c>
      <c r="C1132" t="s">
        <v>257</v>
      </c>
      <c r="D1132" t="s">
        <v>16</v>
      </c>
      <c r="E1132" t="s">
        <v>89</v>
      </c>
      <c r="F1132" t="s">
        <v>18</v>
      </c>
      <c r="G1132" t="s">
        <v>35</v>
      </c>
      <c r="H1132">
        <v>239</v>
      </c>
      <c r="I1132">
        <v>50</v>
      </c>
      <c r="J1132">
        <v>100</v>
      </c>
      <c r="K1132" t="s">
        <v>36</v>
      </c>
      <c r="L1132">
        <v>57</v>
      </c>
      <c r="M1132" t="s">
        <v>21</v>
      </c>
      <c r="N1132">
        <f>COUNTIF(order_data[Order_ID],order_data[[#This Row],[Order_ID]])</f>
        <v>1</v>
      </c>
      <c r="O1132">
        <f>order_data[[#This Row],[Order_Value]]-order_data[[#This Row],[Discount]]</f>
        <v>139</v>
      </c>
      <c r="P1132">
        <f>order_data[[#This Row],[Order_Value]]+order_data[[#This Row],[Delivery_Fee]]-order_data[[#This Row],[Discount]]</f>
        <v>189</v>
      </c>
      <c r="Q1132" t="str">
        <f>TEXT(order_data[[#This Row],[Order_Date]],"mmm")</f>
        <v>Jan</v>
      </c>
      <c r="R1132">
        <f>MONTH(order_data[[#This Row],[Order_Date]])</f>
        <v>1</v>
      </c>
    </row>
    <row r="1133" spans="1:18" x14ac:dyDescent="0.35">
      <c r="A1133" t="s">
        <v>1820</v>
      </c>
      <c r="B1133" t="s">
        <v>143</v>
      </c>
      <c r="C1133" t="s">
        <v>1226</v>
      </c>
      <c r="D1133" t="s">
        <v>25</v>
      </c>
      <c r="E1133" t="s">
        <v>34</v>
      </c>
      <c r="F1133" t="s">
        <v>27</v>
      </c>
      <c r="G1133" t="s">
        <v>59</v>
      </c>
      <c r="H1133">
        <v>327</v>
      </c>
      <c r="I1133">
        <v>50</v>
      </c>
      <c r="J1133">
        <v>20</v>
      </c>
      <c r="K1133" t="s">
        <v>36</v>
      </c>
      <c r="L1133">
        <v>38</v>
      </c>
      <c r="M1133" t="s">
        <v>21</v>
      </c>
      <c r="N1133">
        <f>COUNTIF(order_data[Order_ID],order_data[[#This Row],[Order_ID]])</f>
        <v>1</v>
      </c>
      <c r="O1133">
        <f>order_data[[#This Row],[Order_Value]]-order_data[[#This Row],[Discount]]</f>
        <v>307</v>
      </c>
      <c r="P1133">
        <f>order_data[[#This Row],[Order_Value]]+order_data[[#This Row],[Delivery_Fee]]-order_data[[#This Row],[Discount]]</f>
        <v>357</v>
      </c>
      <c r="Q1133" t="str">
        <f>TEXT(order_data[[#This Row],[Order_Date]],"mmm")</f>
        <v>Feb</v>
      </c>
      <c r="R1133">
        <f>MONTH(order_data[[#This Row],[Order_Date]])</f>
        <v>2</v>
      </c>
    </row>
    <row r="1134" spans="1:18" x14ac:dyDescent="0.35">
      <c r="A1134" t="s">
        <v>1821</v>
      </c>
      <c r="B1134" t="s">
        <v>38</v>
      </c>
      <c r="C1134" t="s">
        <v>1394</v>
      </c>
      <c r="D1134" t="s">
        <v>53</v>
      </c>
      <c r="E1134" t="s">
        <v>152</v>
      </c>
      <c r="F1134" t="s">
        <v>18</v>
      </c>
      <c r="G1134" t="s">
        <v>74</v>
      </c>
      <c r="H1134">
        <v>672</v>
      </c>
      <c r="I1134">
        <v>50</v>
      </c>
      <c r="J1134">
        <v>100</v>
      </c>
      <c r="K1134" t="s">
        <v>20</v>
      </c>
      <c r="L1134">
        <v>37</v>
      </c>
      <c r="M1134" t="s">
        <v>21</v>
      </c>
      <c r="N1134">
        <f>COUNTIF(order_data[Order_ID],order_data[[#This Row],[Order_ID]])</f>
        <v>1</v>
      </c>
      <c r="O1134">
        <f>order_data[[#This Row],[Order_Value]]-order_data[[#This Row],[Discount]]</f>
        <v>572</v>
      </c>
      <c r="P1134">
        <f>order_data[[#This Row],[Order_Value]]+order_data[[#This Row],[Delivery_Fee]]-order_data[[#This Row],[Discount]]</f>
        <v>622</v>
      </c>
      <c r="Q1134" t="str">
        <f>TEXT(order_data[[#This Row],[Order_Date]],"mmm")</f>
        <v>Jan</v>
      </c>
      <c r="R1134">
        <f>MONTH(order_data[[#This Row],[Order_Date]])</f>
        <v>1</v>
      </c>
    </row>
    <row r="1135" spans="1:18" x14ac:dyDescent="0.35">
      <c r="A1135" t="s">
        <v>1822</v>
      </c>
      <c r="B1135" t="s">
        <v>486</v>
      </c>
      <c r="C1135" t="s">
        <v>873</v>
      </c>
      <c r="D1135" t="s">
        <v>16</v>
      </c>
      <c r="E1135" t="s">
        <v>131</v>
      </c>
      <c r="F1135" t="s">
        <v>55</v>
      </c>
      <c r="G1135" t="s">
        <v>35</v>
      </c>
      <c r="H1135">
        <v>788</v>
      </c>
      <c r="I1135">
        <v>50</v>
      </c>
      <c r="J1135">
        <v>30</v>
      </c>
      <c r="K1135" t="s">
        <v>29</v>
      </c>
      <c r="L1135">
        <v>41</v>
      </c>
      <c r="M1135" t="s">
        <v>21</v>
      </c>
      <c r="N1135">
        <f>COUNTIF(order_data[Order_ID],order_data[[#This Row],[Order_ID]])</f>
        <v>1</v>
      </c>
      <c r="O1135">
        <f>order_data[[#This Row],[Order_Value]]-order_data[[#This Row],[Discount]]</f>
        <v>758</v>
      </c>
      <c r="P1135">
        <f>order_data[[#This Row],[Order_Value]]+order_data[[#This Row],[Delivery_Fee]]-order_data[[#This Row],[Discount]]</f>
        <v>808</v>
      </c>
      <c r="Q1135" t="str">
        <f>TEXT(order_data[[#This Row],[Order_Date]],"mmm")</f>
        <v>Jan</v>
      </c>
      <c r="R1135">
        <f>MONTH(order_data[[#This Row],[Order_Date]])</f>
        <v>1</v>
      </c>
    </row>
    <row r="1136" spans="1:18" x14ac:dyDescent="0.35">
      <c r="A1136" t="s">
        <v>1823</v>
      </c>
      <c r="B1136" t="s">
        <v>199</v>
      </c>
      <c r="C1136" t="s">
        <v>182</v>
      </c>
      <c r="D1136" t="s">
        <v>40</v>
      </c>
      <c r="E1136" t="s">
        <v>67</v>
      </c>
      <c r="F1136" t="s">
        <v>48</v>
      </c>
      <c r="G1136" t="s">
        <v>59</v>
      </c>
      <c r="H1136">
        <v>606</v>
      </c>
      <c r="I1136">
        <v>50</v>
      </c>
      <c r="J1136">
        <v>30</v>
      </c>
      <c r="K1136" t="s">
        <v>29</v>
      </c>
      <c r="L1136">
        <v>20</v>
      </c>
      <c r="M1136" t="s">
        <v>21</v>
      </c>
      <c r="N1136">
        <f>COUNTIF(order_data[Order_ID],order_data[[#This Row],[Order_ID]])</f>
        <v>1</v>
      </c>
      <c r="O1136">
        <f>order_data[[#This Row],[Order_Value]]-order_data[[#This Row],[Discount]]</f>
        <v>576</v>
      </c>
      <c r="P1136">
        <f>order_data[[#This Row],[Order_Value]]+order_data[[#This Row],[Delivery_Fee]]-order_data[[#This Row],[Discount]]</f>
        <v>626</v>
      </c>
      <c r="Q1136" t="str">
        <f>TEXT(order_data[[#This Row],[Order_Date]],"mmm")</f>
        <v>Jan</v>
      </c>
      <c r="R1136">
        <f>MONTH(order_data[[#This Row],[Order_Date]])</f>
        <v>1</v>
      </c>
    </row>
    <row r="1137" spans="1:18" x14ac:dyDescent="0.35">
      <c r="A1137" t="s">
        <v>1824</v>
      </c>
      <c r="B1137" t="s">
        <v>186</v>
      </c>
      <c r="C1137" t="s">
        <v>443</v>
      </c>
      <c r="D1137" t="s">
        <v>46</v>
      </c>
      <c r="E1137" t="s">
        <v>148</v>
      </c>
      <c r="F1137" t="s">
        <v>27</v>
      </c>
      <c r="G1137" t="s">
        <v>35</v>
      </c>
      <c r="H1137">
        <v>286</v>
      </c>
      <c r="I1137">
        <v>20</v>
      </c>
      <c r="J1137">
        <v>50</v>
      </c>
      <c r="K1137" t="s">
        <v>20</v>
      </c>
      <c r="L1137">
        <v>39</v>
      </c>
      <c r="M1137" t="s">
        <v>21</v>
      </c>
      <c r="N1137">
        <f>COUNTIF(order_data[Order_ID],order_data[[#This Row],[Order_ID]])</f>
        <v>1</v>
      </c>
      <c r="O1137">
        <f>order_data[[#This Row],[Order_Value]]-order_data[[#This Row],[Discount]]</f>
        <v>236</v>
      </c>
      <c r="P1137">
        <f>order_data[[#This Row],[Order_Value]]+order_data[[#This Row],[Delivery_Fee]]-order_data[[#This Row],[Discount]]</f>
        <v>256</v>
      </c>
      <c r="Q1137" t="str">
        <f>TEXT(order_data[[#This Row],[Order_Date]],"mmm")</f>
        <v>Mar</v>
      </c>
      <c r="R1137">
        <f>MONTH(order_data[[#This Row],[Order_Date]])</f>
        <v>3</v>
      </c>
    </row>
    <row r="1138" spans="1:18" x14ac:dyDescent="0.35">
      <c r="A1138" t="s">
        <v>1825</v>
      </c>
      <c r="B1138" t="s">
        <v>291</v>
      </c>
      <c r="C1138" t="s">
        <v>640</v>
      </c>
      <c r="D1138" t="s">
        <v>40</v>
      </c>
      <c r="E1138" t="s">
        <v>111</v>
      </c>
      <c r="F1138" t="s">
        <v>18</v>
      </c>
      <c r="G1138" t="s">
        <v>19</v>
      </c>
      <c r="H1138">
        <v>461</v>
      </c>
      <c r="I1138">
        <v>30</v>
      </c>
      <c r="J1138">
        <v>0</v>
      </c>
      <c r="K1138" t="s">
        <v>29</v>
      </c>
      <c r="L1138">
        <v>32</v>
      </c>
      <c r="M1138" t="s">
        <v>21</v>
      </c>
      <c r="N1138">
        <f>COUNTIF(order_data[Order_ID],order_data[[#This Row],[Order_ID]])</f>
        <v>1</v>
      </c>
      <c r="O1138">
        <f>order_data[[#This Row],[Order_Value]]-order_data[[#This Row],[Discount]]</f>
        <v>461</v>
      </c>
      <c r="P1138">
        <f>order_data[[#This Row],[Order_Value]]+order_data[[#This Row],[Delivery_Fee]]-order_data[[#This Row],[Discount]]</f>
        <v>491</v>
      </c>
      <c r="Q1138" t="str">
        <f>TEXT(order_data[[#This Row],[Order_Date]],"mmm")</f>
        <v>Feb</v>
      </c>
      <c r="R1138">
        <f>MONTH(order_data[[#This Row],[Order_Date]])</f>
        <v>2</v>
      </c>
    </row>
    <row r="1139" spans="1:18" x14ac:dyDescent="0.35">
      <c r="A1139" t="s">
        <v>1826</v>
      </c>
      <c r="B1139" t="s">
        <v>192</v>
      </c>
      <c r="C1139" t="s">
        <v>289</v>
      </c>
      <c r="D1139" t="s">
        <v>53</v>
      </c>
      <c r="E1139" t="s">
        <v>84</v>
      </c>
      <c r="F1139" t="s">
        <v>85</v>
      </c>
      <c r="G1139" t="s">
        <v>42</v>
      </c>
      <c r="H1139">
        <v>554</v>
      </c>
      <c r="I1139">
        <v>50</v>
      </c>
      <c r="J1139">
        <v>20</v>
      </c>
      <c r="K1139" t="s">
        <v>36</v>
      </c>
      <c r="L1139">
        <v>23</v>
      </c>
      <c r="M1139" t="s">
        <v>30</v>
      </c>
      <c r="N1139">
        <f>COUNTIF(order_data[Order_ID],order_data[[#This Row],[Order_ID]])</f>
        <v>1</v>
      </c>
      <c r="O1139">
        <f>order_data[[#This Row],[Order_Value]]-order_data[[#This Row],[Discount]]</f>
        <v>534</v>
      </c>
      <c r="P1139">
        <f>order_data[[#This Row],[Order_Value]]+order_data[[#This Row],[Delivery_Fee]]-order_data[[#This Row],[Discount]]</f>
        <v>584</v>
      </c>
      <c r="Q1139" t="str">
        <f>TEXT(order_data[[#This Row],[Order_Date]],"mmm")</f>
        <v>Mar</v>
      </c>
      <c r="R1139">
        <f>MONTH(order_data[[#This Row],[Order_Date]])</f>
        <v>3</v>
      </c>
    </row>
    <row r="1140" spans="1:18" x14ac:dyDescent="0.35">
      <c r="A1140" t="s">
        <v>1827</v>
      </c>
      <c r="B1140" t="s">
        <v>133</v>
      </c>
      <c r="C1140" t="s">
        <v>1828</v>
      </c>
      <c r="D1140" t="s">
        <v>16</v>
      </c>
      <c r="E1140" t="s">
        <v>17</v>
      </c>
      <c r="F1140" t="s">
        <v>18</v>
      </c>
      <c r="G1140" t="s">
        <v>35</v>
      </c>
      <c r="H1140">
        <v>624</v>
      </c>
      <c r="I1140">
        <v>20</v>
      </c>
      <c r="J1140">
        <v>50</v>
      </c>
      <c r="K1140" t="s">
        <v>36</v>
      </c>
      <c r="L1140">
        <v>29</v>
      </c>
      <c r="M1140" t="s">
        <v>21</v>
      </c>
      <c r="N1140">
        <f>COUNTIF(order_data[Order_ID],order_data[[#This Row],[Order_ID]])</f>
        <v>1</v>
      </c>
      <c r="O1140">
        <f>order_data[[#This Row],[Order_Value]]-order_data[[#This Row],[Discount]]</f>
        <v>574</v>
      </c>
      <c r="P1140">
        <f>order_data[[#This Row],[Order_Value]]+order_data[[#This Row],[Delivery_Fee]]-order_data[[#This Row],[Discount]]</f>
        <v>594</v>
      </c>
      <c r="Q1140" t="str">
        <f>TEXT(order_data[[#This Row],[Order_Date]],"mmm")</f>
        <v>Mar</v>
      </c>
      <c r="R1140">
        <f>MONTH(order_data[[#This Row],[Order_Date]])</f>
        <v>3</v>
      </c>
    </row>
    <row r="1141" spans="1:18" x14ac:dyDescent="0.35">
      <c r="A1141" t="s">
        <v>1829</v>
      </c>
      <c r="B1141" t="s">
        <v>244</v>
      </c>
      <c r="C1141" t="s">
        <v>361</v>
      </c>
      <c r="D1141" t="s">
        <v>16</v>
      </c>
      <c r="E1141" t="s">
        <v>131</v>
      </c>
      <c r="F1141" t="s">
        <v>55</v>
      </c>
      <c r="G1141" t="s">
        <v>63</v>
      </c>
      <c r="H1141">
        <v>494</v>
      </c>
      <c r="I1141">
        <v>20</v>
      </c>
      <c r="J1141">
        <v>0</v>
      </c>
      <c r="K1141" t="s">
        <v>20</v>
      </c>
      <c r="L1141">
        <v>42</v>
      </c>
      <c r="M1141" t="s">
        <v>30</v>
      </c>
      <c r="N1141">
        <f>COUNTIF(order_data[Order_ID],order_data[[#This Row],[Order_ID]])</f>
        <v>1</v>
      </c>
      <c r="O1141">
        <f>order_data[[#This Row],[Order_Value]]-order_data[[#This Row],[Discount]]</f>
        <v>494</v>
      </c>
      <c r="P1141">
        <f>order_data[[#This Row],[Order_Value]]+order_data[[#This Row],[Delivery_Fee]]-order_data[[#This Row],[Discount]]</f>
        <v>514</v>
      </c>
      <c r="Q1141" t="str">
        <f>TEXT(order_data[[#This Row],[Order_Date]],"mmm")</f>
        <v>Feb</v>
      </c>
      <c r="R1141">
        <f>MONTH(order_data[[#This Row],[Order_Date]])</f>
        <v>2</v>
      </c>
    </row>
    <row r="1142" spans="1:18" x14ac:dyDescent="0.35">
      <c r="A1142" t="s">
        <v>1830</v>
      </c>
      <c r="B1142" t="s">
        <v>541</v>
      </c>
      <c r="C1142" t="s">
        <v>1831</v>
      </c>
      <c r="D1142" t="s">
        <v>25</v>
      </c>
      <c r="E1142" t="s">
        <v>78</v>
      </c>
      <c r="F1142" t="s">
        <v>48</v>
      </c>
      <c r="G1142" t="s">
        <v>74</v>
      </c>
      <c r="H1142">
        <v>340</v>
      </c>
      <c r="I1142">
        <v>50</v>
      </c>
      <c r="J1142">
        <v>20</v>
      </c>
      <c r="K1142" t="s">
        <v>20</v>
      </c>
      <c r="L1142">
        <v>38</v>
      </c>
      <c r="M1142" t="s">
        <v>30</v>
      </c>
      <c r="N1142">
        <f>COUNTIF(order_data[Order_ID],order_data[[#This Row],[Order_ID]])</f>
        <v>1</v>
      </c>
      <c r="O1142">
        <f>order_data[[#This Row],[Order_Value]]-order_data[[#This Row],[Discount]]</f>
        <v>320</v>
      </c>
      <c r="P1142">
        <f>order_data[[#This Row],[Order_Value]]+order_data[[#This Row],[Delivery_Fee]]-order_data[[#This Row],[Discount]]</f>
        <v>370</v>
      </c>
      <c r="Q1142" t="str">
        <f>TEXT(order_data[[#This Row],[Order_Date]],"mmm")</f>
        <v>Jan</v>
      </c>
      <c r="R1142">
        <f>MONTH(order_data[[#This Row],[Order_Date]])</f>
        <v>1</v>
      </c>
    </row>
    <row r="1143" spans="1:18" x14ac:dyDescent="0.35">
      <c r="A1143" t="s">
        <v>1832</v>
      </c>
      <c r="B1143" t="s">
        <v>186</v>
      </c>
      <c r="C1143" t="s">
        <v>828</v>
      </c>
      <c r="D1143" t="s">
        <v>40</v>
      </c>
      <c r="E1143" t="s">
        <v>41</v>
      </c>
      <c r="F1143" t="s">
        <v>27</v>
      </c>
      <c r="G1143" t="s">
        <v>28</v>
      </c>
      <c r="H1143">
        <v>190</v>
      </c>
      <c r="I1143">
        <v>50</v>
      </c>
      <c r="J1143">
        <v>0</v>
      </c>
      <c r="K1143" t="s">
        <v>36</v>
      </c>
      <c r="L1143">
        <v>27</v>
      </c>
      <c r="M1143" t="s">
        <v>21</v>
      </c>
      <c r="N1143">
        <f>COUNTIF(order_data[Order_ID],order_data[[#This Row],[Order_ID]])</f>
        <v>1</v>
      </c>
      <c r="O1143">
        <f>order_data[[#This Row],[Order_Value]]-order_data[[#This Row],[Discount]]</f>
        <v>190</v>
      </c>
      <c r="P1143">
        <f>order_data[[#This Row],[Order_Value]]+order_data[[#This Row],[Delivery_Fee]]-order_data[[#This Row],[Discount]]</f>
        <v>240</v>
      </c>
      <c r="Q1143" t="str">
        <f>TEXT(order_data[[#This Row],[Order_Date]],"mmm")</f>
        <v>Mar</v>
      </c>
      <c r="R1143">
        <f>MONTH(order_data[[#This Row],[Order_Date]])</f>
        <v>3</v>
      </c>
    </row>
    <row r="1144" spans="1:18" x14ac:dyDescent="0.35">
      <c r="A1144" t="s">
        <v>1833</v>
      </c>
      <c r="B1144" t="s">
        <v>568</v>
      </c>
      <c r="C1144" t="s">
        <v>1190</v>
      </c>
      <c r="D1144" t="s">
        <v>40</v>
      </c>
      <c r="E1144" t="s">
        <v>67</v>
      </c>
      <c r="F1144" t="s">
        <v>48</v>
      </c>
      <c r="G1144" t="s">
        <v>19</v>
      </c>
      <c r="H1144">
        <v>567</v>
      </c>
      <c r="I1144">
        <v>50</v>
      </c>
      <c r="J1144">
        <v>50</v>
      </c>
      <c r="K1144" t="s">
        <v>29</v>
      </c>
      <c r="L1144">
        <v>24</v>
      </c>
      <c r="M1144" t="s">
        <v>21</v>
      </c>
      <c r="N1144">
        <f>COUNTIF(order_data[Order_ID],order_data[[#This Row],[Order_ID]])</f>
        <v>1</v>
      </c>
      <c r="O1144">
        <f>order_data[[#This Row],[Order_Value]]-order_data[[#This Row],[Discount]]</f>
        <v>517</v>
      </c>
      <c r="P1144">
        <f>order_data[[#This Row],[Order_Value]]+order_data[[#This Row],[Delivery_Fee]]-order_data[[#This Row],[Discount]]</f>
        <v>567</v>
      </c>
      <c r="Q1144" t="str">
        <f>TEXT(order_data[[#This Row],[Order_Date]],"mmm")</f>
        <v>Mar</v>
      </c>
      <c r="R1144">
        <f>MONTH(order_data[[#This Row],[Order_Date]])</f>
        <v>3</v>
      </c>
    </row>
    <row r="1145" spans="1:18" x14ac:dyDescent="0.35">
      <c r="A1145" t="s">
        <v>1834</v>
      </c>
      <c r="B1145" t="s">
        <v>295</v>
      </c>
      <c r="C1145" t="s">
        <v>646</v>
      </c>
      <c r="D1145" t="s">
        <v>53</v>
      </c>
      <c r="E1145" t="s">
        <v>84</v>
      </c>
      <c r="F1145" t="s">
        <v>85</v>
      </c>
      <c r="G1145" t="s">
        <v>74</v>
      </c>
      <c r="H1145">
        <v>430</v>
      </c>
      <c r="I1145">
        <v>40</v>
      </c>
      <c r="J1145">
        <v>100</v>
      </c>
      <c r="K1145" t="s">
        <v>36</v>
      </c>
      <c r="L1145">
        <v>27</v>
      </c>
      <c r="M1145" t="s">
        <v>21</v>
      </c>
      <c r="N1145">
        <f>COUNTIF(order_data[Order_ID],order_data[[#This Row],[Order_ID]])</f>
        <v>1</v>
      </c>
      <c r="O1145">
        <f>order_data[[#This Row],[Order_Value]]-order_data[[#This Row],[Discount]]</f>
        <v>330</v>
      </c>
      <c r="P1145">
        <f>order_data[[#This Row],[Order_Value]]+order_data[[#This Row],[Delivery_Fee]]-order_data[[#This Row],[Discount]]</f>
        <v>370</v>
      </c>
      <c r="Q1145" t="str">
        <f>TEXT(order_data[[#This Row],[Order_Date]],"mmm")</f>
        <v>Jan</v>
      </c>
      <c r="R1145">
        <f>MONTH(order_data[[#This Row],[Order_Date]])</f>
        <v>1</v>
      </c>
    </row>
    <row r="1146" spans="1:18" x14ac:dyDescent="0.35">
      <c r="A1146" t="s">
        <v>1835</v>
      </c>
      <c r="B1146" t="s">
        <v>38</v>
      </c>
      <c r="C1146" t="s">
        <v>407</v>
      </c>
      <c r="D1146" t="s">
        <v>53</v>
      </c>
      <c r="E1146" t="s">
        <v>152</v>
      </c>
      <c r="F1146" t="s">
        <v>18</v>
      </c>
      <c r="G1146" t="s">
        <v>63</v>
      </c>
      <c r="H1146">
        <v>591</v>
      </c>
      <c r="I1146">
        <v>40</v>
      </c>
      <c r="J1146">
        <v>30</v>
      </c>
      <c r="K1146" t="s">
        <v>36</v>
      </c>
      <c r="L1146">
        <v>53</v>
      </c>
      <c r="M1146" t="s">
        <v>21</v>
      </c>
      <c r="N1146">
        <f>COUNTIF(order_data[Order_ID],order_data[[#This Row],[Order_ID]])</f>
        <v>1</v>
      </c>
      <c r="O1146">
        <f>order_data[[#This Row],[Order_Value]]-order_data[[#This Row],[Discount]]</f>
        <v>561</v>
      </c>
      <c r="P1146">
        <f>order_data[[#This Row],[Order_Value]]+order_data[[#This Row],[Delivery_Fee]]-order_data[[#This Row],[Discount]]</f>
        <v>601</v>
      </c>
      <c r="Q1146" t="str">
        <f>TEXT(order_data[[#This Row],[Order_Date]],"mmm")</f>
        <v>Jan</v>
      </c>
      <c r="R1146">
        <f>MONTH(order_data[[#This Row],[Order_Date]])</f>
        <v>1</v>
      </c>
    </row>
    <row r="1147" spans="1:18" x14ac:dyDescent="0.35">
      <c r="A1147" t="s">
        <v>1836</v>
      </c>
      <c r="B1147" t="s">
        <v>76</v>
      </c>
      <c r="C1147" t="s">
        <v>1837</v>
      </c>
      <c r="D1147" t="s">
        <v>46</v>
      </c>
      <c r="E1147" t="s">
        <v>70</v>
      </c>
      <c r="F1147" t="s">
        <v>18</v>
      </c>
      <c r="G1147" t="s">
        <v>35</v>
      </c>
      <c r="H1147">
        <v>627</v>
      </c>
      <c r="I1147">
        <v>30</v>
      </c>
      <c r="J1147">
        <v>20</v>
      </c>
      <c r="K1147" t="s">
        <v>20</v>
      </c>
      <c r="L1147">
        <v>30</v>
      </c>
      <c r="M1147" t="s">
        <v>21</v>
      </c>
      <c r="N1147">
        <f>COUNTIF(order_data[Order_ID],order_data[[#This Row],[Order_ID]])</f>
        <v>1</v>
      </c>
      <c r="O1147">
        <f>order_data[[#This Row],[Order_Value]]-order_data[[#This Row],[Discount]]</f>
        <v>607</v>
      </c>
      <c r="P1147">
        <f>order_data[[#This Row],[Order_Value]]+order_data[[#This Row],[Delivery_Fee]]-order_data[[#This Row],[Discount]]</f>
        <v>637</v>
      </c>
      <c r="Q1147" t="str">
        <f>TEXT(order_data[[#This Row],[Order_Date]],"mmm")</f>
        <v>Feb</v>
      </c>
      <c r="R1147">
        <f>MONTH(order_data[[#This Row],[Order_Date]])</f>
        <v>2</v>
      </c>
    </row>
    <row r="1148" spans="1:18" x14ac:dyDescent="0.35">
      <c r="A1148" t="s">
        <v>1838</v>
      </c>
      <c r="B1148" t="s">
        <v>99</v>
      </c>
      <c r="C1148" t="s">
        <v>937</v>
      </c>
      <c r="D1148" t="s">
        <v>40</v>
      </c>
      <c r="E1148" t="s">
        <v>111</v>
      </c>
      <c r="F1148" t="s">
        <v>18</v>
      </c>
      <c r="G1148" t="s">
        <v>28</v>
      </c>
      <c r="H1148">
        <v>462</v>
      </c>
      <c r="I1148">
        <v>50</v>
      </c>
      <c r="J1148">
        <v>0</v>
      </c>
      <c r="K1148" t="s">
        <v>20</v>
      </c>
      <c r="L1148">
        <v>55</v>
      </c>
      <c r="M1148" t="s">
        <v>21</v>
      </c>
      <c r="N1148">
        <f>COUNTIF(order_data[Order_ID],order_data[[#This Row],[Order_ID]])</f>
        <v>1</v>
      </c>
      <c r="O1148">
        <f>order_data[[#This Row],[Order_Value]]-order_data[[#This Row],[Discount]]</f>
        <v>462</v>
      </c>
      <c r="P1148">
        <f>order_data[[#This Row],[Order_Value]]+order_data[[#This Row],[Delivery_Fee]]-order_data[[#This Row],[Discount]]</f>
        <v>512</v>
      </c>
      <c r="Q1148" t="str">
        <f>TEXT(order_data[[#This Row],[Order_Date]],"mmm")</f>
        <v>Mar</v>
      </c>
      <c r="R1148">
        <f>MONTH(order_data[[#This Row],[Order_Date]])</f>
        <v>3</v>
      </c>
    </row>
    <row r="1149" spans="1:18" x14ac:dyDescent="0.35">
      <c r="A1149" t="s">
        <v>1839</v>
      </c>
      <c r="B1149" t="s">
        <v>118</v>
      </c>
      <c r="C1149" t="s">
        <v>363</v>
      </c>
      <c r="D1149" t="s">
        <v>25</v>
      </c>
      <c r="E1149" t="s">
        <v>34</v>
      </c>
      <c r="F1149" t="s">
        <v>27</v>
      </c>
      <c r="G1149" t="s">
        <v>19</v>
      </c>
      <c r="H1149">
        <v>354</v>
      </c>
      <c r="I1149">
        <v>50</v>
      </c>
      <c r="J1149">
        <v>30</v>
      </c>
      <c r="K1149" t="s">
        <v>29</v>
      </c>
      <c r="L1149">
        <v>36</v>
      </c>
      <c r="M1149" t="s">
        <v>21</v>
      </c>
      <c r="N1149">
        <f>COUNTIF(order_data[Order_ID],order_data[[#This Row],[Order_ID]])</f>
        <v>1</v>
      </c>
      <c r="O1149">
        <f>order_data[[#This Row],[Order_Value]]-order_data[[#This Row],[Discount]]</f>
        <v>324</v>
      </c>
      <c r="P1149">
        <f>order_data[[#This Row],[Order_Value]]+order_data[[#This Row],[Delivery_Fee]]-order_data[[#This Row],[Discount]]</f>
        <v>374</v>
      </c>
      <c r="Q1149" t="str">
        <f>TEXT(order_data[[#This Row],[Order_Date]],"mmm")</f>
        <v>Mar</v>
      </c>
      <c r="R1149">
        <f>MONTH(order_data[[#This Row],[Order_Date]])</f>
        <v>3</v>
      </c>
    </row>
    <row r="1150" spans="1:18" x14ac:dyDescent="0.35">
      <c r="A1150" t="s">
        <v>1840</v>
      </c>
      <c r="B1150" t="s">
        <v>223</v>
      </c>
      <c r="C1150" t="s">
        <v>871</v>
      </c>
      <c r="D1150" t="s">
        <v>40</v>
      </c>
      <c r="E1150" t="s">
        <v>67</v>
      </c>
      <c r="F1150" t="s">
        <v>48</v>
      </c>
      <c r="G1150" t="s">
        <v>49</v>
      </c>
      <c r="H1150">
        <v>191</v>
      </c>
      <c r="I1150">
        <v>50</v>
      </c>
      <c r="J1150">
        <v>0</v>
      </c>
      <c r="K1150" t="s">
        <v>29</v>
      </c>
      <c r="L1150">
        <v>52</v>
      </c>
      <c r="M1150" t="s">
        <v>21</v>
      </c>
      <c r="N1150">
        <f>COUNTIF(order_data[Order_ID],order_data[[#This Row],[Order_ID]])</f>
        <v>1</v>
      </c>
      <c r="O1150">
        <f>order_data[[#This Row],[Order_Value]]-order_data[[#This Row],[Discount]]</f>
        <v>191</v>
      </c>
      <c r="P1150">
        <f>order_data[[#This Row],[Order_Value]]+order_data[[#This Row],[Delivery_Fee]]-order_data[[#This Row],[Discount]]</f>
        <v>241</v>
      </c>
      <c r="Q1150" t="str">
        <f>TEXT(order_data[[#This Row],[Order_Date]],"mmm")</f>
        <v>Mar</v>
      </c>
      <c r="R1150">
        <f>MONTH(order_data[[#This Row],[Order_Date]])</f>
        <v>3</v>
      </c>
    </row>
    <row r="1151" spans="1:18" x14ac:dyDescent="0.35">
      <c r="A1151" t="s">
        <v>1841</v>
      </c>
      <c r="B1151" t="s">
        <v>136</v>
      </c>
      <c r="C1151" t="s">
        <v>1563</v>
      </c>
      <c r="D1151" t="s">
        <v>46</v>
      </c>
      <c r="E1151" t="s">
        <v>148</v>
      </c>
      <c r="F1151" t="s">
        <v>27</v>
      </c>
      <c r="G1151" t="s">
        <v>42</v>
      </c>
      <c r="H1151">
        <v>217</v>
      </c>
      <c r="I1151">
        <v>20</v>
      </c>
      <c r="J1151">
        <v>0</v>
      </c>
      <c r="K1151" t="s">
        <v>20</v>
      </c>
      <c r="L1151">
        <v>21</v>
      </c>
      <c r="M1151" t="s">
        <v>21</v>
      </c>
      <c r="N1151">
        <f>COUNTIF(order_data[Order_ID],order_data[[#This Row],[Order_ID]])</f>
        <v>1</v>
      </c>
      <c r="O1151">
        <f>order_data[[#This Row],[Order_Value]]-order_data[[#This Row],[Discount]]</f>
        <v>217</v>
      </c>
      <c r="P1151">
        <f>order_data[[#This Row],[Order_Value]]+order_data[[#This Row],[Delivery_Fee]]-order_data[[#This Row],[Discount]]</f>
        <v>237</v>
      </c>
      <c r="Q1151" t="str">
        <f>TEXT(order_data[[#This Row],[Order_Date]],"mmm")</f>
        <v>Feb</v>
      </c>
      <c r="R1151">
        <f>MONTH(order_data[[#This Row],[Order_Date]])</f>
        <v>2</v>
      </c>
    </row>
    <row r="1152" spans="1:18" x14ac:dyDescent="0.35">
      <c r="A1152" t="s">
        <v>1842</v>
      </c>
      <c r="B1152" t="s">
        <v>449</v>
      </c>
      <c r="C1152" t="s">
        <v>455</v>
      </c>
      <c r="D1152" t="s">
        <v>16</v>
      </c>
      <c r="E1152" t="s">
        <v>89</v>
      </c>
      <c r="F1152" t="s">
        <v>18</v>
      </c>
      <c r="G1152" t="s">
        <v>107</v>
      </c>
      <c r="H1152">
        <v>496</v>
      </c>
      <c r="I1152">
        <v>50</v>
      </c>
      <c r="J1152">
        <v>30</v>
      </c>
      <c r="K1152" t="s">
        <v>29</v>
      </c>
      <c r="L1152">
        <v>39</v>
      </c>
      <c r="M1152" t="s">
        <v>21</v>
      </c>
      <c r="N1152">
        <f>COUNTIF(order_data[Order_ID],order_data[[#This Row],[Order_ID]])</f>
        <v>1</v>
      </c>
      <c r="O1152">
        <f>order_data[[#This Row],[Order_Value]]-order_data[[#This Row],[Discount]]</f>
        <v>466</v>
      </c>
      <c r="P1152">
        <f>order_data[[#This Row],[Order_Value]]+order_data[[#This Row],[Delivery_Fee]]-order_data[[#This Row],[Discount]]</f>
        <v>516</v>
      </c>
      <c r="Q1152" t="str">
        <f>TEXT(order_data[[#This Row],[Order_Date]],"mmm")</f>
        <v>Mar</v>
      </c>
      <c r="R1152">
        <f>MONTH(order_data[[#This Row],[Order_Date]])</f>
        <v>3</v>
      </c>
    </row>
    <row r="1153" spans="1:18" x14ac:dyDescent="0.35">
      <c r="A1153" t="s">
        <v>1843</v>
      </c>
      <c r="B1153" t="s">
        <v>150</v>
      </c>
      <c r="C1153" t="s">
        <v>638</v>
      </c>
      <c r="D1153" t="s">
        <v>16</v>
      </c>
      <c r="E1153" t="s">
        <v>131</v>
      </c>
      <c r="F1153" t="s">
        <v>55</v>
      </c>
      <c r="G1153" t="s">
        <v>28</v>
      </c>
      <c r="H1153">
        <v>180</v>
      </c>
      <c r="I1153">
        <v>50</v>
      </c>
      <c r="J1153">
        <v>0</v>
      </c>
      <c r="K1153" t="s">
        <v>29</v>
      </c>
      <c r="L1153">
        <v>51</v>
      </c>
      <c r="M1153" t="s">
        <v>21</v>
      </c>
      <c r="N1153">
        <f>COUNTIF(order_data[Order_ID],order_data[[#This Row],[Order_ID]])</f>
        <v>1</v>
      </c>
      <c r="O1153">
        <f>order_data[[#This Row],[Order_Value]]-order_data[[#This Row],[Discount]]</f>
        <v>180</v>
      </c>
      <c r="P1153">
        <f>order_data[[#This Row],[Order_Value]]+order_data[[#This Row],[Delivery_Fee]]-order_data[[#This Row],[Discount]]</f>
        <v>230</v>
      </c>
      <c r="Q1153" t="str">
        <f>TEXT(order_data[[#This Row],[Order_Date]],"mmm")</f>
        <v>Feb</v>
      </c>
      <c r="R1153">
        <f>MONTH(order_data[[#This Row],[Order_Date]])</f>
        <v>2</v>
      </c>
    </row>
    <row r="1154" spans="1:18" x14ac:dyDescent="0.35">
      <c r="A1154" t="s">
        <v>1844</v>
      </c>
      <c r="B1154" t="s">
        <v>244</v>
      </c>
      <c r="C1154" t="s">
        <v>494</v>
      </c>
      <c r="D1154" t="s">
        <v>46</v>
      </c>
      <c r="E1154" t="s">
        <v>47</v>
      </c>
      <c r="F1154" t="s">
        <v>48</v>
      </c>
      <c r="G1154" t="s">
        <v>176</v>
      </c>
      <c r="H1154">
        <v>746</v>
      </c>
      <c r="I1154">
        <v>50</v>
      </c>
      <c r="J1154">
        <v>100</v>
      </c>
      <c r="K1154" t="s">
        <v>29</v>
      </c>
      <c r="L1154">
        <v>26</v>
      </c>
      <c r="M1154" t="s">
        <v>21</v>
      </c>
      <c r="N1154">
        <f>COUNTIF(order_data[Order_ID],order_data[[#This Row],[Order_ID]])</f>
        <v>1</v>
      </c>
      <c r="O1154">
        <f>order_data[[#This Row],[Order_Value]]-order_data[[#This Row],[Discount]]</f>
        <v>646</v>
      </c>
      <c r="P1154">
        <f>order_data[[#This Row],[Order_Value]]+order_data[[#This Row],[Delivery_Fee]]-order_data[[#This Row],[Discount]]</f>
        <v>696</v>
      </c>
      <c r="Q1154" t="str">
        <f>TEXT(order_data[[#This Row],[Order_Date]],"mmm")</f>
        <v>Feb</v>
      </c>
      <c r="R1154">
        <f>MONTH(order_data[[#This Row],[Order_Date]])</f>
        <v>2</v>
      </c>
    </row>
    <row r="1155" spans="1:18" x14ac:dyDescent="0.35">
      <c r="A1155" t="s">
        <v>1845</v>
      </c>
      <c r="B1155" t="s">
        <v>273</v>
      </c>
      <c r="C1155" t="s">
        <v>1846</v>
      </c>
      <c r="D1155" t="s">
        <v>40</v>
      </c>
      <c r="E1155" t="s">
        <v>67</v>
      </c>
      <c r="F1155" t="s">
        <v>48</v>
      </c>
      <c r="G1155" t="s">
        <v>42</v>
      </c>
      <c r="H1155">
        <v>195</v>
      </c>
      <c r="I1155">
        <v>20</v>
      </c>
      <c r="J1155">
        <v>0</v>
      </c>
      <c r="K1155" t="s">
        <v>20</v>
      </c>
      <c r="L1155">
        <v>25</v>
      </c>
      <c r="M1155" t="s">
        <v>21</v>
      </c>
      <c r="N1155">
        <f>COUNTIF(order_data[Order_ID],order_data[[#This Row],[Order_ID]])</f>
        <v>1</v>
      </c>
      <c r="O1155">
        <f>order_data[[#This Row],[Order_Value]]-order_data[[#This Row],[Discount]]</f>
        <v>195</v>
      </c>
      <c r="P1155">
        <f>order_data[[#This Row],[Order_Value]]+order_data[[#This Row],[Delivery_Fee]]-order_data[[#This Row],[Discount]]</f>
        <v>215</v>
      </c>
      <c r="Q1155" t="str">
        <f>TEXT(order_data[[#This Row],[Order_Date]],"mmm")</f>
        <v>Mar</v>
      </c>
      <c r="R1155">
        <f>MONTH(order_data[[#This Row],[Order_Date]])</f>
        <v>3</v>
      </c>
    </row>
    <row r="1156" spans="1:18" x14ac:dyDescent="0.35">
      <c r="A1156" t="s">
        <v>1847</v>
      </c>
      <c r="B1156" t="s">
        <v>143</v>
      </c>
      <c r="C1156" t="s">
        <v>489</v>
      </c>
      <c r="D1156" t="s">
        <v>40</v>
      </c>
      <c r="E1156" t="s">
        <v>67</v>
      </c>
      <c r="F1156" t="s">
        <v>48</v>
      </c>
      <c r="G1156" t="s">
        <v>19</v>
      </c>
      <c r="H1156">
        <v>180</v>
      </c>
      <c r="I1156">
        <v>30</v>
      </c>
      <c r="J1156">
        <v>50</v>
      </c>
      <c r="K1156" t="s">
        <v>20</v>
      </c>
      <c r="L1156">
        <v>44</v>
      </c>
      <c r="M1156" t="s">
        <v>21</v>
      </c>
      <c r="N1156">
        <f>COUNTIF(order_data[Order_ID],order_data[[#This Row],[Order_ID]])</f>
        <v>1</v>
      </c>
      <c r="O1156">
        <f>order_data[[#This Row],[Order_Value]]-order_data[[#This Row],[Discount]]</f>
        <v>130</v>
      </c>
      <c r="P1156">
        <f>order_data[[#This Row],[Order_Value]]+order_data[[#This Row],[Delivery_Fee]]-order_data[[#This Row],[Discount]]</f>
        <v>160</v>
      </c>
      <c r="Q1156" t="str">
        <f>TEXT(order_data[[#This Row],[Order_Date]],"mmm")</f>
        <v>Feb</v>
      </c>
      <c r="R1156">
        <f>MONTH(order_data[[#This Row],[Order_Date]])</f>
        <v>2</v>
      </c>
    </row>
    <row r="1157" spans="1:18" x14ac:dyDescent="0.35">
      <c r="A1157" t="s">
        <v>1848</v>
      </c>
      <c r="B1157" t="s">
        <v>300</v>
      </c>
      <c r="C1157" t="s">
        <v>1669</v>
      </c>
      <c r="D1157" t="s">
        <v>25</v>
      </c>
      <c r="E1157" t="s">
        <v>78</v>
      </c>
      <c r="F1157" t="s">
        <v>48</v>
      </c>
      <c r="G1157" t="s">
        <v>19</v>
      </c>
      <c r="H1157">
        <v>219</v>
      </c>
      <c r="I1157">
        <v>20</v>
      </c>
      <c r="J1157">
        <v>50</v>
      </c>
      <c r="K1157" t="s">
        <v>29</v>
      </c>
      <c r="L1157">
        <v>27</v>
      </c>
      <c r="M1157" t="s">
        <v>21</v>
      </c>
      <c r="N1157">
        <f>COUNTIF(order_data[Order_ID],order_data[[#This Row],[Order_ID]])</f>
        <v>1</v>
      </c>
      <c r="O1157">
        <f>order_data[[#This Row],[Order_Value]]-order_data[[#This Row],[Discount]]</f>
        <v>169</v>
      </c>
      <c r="P1157">
        <f>order_data[[#This Row],[Order_Value]]+order_data[[#This Row],[Delivery_Fee]]-order_data[[#This Row],[Discount]]</f>
        <v>189</v>
      </c>
      <c r="Q1157" t="str">
        <f>TEXT(order_data[[#This Row],[Order_Date]],"mmm")</f>
        <v>Mar</v>
      </c>
      <c r="R1157">
        <f>MONTH(order_data[[#This Row],[Order_Date]])</f>
        <v>3</v>
      </c>
    </row>
    <row r="1158" spans="1:18" x14ac:dyDescent="0.35">
      <c r="A1158" t="s">
        <v>1849</v>
      </c>
      <c r="B1158" t="s">
        <v>416</v>
      </c>
      <c r="C1158" t="s">
        <v>1850</v>
      </c>
      <c r="D1158" t="s">
        <v>40</v>
      </c>
      <c r="E1158" t="s">
        <v>67</v>
      </c>
      <c r="F1158" t="s">
        <v>48</v>
      </c>
      <c r="G1158" t="s">
        <v>63</v>
      </c>
      <c r="H1158">
        <v>348</v>
      </c>
      <c r="I1158">
        <v>40</v>
      </c>
      <c r="J1158">
        <v>30</v>
      </c>
      <c r="K1158" t="s">
        <v>36</v>
      </c>
      <c r="L1158">
        <v>27</v>
      </c>
      <c r="M1158" t="s">
        <v>21</v>
      </c>
      <c r="N1158">
        <f>COUNTIF(order_data[Order_ID],order_data[[#This Row],[Order_ID]])</f>
        <v>1</v>
      </c>
      <c r="O1158">
        <f>order_data[[#This Row],[Order_Value]]-order_data[[#This Row],[Discount]]</f>
        <v>318</v>
      </c>
      <c r="P1158">
        <f>order_data[[#This Row],[Order_Value]]+order_data[[#This Row],[Delivery_Fee]]-order_data[[#This Row],[Discount]]</f>
        <v>358</v>
      </c>
      <c r="Q1158" t="str">
        <f>TEXT(order_data[[#This Row],[Order_Date]],"mmm")</f>
        <v>Mar</v>
      </c>
      <c r="R1158">
        <f>MONTH(order_data[[#This Row],[Order_Date]])</f>
        <v>3</v>
      </c>
    </row>
    <row r="1159" spans="1:18" x14ac:dyDescent="0.35">
      <c r="A1159" t="s">
        <v>1851</v>
      </c>
      <c r="B1159" t="s">
        <v>562</v>
      </c>
      <c r="C1159" t="s">
        <v>1016</v>
      </c>
      <c r="D1159" t="s">
        <v>46</v>
      </c>
      <c r="E1159" t="s">
        <v>70</v>
      </c>
      <c r="F1159" t="s">
        <v>18</v>
      </c>
      <c r="G1159" t="s">
        <v>35</v>
      </c>
      <c r="H1159">
        <v>279</v>
      </c>
      <c r="I1159">
        <v>20</v>
      </c>
      <c r="J1159">
        <v>50</v>
      </c>
      <c r="K1159" t="s">
        <v>29</v>
      </c>
      <c r="L1159">
        <v>34</v>
      </c>
      <c r="M1159" t="s">
        <v>21</v>
      </c>
      <c r="N1159">
        <f>COUNTIF(order_data[Order_ID],order_data[[#This Row],[Order_ID]])</f>
        <v>1</v>
      </c>
      <c r="O1159">
        <f>order_data[[#This Row],[Order_Value]]-order_data[[#This Row],[Discount]]</f>
        <v>229</v>
      </c>
      <c r="P1159">
        <f>order_data[[#This Row],[Order_Value]]+order_data[[#This Row],[Delivery_Fee]]-order_data[[#This Row],[Discount]]</f>
        <v>249</v>
      </c>
      <c r="Q1159" t="str">
        <f>TEXT(order_data[[#This Row],[Order_Date]],"mmm")</f>
        <v>Feb</v>
      </c>
      <c r="R1159">
        <f>MONTH(order_data[[#This Row],[Order_Date]])</f>
        <v>2</v>
      </c>
    </row>
    <row r="1160" spans="1:18" x14ac:dyDescent="0.35">
      <c r="A1160" t="s">
        <v>1852</v>
      </c>
      <c r="B1160" t="s">
        <v>72</v>
      </c>
      <c r="C1160" t="s">
        <v>1598</v>
      </c>
      <c r="D1160" t="s">
        <v>53</v>
      </c>
      <c r="E1160" t="s">
        <v>152</v>
      </c>
      <c r="F1160" t="s">
        <v>18</v>
      </c>
      <c r="G1160" t="s">
        <v>176</v>
      </c>
      <c r="H1160">
        <v>232</v>
      </c>
      <c r="I1160">
        <v>50</v>
      </c>
      <c r="J1160">
        <v>30</v>
      </c>
      <c r="K1160" t="s">
        <v>36</v>
      </c>
      <c r="L1160">
        <v>51</v>
      </c>
      <c r="M1160" t="s">
        <v>21</v>
      </c>
      <c r="N1160">
        <f>COUNTIF(order_data[Order_ID],order_data[[#This Row],[Order_ID]])</f>
        <v>1</v>
      </c>
      <c r="O1160">
        <f>order_data[[#This Row],[Order_Value]]-order_data[[#This Row],[Discount]]</f>
        <v>202</v>
      </c>
      <c r="P1160">
        <f>order_data[[#This Row],[Order_Value]]+order_data[[#This Row],[Delivery_Fee]]-order_data[[#This Row],[Discount]]</f>
        <v>252</v>
      </c>
      <c r="Q1160" t="str">
        <f>TEXT(order_data[[#This Row],[Order_Date]],"mmm")</f>
        <v>Jan</v>
      </c>
      <c r="R1160">
        <f>MONTH(order_data[[#This Row],[Order_Date]])</f>
        <v>1</v>
      </c>
    </row>
    <row r="1161" spans="1:18" x14ac:dyDescent="0.35">
      <c r="A1161" t="s">
        <v>1853</v>
      </c>
      <c r="B1161" t="s">
        <v>336</v>
      </c>
      <c r="C1161" t="s">
        <v>253</v>
      </c>
      <c r="D1161" t="s">
        <v>46</v>
      </c>
      <c r="E1161" t="s">
        <v>47</v>
      </c>
      <c r="F1161" t="s">
        <v>48</v>
      </c>
      <c r="G1161" t="s">
        <v>59</v>
      </c>
      <c r="H1161">
        <v>460</v>
      </c>
      <c r="I1161">
        <v>30</v>
      </c>
      <c r="J1161">
        <v>20</v>
      </c>
      <c r="K1161" t="s">
        <v>20</v>
      </c>
      <c r="L1161">
        <v>25</v>
      </c>
      <c r="M1161" t="s">
        <v>21</v>
      </c>
      <c r="N1161">
        <f>COUNTIF(order_data[Order_ID],order_data[[#This Row],[Order_ID]])</f>
        <v>1</v>
      </c>
      <c r="O1161">
        <f>order_data[[#This Row],[Order_Value]]-order_data[[#This Row],[Discount]]</f>
        <v>440</v>
      </c>
      <c r="P1161">
        <f>order_data[[#This Row],[Order_Value]]+order_data[[#This Row],[Delivery_Fee]]-order_data[[#This Row],[Discount]]</f>
        <v>470</v>
      </c>
      <c r="Q1161" t="str">
        <f>TEXT(order_data[[#This Row],[Order_Date]],"mmm")</f>
        <v>Feb</v>
      </c>
      <c r="R1161">
        <f>MONTH(order_data[[#This Row],[Order_Date]])</f>
        <v>2</v>
      </c>
    </row>
    <row r="1162" spans="1:18" x14ac:dyDescent="0.35">
      <c r="A1162" t="s">
        <v>1854</v>
      </c>
      <c r="B1162" t="s">
        <v>126</v>
      </c>
      <c r="C1162" t="s">
        <v>1855</v>
      </c>
      <c r="D1162" t="s">
        <v>16</v>
      </c>
      <c r="E1162" t="s">
        <v>89</v>
      </c>
      <c r="F1162" t="s">
        <v>18</v>
      </c>
      <c r="G1162" t="s">
        <v>59</v>
      </c>
      <c r="H1162">
        <v>237</v>
      </c>
      <c r="I1162">
        <v>20</v>
      </c>
      <c r="J1162">
        <v>50</v>
      </c>
      <c r="K1162" t="s">
        <v>20</v>
      </c>
      <c r="L1162">
        <v>40</v>
      </c>
      <c r="M1162" t="s">
        <v>21</v>
      </c>
      <c r="N1162">
        <f>COUNTIF(order_data[Order_ID],order_data[[#This Row],[Order_ID]])</f>
        <v>1</v>
      </c>
      <c r="O1162">
        <f>order_data[[#This Row],[Order_Value]]-order_data[[#This Row],[Discount]]</f>
        <v>187</v>
      </c>
      <c r="P1162">
        <f>order_data[[#This Row],[Order_Value]]+order_data[[#This Row],[Delivery_Fee]]-order_data[[#This Row],[Discount]]</f>
        <v>207</v>
      </c>
      <c r="Q1162" t="str">
        <f>TEXT(order_data[[#This Row],[Order_Date]],"mmm")</f>
        <v>Mar</v>
      </c>
      <c r="R1162">
        <f>MONTH(order_data[[#This Row],[Order_Date]])</f>
        <v>3</v>
      </c>
    </row>
    <row r="1163" spans="1:18" x14ac:dyDescent="0.35">
      <c r="A1163" t="s">
        <v>1856</v>
      </c>
      <c r="B1163" t="s">
        <v>241</v>
      </c>
      <c r="C1163" t="s">
        <v>1857</v>
      </c>
      <c r="D1163" t="s">
        <v>16</v>
      </c>
      <c r="E1163" t="s">
        <v>17</v>
      </c>
      <c r="F1163" t="s">
        <v>18</v>
      </c>
      <c r="G1163" t="s">
        <v>63</v>
      </c>
      <c r="H1163">
        <v>468</v>
      </c>
      <c r="I1163">
        <v>30</v>
      </c>
      <c r="J1163">
        <v>100</v>
      </c>
      <c r="K1163" t="s">
        <v>29</v>
      </c>
      <c r="L1163">
        <v>33</v>
      </c>
      <c r="M1163" t="s">
        <v>21</v>
      </c>
      <c r="N1163">
        <f>COUNTIF(order_data[Order_ID],order_data[[#This Row],[Order_ID]])</f>
        <v>1</v>
      </c>
      <c r="O1163">
        <f>order_data[[#This Row],[Order_Value]]-order_data[[#This Row],[Discount]]</f>
        <v>368</v>
      </c>
      <c r="P1163">
        <f>order_data[[#This Row],[Order_Value]]+order_data[[#This Row],[Delivery_Fee]]-order_data[[#This Row],[Discount]]</f>
        <v>398</v>
      </c>
      <c r="Q1163" t="str">
        <f>TEXT(order_data[[#This Row],[Order_Date]],"mmm")</f>
        <v>Mar</v>
      </c>
      <c r="R1163">
        <f>MONTH(order_data[[#This Row],[Order_Date]])</f>
        <v>3</v>
      </c>
    </row>
    <row r="1164" spans="1:18" x14ac:dyDescent="0.35">
      <c r="A1164" t="s">
        <v>1858</v>
      </c>
      <c r="B1164" t="s">
        <v>295</v>
      </c>
      <c r="C1164" t="s">
        <v>301</v>
      </c>
      <c r="D1164" t="s">
        <v>16</v>
      </c>
      <c r="E1164" t="s">
        <v>89</v>
      </c>
      <c r="F1164" t="s">
        <v>18</v>
      </c>
      <c r="G1164" t="s">
        <v>49</v>
      </c>
      <c r="H1164">
        <v>523</v>
      </c>
      <c r="I1164">
        <v>20</v>
      </c>
      <c r="J1164">
        <v>100</v>
      </c>
      <c r="K1164" t="s">
        <v>36</v>
      </c>
      <c r="L1164">
        <v>58</v>
      </c>
      <c r="M1164" t="s">
        <v>21</v>
      </c>
      <c r="N1164">
        <f>COUNTIF(order_data[Order_ID],order_data[[#This Row],[Order_ID]])</f>
        <v>1</v>
      </c>
      <c r="O1164">
        <f>order_data[[#This Row],[Order_Value]]-order_data[[#This Row],[Discount]]</f>
        <v>423</v>
      </c>
      <c r="P1164">
        <f>order_data[[#This Row],[Order_Value]]+order_data[[#This Row],[Delivery_Fee]]-order_data[[#This Row],[Discount]]</f>
        <v>443</v>
      </c>
      <c r="Q1164" t="str">
        <f>TEXT(order_data[[#This Row],[Order_Date]],"mmm")</f>
        <v>Jan</v>
      </c>
      <c r="R1164">
        <f>MONTH(order_data[[#This Row],[Order_Date]])</f>
        <v>1</v>
      </c>
    </row>
    <row r="1165" spans="1:18" x14ac:dyDescent="0.35">
      <c r="A1165" t="s">
        <v>1859</v>
      </c>
      <c r="B1165" t="s">
        <v>310</v>
      </c>
      <c r="C1165" t="s">
        <v>621</v>
      </c>
      <c r="D1165" t="s">
        <v>40</v>
      </c>
      <c r="E1165" t="s">
        <v>67</v>
      </c>
      <c r="F1165" t="s">
        <v>48</v>
      </c>
      <c r="G1165" t="s">
        <v>107</v>
      </c>
      <c r="H1165">
        <v>293</v>
      </c>
      <c r="I1165">
        <v>50</v>
      </c>
      <c r="J1165">
        <v>30</v>
      </c>
      <c r="K1165" t="s">
        <v>36</v>
      </c>
      <c r="L1165">
        <v>34</v>
      </c>
      <c r="M1165" t="s">
        <v>21</v>
      </c>
      <c r="N1165">
        <f>COUNTIF(order_data[Order_ID],order_data[[#This Row],[Order_ID]])</f>
        <v>1</v>
      </c>
      <c r="O1165">
        <f>order_data[[#This Row],[Order_Value]]-order_data[[#This Row],[Discount]]</f>
        <v>263</v>
      </c>
      <c r="P1165">
        <f>order_data[[#This Row],[Order_Value]]+order_data[[#This Row],[Delivery_Fee]]-order_data[[#This Row],[Discount]]</f>
        <v>313</v>
      </c>
      <c r="Q1165" t="str">
        <f>TEXT(order_data[[#This Row],[Order_Date]],"mmm")</f>
        <v>Feb</v>
      </c>
      <c r="R1165">
        <f>MONTH(order_data[[#This Row],[Order_Date]])</f>
        <v>2</v>
      </c>
    </row>
    <row r="1166" spans="1:18" x14ac:dyDescent="0.35">
      <c r="A1166" t="s">
        <v>1860</v>
      </c>
      <c r="B1166" t="s">
        <v>416</v>
      </c>
      <c r="C1166" t="s">
        <v>211</v>
      </c>
      <c r="D1166" t="s">
        <v>46</v>
      </c>
      <c r="E1166" t="s">
        <v>70</v>
      </c>
      <c r="F1166" t="s">
        <v>18</v>
      </c>
      <c r="G1166" t="s">
        <v>59</v>
      </c>
      <c r="H1166">
        <v>253</v>
      </c>
      <c r="I1166">
        <v>20</v>
      </c>
      <c r="J1166">
        <v>30</v>
      </c>
      <c r="K1166" t="s">
        <v>29</v>
      </c>
      <c r="L1166">
        <v>22</v>
      </c>
      <c r="M1166" t="s">
        <v>21</v>
      </c>
      <c r="N1166">
        <f>COUNTIF(order_data[Order_ID],order_data[[#This Row],[Order_ID]])</f>
        <v>1</v>
      </c>
      <c r="O1166">
        <f>order_data[[#This Row],[Order_Value]]-order_data[[#This Row],[Discount]]</f>
        <v>223</v>
      </c>
      <c r="P1166">
        <f>order_data[[#This Row],[Order_Value]]+order_data[[#This Row],[Delivery_Fee]]-order_data[[#This Row],[Discount]]</f>
        <v>243</v>
      </c>
      <c r="Q1166" t="str">
        <f>TEXT(order_data[[#This Row],[Order_Date]],"mmm")</f>
        <v>Mar</v>
      </c>
      <c r="R1166">
        <f>MONTH(order_data[[#This Row],[Order_Date]])</f>
        <v>3</v>
      </c>
    </row>
    <row r="1167" spans="1:18" x14ac:dyDescent="0.35">
      <c r="A1167" t="s">
        <v>1861</v>
      </c>
      <c r="B1167" t="s">
        <v>105</v>
      </c>
      <c r="C1167" t="s">
        <v>1846</v>
      </c>
      <c r="D1167" t="s">
        <v>53</v>
      </c>
      <c r="E1167" t="s">
        <v>54</v>
      </c>
      <c r="F1167" t="s">
        <v>55</v>
      </c>
      <c r="G1167" t="s">
        <v>74</v>
      </c>
      <c r="H1167">
        <v>687</v>
      </c>
      <c r="I1167">
        <v>40</v>
      </c>
      <c r="J1167">
        <v>30</v>
      </c>
      <c r="K1167" t="s">
        <v>20</v>
      </c>
      <c r="L1167">
        <v>46</v>
      </c>
      <c r="M1167" t="s">
        <v>21</v>
      </c>
      <c r="N1167">
        <f>COUNTIF(order_data[Order_ID],order_data[[#This Row],[Order_ID]])</f>
        <v>1</v>
      </c>
      <c r="O1167">
        <f>order_data[[#This Row],[Order_Value]]-order_data[[#This Row],[Discount]]</f>
        <v>657</v>
      </c>
      <c r="P1167">
        <f>order_data[[#This Row],[Order_Value]]+order_data[[#This Row],[Delivery_Fee]]-order_data[[#This Row],[Discount]]</f>
        <v>697</v>
      </c>
      <c r="Q1167" t="str">
        <f>TEXT(order_data[[#This Row],[Order_Date]],"mmm")</f>
        <v>Mar</v>
      </c>
      <c r="R1167">
        <f>MONTH(order_data[[#This Row],[Order_Date]])</f>
        <v>3</v>
      </c>
    </row>
    <row r="1168" spans="1:18" x14ac:dyDescent="0.35">
      <c r="A1168" t="s">
        <v>1862</v>
      </c>
      <c r="B1168" t="s">
        <v>513</v>
      </c>
      <c r="C1168" t="s">
        <v>394</v>
      </c>
      <c r="D1168" t="s">
        <v>25</v>
      </c>
      <c r="E1168" t="s">
        <v>78</v>
      </c>
      <c r="F1168" t="s">
        <v>48</v>
      </c>
      <c r="G1168" t="s">
        <v>28</v>
      </c>
      <c r="H1168">
        <v>160</v>
      </c>
      <c r="I1168">
        <v>20</v>
      </c>
      <c r="J1168">
        <v>0</v>
      </c>
      <c r="K1168" t="s">
        <v>29</v>
      </c>
      <c r="L1168">
        <v>57</v>
      </c>
      <c r="M1168" t="s">
        <v>21</v>
      </c>
      <c r="N1168">
        <f>COUNTIF(order_data[Order_ID],order_data[[#This Row],[Order_ID]])</f>
        <v>1</v>
      </c>
      <c r="O1168">
        <f>order_data[[#This Row],[Order_Value]]-order_data[[#This Row],[Discount]]</f>
        <v>160</v>
      </c>
      <c r="P1168">
        <f>order_data[[#This Row],[Order_Value]]+order_data[[#This Row],[Delivery_Fee]]-order_data[[#This Row],[Discount]]</f>
        <v>180</v>
      </c>
      <c r="Q1168" t="str">
        <f>TEXT(order_data[[#This Row],[Order_Date]],"mmm")</f>
        <v>Feb</v>
      </c>
      <c r="R1168">
        <f>MONTH(order_data[[#This Row],[Order_Date]])</f>
        <v>2</v>
      </c>
    </row>
    <row r="1169" spans="1:18" x14ac:dyDescent="0.35">
      <c r="A1169" t="s">
        <v>1863</v>
      </c>
      <c r="B1169" t="s">
        <v>133</v>
      </c>
      <c r="C1169" t="s">
        <v>1295</v>
      </c>
      <c r="D1169" t="s">
        <v>46</v>
      </c>
      <c r="E1169" t="s">
        <v>47</v>
      </c>
      <c r="F1169" t="s">
        <v>48</v>
      </c>
      <c r="G1169" t="s">
        <v>42</v>
      </c>
      <c r="H1169">
        <v>579</v>
      </c>
      <c r="I1169">
        <v>50</v>
      </c>
      <c r="J1169">
        <v>0</v>
      </c>
      <c r="K1169" t="s">
        <v>36</v>
      </c>
      <c r="L1169">
        <v>29</v>
      </c>
      <c r="M1169" t="s">
        <v>30</v>
      </c>
      <c r="N1169">
        <f>COUNTIF(order_data[Order_ID],order_data[[#This Row],[Order_ID]])</f>
        <v>1</v>
      </c>
      <c r="O1169">
        <f>order_data[[#This Row],[Order_Value]]-order_data[[#This Row],[Discount]]</f>
        <v>579</v>
      </c>
      <c r="P1169">
        <f>order_data[[#This Row],[Order_Value]]+order_data[[#This Row],[Delivery_Fee]]-order_data[[#This Row],[Discount]]</f>
        <v>629</v>
      </c>
      <c r="Q1169" t="str">
        <f>TEXT(order_data[[#This Row],[Order_Date]],"mmm")</f>
        <v>Mar</v>
      </c>
      <c r="R1169">
        <f>MONTH(order_data[[#This Row],[Order_Date]])</f>
        <v>3</v>
      </c>
    </row>
    <row r="1170" spans="1:18" x14ac:dyDescent="0.35">
      <c r="A1170" t="s">
        <v>1864</v>
      </c>
      <c r="B1170" t="s">
        <v>379</v>
      </c>
      <c r="C1170" t="s">
        <v>1114</v>
      </c>
      <c r="D1170" t="s">
        <v>16</v>
      </c>
      <c r="E1170" t="s">
        <v>17</v>
      </c>
      <c r="F1170" t="s">
        <v>18</v>
      </c>
      <c r="G1170" t="s">
        <v>107</v>
      </c>
      <c r="H1170">
        <v>651</v>
      </c>
      <c r="I1170">
        <v>40</v>
      </c>
      <c r="J1170">
        <v>100</v>
      </c>
      <c r="K1170" t="s">
        <v>20</v>
      </c>
      <c r="L1170">
        <v>31</v>
      </c>
      <c r="M1170" t="s">
        <v>21</v>
      </c>
      <c r="N1170">
        <f>COUNTIF(order_data[Order_ID],order_data[[#This Row],[Order_ID]])</f>
        <v>1</v>
      </c>
      <c r="O1170">
        <f>order_data[[#This Row],[Order_Value]]-order_data[[#This Row],[Discount]]</f>
        <v>551</v>
      </c>
      <c r="P1170">
        <f>order_data[[#This Row],[Order_Value]]+order_data[[#This Row],[Delivery_Fee]]-order_data[[#This Row],[Discount]]</f>
        <v>591</v>
      </c>
      <c r="Q1170" t="str">
        <f>TEXT(order_data[[#This Row],[Order_Date]],"mmm")</f>
        <v>Mar</v>
      </c>
      <c r="R1170">
        <f>MONTH(order_data[[#This Row],[Order_Date]])</f>
        <v>3</v>
      </c>
    </row>
    <row r="1171" spans="1:18" x14ac:dyDescent="0.35">
      <c r="A1171" t="s">
        <v>1865</v>
      </c>
      <c r="B1171" t="s">
        <v>583</v>
      </c>
      <c r="C1171" t="s">
        <v>1866</v>
      </c>
      <c r="D1171" t="s">
        <v>25</v>
      </c>
      <c r="E1171" t="s">
        <v>78</v>
      </c>
      <c r="F1171" t="s">
        <v>48</v>
      </c>
      <c r="G1171" t="s">
        <v>63</v>
      </c>
      <c r="H1171">
        <v>350</v>
      </c>
      <c r="I1171">
        <v>30</v>
      </c>
      <c r="J1171">
        <v>0</v>
      </c>
      <c r="K1171" t="s">
        <v>36</v>
      </c>
      <c r="L1171">
        <v>28</v>
      </c>
      <c r="M1171" t="s">
        <v>21</v>
      </c>
      <c r="N1171">
        <f>COUNTIF(order_data[Order_ID],order_data[[#This Row],[Order_ID]])</f>
        <v>1</v>
      </c>
      <c r="O1171">
        <f>order_data[[#This Row],[Order_Value]]-order_data[[#This Row],[Discount]]</f>
        <v>350</v>
      </c>
      <c r="P1171">
        <f>order_data[[#This Row],[Order_Value]]+order_data[[#This Row],[Delivery_Fee]]-order_data[[#This Row],[Discount]]</f>
        <v>380</v>
      </c>
      <c r="Q1171" t="str">
        <f>TEXT(order_data[[#This Row],[Order_Date]],"mmm")</f>
        <v>Jan</v>
      </c>
      <c r="R1171">
        <f>MONTH(order_data[[#This Row],[Order_Date]])</f>
        <v>1</v>
      </c>
    </row>
    <row r="1172" spans="1:18" x14ac:dyDescent="0.35">
      <c r="A1172" t="s">
        <v>1867</v>
      </c>
      <c r="B1172" t="s">
        <v>326</v>
      </c>
      <c r="C1172" t="s">
        <v>909</v>
      </c>
      <c r="D1172" t="s">
        <v>16</v>
      </c>
      <c r="E1172" t="s">
        <v>17</v>
      </c>
      <c r="F1172" t="s">
        <v>18</v>
      </c>
      <c r="G1172" t="s">
        <v>28</v>
      </c>
      <c r="H1172">
        <v>471</v>
      </c>
      <c r="I1172">
        <v>20</v>
      </c>
      <c r="J1172">
        <v>30</v>
      </c>
      <c r="K1172" t="s">
        <v>29</v>
      </c>
      <c r="L1172">
        <v>45</v>
      </c>
      <c r="M1172" t="s">
        <v>21</v>
      </c>
      <c r="N1172">
        <f>COUNTIF(order_data[Order_ID],order_data[[#This Row],[Order_ID]])</f>
        <v>1</v>
      </c>
      <c r="O1172">
        <f>order_data[[#This Row],[Order_Value]]-order_data[[#This Row],[Discount]]</f>
        <v>441</v>
      </c>
      <c r="P1172">
        <f>order_data[[#This Row],[Order_Value]]+order_data[[#This Row],[Delivery_Fee]]-order_data[[#This Row],[Discount]]</f>
        <v>461</v>
      </c>
      <c r="Q1172" t="str">
        <f>TEXT(order_data[[#This Row],[Order_Date]],"mmm")</f>
        <v>Mar</v>
      </c>
      <c r="R1172">
        <f>MONTH(order_data[[#This Row],[Order_Date]])</f>
        <v>3</v>
      </c>
    </row>
    <row r="1173" spans="1:18" x14ac:dyDescent="0.35">
      <c r="A1173" t="s">
        <v>1868</v>
      </c>
      <c r="B1173" t="s">
        <v>473</v>
      </c>
      <c r="C1173" t="s">
        <v>421</v>
      </c>
      <c r="D1173" t="s">
        <v>25</v>
      </c>
      <c r="E1173" t="s">
        <v>78</v>
      </c>
      <c r="F1173" t="s">
        <v>48</v>
      </c>
      <c r="G1173" t="s">
        <v>42</v>
      </c>
      <c r="H1173">
        <v>419</v>
      </c>
      <c r="I1173">
        <v>50</v>
      </c>
      <c r="J1173">
        <v>20</v>
      </c>
      <c r="K1173" t="s">
        <v>36</v>
      </c>
      <c r="L1173">
        <v>49</v>
      </c>
      <c r="M1173" t="s">
        <v>21</v>
      </c>
      <c r="N1173">
        <f>COUNTIF(order_data[Order_ID],order_data[[#This Row],[Order_ID]])</f>
        <v>1</v>
      </c>
      <c r="O1173">
        <f>order_data[[#This Row],[Order_Value]]-order_data[[#This Row],[Discount]]</f>
        <v>399</v>
      </c>
      <c r="P1173">
        <f>order_data[[#This Row],[Order_Value]]+order_data[[#This Row],[Delivery_Fee]]-order_data[[#This Row],[Discount]]</f>
        <v>449</v>
      </c>
      <c r="Q1173" t="str">
        <f>TEXT(order_data[[#This Row],[Order_Date]],"mmm")</f>
        <v>Mar</v>
      </c>
      <c r="R1173">
        <f>MONTH(order_data[[#This Row],[Order_Date]])</f>
        <v>3</v>
      </c>
    </row>
    <row r="1174" spans="1:18" x14ac:dyDescent="0.35">
      <c r="A1174" t="s">
        <v>1869</v>
      </c>
      <c r="B1174" t="s">
        <v>213</v>
      </c>
      <c r="C1174" t="s">
        <v>161</v>
      </c>
      <c r="D1174" t="s">
        <v>16</v>
      </c>
      <c r="E1174" t="s">
        <v>131</v>
      </c>
      <c r="F1174" t="s">
        <v>55</v>
      </c>
      <c r="G1174" t="s">
        <v>28</v>
      </c>
      <c r="H1174">
        <v>283</v>
      </c>
      <c r="I1174">
        <v>30</v>
      </c>
      <c r="J1174">
        <v>30</v>
      </c>
      <c r="K1174" t="s">
        <v>36</v>
      </c>
      <c r="L1174">
        <v>49</v>
      </c>
      <c r="M1174" t="s">
        <v>21</v>
      </c>
      <c r="N1174">
        <f>COUNTIF(order_data[Order_ID],order_data[[#This Row],[Order_ID]])</f>
        <v>1</v>
      </c>
      <c r="O1174">
        <f>order_data[[#This Row],[Order_Value]]-order_data[[#This Row],[Discount]]</f>
        <v>253</v>
      </c>
      <c r="P1174">
        <f>order_data[[#This Row],[Order_Value]]+order_data[[#This Row],[Delivery_Fee]]-order_data[[#This Row],[Discount]]</f>
        <v>283</v>
      </c>
      <c r="Q1174" t="str">
        <f>TEXT(order_data[[#This Row],[Order_Date]],"mmm")</f>
        <v>Jan</v>
      </c>
      <c r="R1174">
        <f>MONTH(order_data[[#This Row],[Order_Date]])</f>
        <v>1</v>
      </c>
    </row>
    <row r="1175" spans="1:18" x14ac:dyDescent="0.35">
      <c r="A1175" t="s">
        <v>1870</v>
      </c>
      <c r="B1175" t="s">
        <v>199</v>
      </c>
      <c r="C1175" t="s">
        <v>1871</v>
      </c>
      <c r="D1175" t="s">
        <v>25</v>
      </c>
      <c r="E1175" t="s">
        <v>26</v>
      </c>
      <c r="F1175" t="s">
        <v>27</v>
      </c>
      <c r="G1175" t="s">
        <v>59</v>
      </c>
      <c r="H1175">
        <v>308</v>
      </c>
      <c r="I1175">
        <v>30</v>
      </c>
      <c r="J1175">
        <v>0</v>
      </c>
      <c r="K1175" t="s">
        <v>36</v>
      </c>
      <c r="L1175">
        <v>29</v>
      </c>
      <c r="M1175" t="s">
        <v>21</v>
      </c>
      <c r="N1175">
        <f>COUNTIF(order_data[Order_ID],order_data[[#This Row],[Order_ID]])</f>
        <v>1</v>
      </c>
      <c r="O1175">
        <f>order_data[[#This Row],[Order_Value]]-order_data[[#This Row],[Discount]]</f>
        <v>308</v>
      </c>
      <c r="P1175">
        <f>order_data[[#This Row],[Order_Value]]+order_data[[#This Row],[Delivery_Fee]]-order_data[[#This Row],[Discount]]</f>
        <v>338</v>
      </c>
      <c r="Q1175" t="str">
        <f>TEXT(order_data[[#This Row],[Order_Date]],"mmm")</f>
        <v>Jan</v>
      </c>
      <c r="R1175">
        <f>MONTH(order_data[[#This Row],[Order_Date]])</f>
        <v>1</v>
      </c>
    </row>
    <row r="1176" spans="1:18" x14ac:dyDescent="0.35">
      <c r="A1176" t="s">
        <v>1872</v>
      </c>
      <c r="B1176" t="s">
        <v>150</v>
      </c>
      <c r="C1176" t="s">
        <v>510</v>
      </c>
      <c r="D1176" t="s">
        <v>46</v>
      </c>
      <c r="E1176" t="s">
        <v>70</v>
      </c>
      <c r="F1176" t="s">
        <v>18</v>
      </c>
      <c r="G1176" t="s">
        <v>107</v>
      </c>
      <c r="H1176">
        <v>690</v>
      </c>
      <c r="I1176">
        <v>20</v>
      </c>
      <c r="J1176">
        <v>50</v>
      </c>
      <c r="K1176" t="s">
        <v>36</v>
      </c>
      <c r="L1176">
        <v>34</v>
      </c>
      <c r="M1176" t="s">
        <v>21</v>
      </c>
      <c r="N1176">
        <f>COUNTIF(order_data[Order_ID],order_data[[#This Row],[Order_ID]])</f>
        <v>1</v>
      </c>
      <c r="O1176">
        <f>order_data[[#This Row],[Order_Value]]-order_data[[#This Row],[Discount]]</f>
        <v>640</v>
      </c>
      <c r="P1176">
        <f>order_data[[#This Row],[Order_Value]]+order_data[[#This Row],[Delivery_Fee]]-order_data[[#This Row],[Discount]]</f>
        <v>660</v>
      </c>
      <c r="Q1176" t="str">
        <f>TEXT(order_data[[#This Row],[Order_Date]],"mmm")</f>
        <v>Feb</v>
      </c>
      <c r="R1176">
        <f>MONTH(order_data[[#This Row],[Order_Date]])</f>
        <v>2</v>
      </c>
    </row>
    <row r="1177" spans="1:18" x14ac:dyDescent="0.35">
      <c r="A1177" t="s">
        <v>1873</v>
      </c>
      <c r="B1177" t="s">
        <v>91</v>
      </c>
      <c r="C1177" t="s">
        <v>24</v>
      </c>
      <c r="D1177" t="s">
        <v>25</v>
      </c>
      <c r="E1177" t="s">
        <v>78</v>
      </c>
      <c r="F1177" t="s">
        <v>48</v>
      </c>
      <c r="G1177" t="s">
        <v>74</v>
      </c>
      <c r="H1177">
        <v>594</v>
      </c>
      <c r="I1177">
        <v>20</v>
      </c>
      <c r="J1177">
        <v>0</v>
      </c>
      <c r="K1177" t="s">
        <v>36</v>
      </c>
      <c r="L1177">
        <v>33</v>
      </c>
      <c r="M1177" t="s">
        <v>21</v>
      </c>
      <c r="N1177">
        <f>COUNTIF(order_data[Order_ID],order_data[[#This Row],[Order_ID]])</f>
        <v>1</v>
      </c>
      <c r="O1177">
        <f>order_data[[#This Row],[Order_Value]]-order_data[[#This Row],[Discount]]</f>
        <v>594</v>
      </c>
      <c r="P1177">
        <f>order_data[[#This Row],[Order_Value]]+order_data[[#This Row],[Delivery_Fee]]-order_data[[#This Row],[Discount]]</f>
        <v>614</v>
      </c>
      <c r="Q1177" t="str">
        <f>TEXT(order_data[[#This Row],[Order_Date]],"mmm")</f>
        <v>Mar</v>
      </c>
      <c r="R1177">
        <f>MONTH(order_data[[#This Row],[Order_Date]])</f>
        <v>3</v>
      </c>
    </row>
    <row r="1178" spans="1:18" x14ac:dyDescent="0.35">
      <c r="A1178" t="s">
        <v>1874</v>
      </c>
      <c r="B1178" t="s">
        <v>322</v>
      </c>
      <c r="C1178" t="s">
        <v>1687</v>
      </c>
      <c r="D1178" t="s">
        <v>25</v>
      </c>
      <c r="E1178" t="s">
        <v>34</v>
      </c>
      <c r="F1178" t="s">
        <v>27</v>
      </c>
      <c r="G1178" t="s">
        <v>19</v>
      </c>
      <c r="H1178">
        <v>782</v>
      </c>
      <c r="I1178">
        <v>50</v>
      </c>
      <c r="J1178">
        <v>0</v>
      </c>
      <c r="K1178" t="s">
        <v>36</v>
      </c>
      <c r="L1178">
        <v>56</v>
      </c>
      <c r="M1178" t="s">
        <v>21</v>
      </c>
      <c r="N1178">
        <f>COUNTIF(order_data[Order_ID],order_data[[#This Row],[Order_ID]])</f>
        <v>1</v>
      </c>
      <c r="O1178">
        <f>order_data[[#This Row],[Order_Value]]-order_data[[#This Row],[Discount]]</f>
        <v>782</v>
      </c>
      <c r="P1178">
        <f>order_data[[#This Row],[Order_Value]]+order_data[[#This Row],[Delivery_Fee]]-order_data[[#This Row],[Discount]]</f>
        <v>832</v>
      </c>
      <c r="Q1178" t="str">
        <f>TEXT(order_data[[#This Row],[Order_Date]],"mmm")</f>
        <v>Jan</v>
      </c>
      <c r="R1178">
        <f>MONTH(order_data[[#This Row],[Order_Date]])</f>
        <v>1</v>
      </c>
    </row>
    <row r="1179" spans="1:18" x14ac:dyDescent="0.35">
      <c r="A1179" t="s">
        <v>1875</v>
      </c>
      <c r="B1179" t="s">
        <v>96</v>
      </c>
      <c r="C1179" t="s">
        <v>1765</v>
      </c>
      <c r="D1179" t="s">
        <v>25</v>
      </c>
      <c r="E1179" t="s">
        <v>34</v>
      </c>
      <c r="F1179" t="s">
        <v>27</v>
      </c>
      <c r="G1179" t="s">
        <v>19</v>
      </c>
      <c r="H1179">
        <v>393</v>
      </c>
      <c r="I1179">
        <v>40</v>
      </c>
      <c r="J1179">
        <v>20</v>
      </c>
      <c r="K1179" t="s">
        <v>20</v>
      </c>
      <c r="L1179">
        <v>57</v>
      </c>
      <c r="M1179" t="s">
        <v>21</v>
      </c>
      <c r="N1179">
        <f>COUNTIF(order_data[Order_ID],order_data[[#This Row],[Order_ID]])</f>
        <v>1</v>
      </c>
      <c r="O1179">
        <f>order_data[[#This Row],[Order_Value]]-order_data[[#This Row],[Discount]]</f>
        <v>373</v>
      </c>
      <c r="P1179">
        <f>order_data[[#This Row],[Order_Value]]+order_data[[#This Row],[Delivery_Fee]]-order_data[[#This Row],[Discount]]</f>
        <v>413</v>
      </c>
      <c r="Q1179" t="str">
        <f>TEXT(order_data[[#This Row],[Order_Date]],"mmm")</f>
        <v>Mar</v>
      </c>
      <c r="R1179">
        <f>MONTH(order_data[[#This Row],[Order_Date]])</f>
        <v>3</v>
      </c>
    </row>
    <row r="1180" spans="1:18" x14ac:dyDescent="0.35">
      <c r="A1180" t="s">
        <v>1876</v>
      </c>
      <c r="B1180" t="s">
        <v>486</v>
      </c>
      <c r="C1180" t="s">
        <v>1877</v>
      </c>
      <c r="D1180" t="s">
        <v>53</v>
      </c>
      <c r="E1180" t="s">
        <v>84</v>
      </c>
      <c r="F1180" t="s">
        <v>85</v>
      </c>
      <c r="G1180" t="s">
        <v>63</v>
      </c>
      <c r="H1180">
        <v>263</v>
      </c>
      <c r="I1180">
        <v>40</v>
      </c>
      <c r="J1180">
        <v>30</v>
      </c>
      <c r="K1180" t="s">
        <v>20</v>
      </c>
      <c r="L1180">
        <v>45</v>
      </c>
      <c r="M1180" t="s">
        <v>21</v>
      </c>
      <c r="N1180">
        <f>COUNTIF(order_data[Order_ID],order_data[[#This Row],[Order_ID]])</f>
        <v>1</v>
      </c>
      <c r="O1180">
        <f>order_data[[#This Row],[Order_Value]]-order_data[[#This Row],[Discount]]</f>
        <v>233</v>
      </c>
      <c r="P1180">
        <f>order_data[[#This Row],[Order_Value]]+order_data[[#This Row],[Delivery_Fee]]-order_data[[#This Row],[Discount]]</f>
        <v>273</v>
      </c>
      <c r="Q1180" t="str">
        <f>TEXT(order_data[[#This Row],[Order_Date]],"mmm")</f>
        <v>Jan</v>
      </c>
      <c r="R1180">
        <f>MONTH(order_data[[#This Row],[Order_Date]])</f>
        <v>1</v>
      </c>
    </row>
    <row r="1181" spans="1:18" x14ac:dyDescent="0.35">
      <c r="A1181" t="s">
        <v>1878</v>
      </c>
      <c r="B1181" t="s">
        <v>393</v>
      </c>
      <c r="C1181" t="s">
        <v>1879</v>
      </c>
      <c r="D1181" t="s">
        <v>46</v>
      </c>
      <c r="E1181" t="s">
        <v>47</v>
      </c>
      <c r="F1181" t="s">
        <v>48</v>
      </c>
      <c r="G1181" t="s">
        <v>49</v>
      </c>
      <c r="H1181">
        <v>766</v>
      </c>
      <c r="I1181">
        <v>40</v>
      </c>
      <c r="J1181">
        <v>0</v>
      </c>
      <c r="K1181" t="s">
        <v>29</v>
      </c>
      <c r="L1181">
        <v>52</v>
      </c>
      <c r="M1181" t="s">
        <v>30</v>
      </c>
      <c r="N1181">
        <f>COUNTIF(order_data[Order_ID],order_data[[#This Row],[Order_ID]])</f>
        <v>1</v>
      </c>
      <c r="O1181">
        <f>order_data[[#This Row],[Order_Value]]-order_data[[#This Row],[Discount]]</f>
        <v>766</v>
      </c>
      <c r="P1181">
        <f>order_data[[#This Row],[Order_Value]]+order_data[[#This Row],[Delivery_Fee]]-order_data[[#This Row],[Discount]]</f>
        <v>806</v>
      </c>
      <c r="Q1181" t="str">
        <f>TEXT(order_data[[#This Row],[Order_Date]],"mmm")</f>
        <v>Feb</v>
      </c>
      <c r="R1181">
        <f>MONTH(order_data[[#This Row],[Order_Date]])</f>
        <v>2</v>
      </c>
    </row>
    <row r="1182" spans="1:18" x14ac:dyDescent="0.35">
      <c r="A1182" t="s">
        <v>1880</v>
      </c>
      <c r="B1182" t="s">
        <v>146</v>
      </c>
      <c r="C1182" t="s">
        <v>759</v>
      </c>
      <c r="D1182" t="s">
        <v>40</v>
      </c>
      <c r="E1182" t="s">
        <v>41</v>
      </c>
      <c r="F1182" t="s">
        <v>27</v>
      </c>
      <c r="G1182" t="s">
        <v>35</v>
      </c>
      <c r="H1182">
        <v>519</v>
      </c>
      <c r="I1182">
        <v>30</v>
      </c>
      <c r="J1182">
        <v>20</v>
      </c>
      <c r="K1182" t="s">
        <v>36</v>
      </c>
      <c r="L1182">
        <v>31</v>
      </c>
      <c r="M1182" t="s">
        <v>21</v>
      </c>
      <c r="N1182">
        <f>COUNTIF(order_data[Order_ID],order_data[[#This Row],[Order_ID]])</f>
        <v>1</v>
      </c>
      <c r="O1182">
        <f>order_data[[#This Row],[Order_Value]]-order_data[[#This Row],[Discount]]</f>
        <v>499</v>
      </c>
      <c r="P1182">
        <f>order_data[[#This Row],[Order_Value]]+order_data[[#This Row],[Delivery_Fee]]-order_data[[#This Row],[Discount]]</f>
        <v>529</v>
      </c>
      <c r="Q1182" t="str">
        <f>TEXT(order_data[[#This Row],[Order_Date]],"mmm")</f>
        <v>Feb</v>
      </c>
      <c r="R1182">
        <f>MONTH(order_data[[#This Row],[Order_Date]])</f>
        <v>2</v>
      </c>
    </row>
    <row r="1183" spans="1:18" x14ac:dyDescent="0.35">
      <c r="A1183" t="s">
        <v>1881</v>
      </c>
      <c r="B1183" t="s">
        <v>154</v>
      </c>
      <c r="C1183" t="s">
        <v>606</v>
      </c>
      <c r="D1183" t="s">
        <v>25</v>
      </c>
      <c r="E1183" t="s">
        <v>78</v>
      </c>
      <c r="F1183" t="s">
        <v>48</v>
      </c>
      <c r="G1183" t="s">
        <v>49</v>
      </c>
      <c r="H1183">
        <v>279</v>
      </c>
      <c r="I1183">
        <v>30</v>
      </c>
      <c r="J1183">
        <v>0</v>
      </c>
      <c r="K1183" t="s">
        <v>20</v>
      </c>
      <c r="L1183">
        <v>41</v>
      </c>
      <c r="M1183" t="s">
        <v>21</v>
      </c>
      <c r="N1183">
        <f>COUNTIF(order_data[Order_ID],order_data[[#This Row],[Order_ID]])</f>
        <v>1</v>
      </c>
      <c r="O1183">
        <f>order_data[[#This Row],[Order_Value]]-order_data[[#This Row],[Discount]]</f>
        <v>279</v>
      </c>
      <c r="P1183">
        <f>order_data[[#This Row],[Order_Value]]+order_data[[#This Row],[Delivery_Fee]]-order_data[[#This Row],[Discount]]</f>
        <v>309</v>
      </c>
      <c r="Q1183" t="str">
        <f>TEXT(order_data[[#This Row],[Order_Date]],"mmm")</f>
        <v>Jan</v>
      </c>
      <c r="R1183">
        <f>MONTH(order_data[[#This Row],[Order_Date]])</f>
        <v>1</v>
      </c>
    </row>
    <row r="1184" spans="1:18" x14ac:dyDescent="0.35">
      <c r="A1184" t="s">
        <v>1882</v>
      </c>
      <c r="B1184" t="s">
        <v>91</v>
      </c>
      <c r="C1184" t="s">
        <v>1141</v>
      </c>
      <c r="D1184" t="s">
        <v>16</v>
      </c>
      <c r="E1184" t="s">
        <v>89</v>
      </c>
      <c r="F1184" t="s">
        <v>18</v>
      </c>
      <c r="G1184" t="s">
        <v>107</v>
      </c>
      <c r="H1184">
        <v>777</v>
      </c>
      <c r="I1184">
        <v>40</v>
      </c>
      <c r="J1184">
        <v>100</v>
      </c>
      <c r="K1184" t="s">
        <v>36</v>
      </c>
      <c r="L1184">
        <v>25</v>
      </c>
      <c r="M1184" t="s">
        <v>21</v>
      </c>
      <c r="N1184">
        <f>COUNTIF(order_data[Order_ID],order_data[[#This Row],[Order_ID]])</f>
        <v>1</v>
      </c>
      <c r="O1184">
        <f>order_data[[#This Row],[Order_Value]]-order_data[[#This Row],[Discount]]</f>
        <v>677</v>
      </c>
      <c r="P1184">
        <f>order_data[[#This Row],[Order_Value]]+order_data[[#This Row],[Delivery_Fee]]-order_data[[#This Row],[Discount]]</f>
        <v>717</v>
      </c>
      <c r="Q1184" t="str">
        <f>TEXT(order_data[[#This Row],[Order_Date]],"mmm")</f>
        <v>Mar</v>
      </c>
      <c r="R1184">
        <f>MONTH(order_data[[#This Row],[Order_Date]])</f>
        <v>3</v>
      </c>
    </row>
    <row r="1185" spans="1:18" x14ac:dyDescent="0.35">
      <c r="A1185" t="s">
        <v>1883</v>
      </c>
      <c r="B1185" t="s">
        <v>339</v>
      </c>
      <c r="C1185" t="s">
        <v>457</v>
      </c>
      <c r="D1185" t="s">
        <v>46</v>
      </c>
      <c r="E1185" t="s">
        <v>148</v>
      </c>
      <c r="F1185" t="s">
        <v>27</v>
      </c>
      <c r="G1185" t="s">
        <v>42</v>
      </c>
      <c r="H1185">
        <v>656</v>
      </c>
      <c r="I1185">
        <v>30</v>
      </c>
      <c r="J1185">
        <v>20</v>
      </c>
      <c r="K1185" t="s">
        <v>36</v>
      </c>
      <c r="L1185">
        <v>24</v>
      </c>
      <c r="M1185" t="s">
        <v>21</v>
      </c>
      <c r="N1185">
        <f>COUNTIF(order_data[Order_ID],order_data[[#This Row],[Order_ID]])</f>
        <v>1</v>
      </c>
      <c r="O1185">
        <f>order_data[[#This Row],[Order_Value]]-order_data[[#This Row],[Discount]]</f>
        <v>636</v>
      </c>
      <c r="P1185">
        <f>order_data[[#This Row],[Order_Value]]+order_data[[#This Row],[Delivery_Fee]]-order_data[[#This Row],[Discount]]</f>
        <v>666</v>
      </c>
      <c r="Q1185" t="str">
        <f>TEXT(order_data[[#This Row],[Order_Date]],"mmm")</f>
        <v>Jan</v>
      </c>
      <c r="R1185">
        <f>MONTH(order_data[[#This Row],[Order_Date]])</f>
        <v>1</v>
      </c>
    </row>
    <row r="1186" spans="1:18" x14ac:dyDescent="0.35">
      <c r="A1186" t="s">
        <v>1884</v>
      </c>
      <c r="B1186" t="s">
        <v>91</v>
      </c>
      <c r="C1186" t="s">
        <v>1760</v>
      </c>
      <c r="D1186" t="s">
        <v>25</v>
      </c>
      <c r="E1186" t="s">
        <v>34</v>
      </c>
      <c r="F1186" t="s">
        <v>27</v>
      </c>
      <c r="G1186" t="s">
        <v>28</v>
      </c>
      <c r="H1186">
        <v>523</v>
      </c>
      <c r="I1186">
        <v>20</v>
      </c>
      <c r="J1186">
        <v>20</v>
      </c>
      <c r="K1186" t="s">
        <v>29</v>
      </c>
      <c r="L1186">
        <v>57</v>
      </c>
      <c r="M1186" t="s">
        <v>21</v>
      </c>
      <c r="N1186">
        <f>COUNTIF(order_data[Order_ID],order_data[[#This Row],[Order_ID]])</f>
        <v>1</v>
      </c>
      <c r="O1186">
        <f>order_data[[#This Row],[Order_Value]]-order_data[[#This Row],[Discount]]</f>
        <v>503</v>
      </c>
      <c r="P1186">
        <f>order_data[[#This Row],[Order_Value]]+order_data[[#This Row],[Delivery_Fee]]-order_data[[#This Row],[Discount]]</f>
        <v>523</v>
      </c>
      <c r="Q1186" t="str">
        <f>TEXT(order_data[[#This Row],[Order_Date]],"mmm")</f>
        <v>Mar</v>
      </c>
      <c r="R1186">
        <f>MONTH(order_data[[#This Row],[Order_Date]])</f>
        <v>3</v>
      </c>
    </row>
    <row r="1187" spans="1:18" x14ac:dyDescent="0.35">
      <c r="A1187" t="s">
        <v>1885</v>
      </c>
      <c r="B1187" t="s">
        <v>473</v>
      </c>
      <c r="C1187" t="s">
        <v>1173</v>
      </c>
      <c r="D1187" t="s">
        <v>40</v>
      </c>
      <c r="E1187" t="s">
        <v>111</v>
      </c>
      <c r="F1187" t="s">
        <v>18</v>
      </c>
      <c r="G1187" t="s">
        <v>107</v>
      </c>
      <c r="H1187">
        <v>519</v>
      </c>
      <c r="I1187">
        <v>20</v>
      </c>
      <c r="J1187">
        <v>0</v>
      </c>
      <c r="K1187" t="s">
        <v>36</v>
      </c>
      <c r="L1187">
        <v>48</v>
      </c>
      <c r="M1187" t="s">
        <v>21</v>
      </c>
      <c r="N1187">
        <f>COUNTIF(order_data[Order_ID],order_data[[#This Row],[Order_ID]])</f>
        <v>1</v>
      </c>
      <c r="O1187">
        <f>order_data[[#This Row],[Order_Value]]-order_data[[#This Row],[Discount]]</f>
        <v>519</v>
      </c>
      <c r="P1187">
        <f>order_data[[#This Row],[Order_Value]]+order_data[[#This Row],[Delivery_Fee]]-order_data[[#This Row],[Discount]]</f>
        <v>539</v>
      </c>
      <c r="Q1187" t="str">
        <f>TEXT(order_data[[#This Row],[Order_Date]],"mmm")</f>
        <v>Mar</v>
      </c>
      <c r="R1187">
        <f>MONTH(order_data[[#This Row],[Order_Date]])</f>
        <v>3</v>
      </c>
    </row>
    <row r="1188" spans="1:18" x14ac:dyDescent="0.35">
      <c r="A1188" t="s">
        <v>1886</v>
      </c>
      <c r="B1188" t="s">
        <v>562</v>
      </c>
      <c r="C1188" t="s">
        <v>789</v>
      </c>
      <c r="D1188" t="s">
        <v>25</v>
      </c>
      <c r="E1188" t="s">
        <v>78</v>
      </c>
      <c r="F1188" t="s">
        <v>48</v>
      </c>
      <c r="G1188" t="s">
        <v>107</v>
      </c>
      <c r="H1188">
        <v>697</v>
      </c>
      <c r="I1188">
        <v>40</v>
      </c>
      <c r="J1188">
        <v>20</v>
      </c>
      <c r="K1188" t="s">
        <v>20</v>
      </c>
      <c r="L1188">
        <v>34</v>
      </c>
      <c r="M1188" t="s">
        <v>21</v>
      </c>
      <c r="N1188">
        <f>COUNTIF(order_data[Order_ID],order_data[[#This Row],[Order_ID]])</f>
        <v>1</v>
      </c>
      <c r="O1188">
        <f>order_data[[#This Row],[Order_Value]]-order_data[[#This Row],[Discount]]</f>
        <v>677</v>
      </c>
      <c r="P1188">
        <f>order_data[[#This Row],[Order_Value]]+order_data[[#This Row],[Delivery_Fee]]-order_data[[#This Row],[Discount]]</f>
        <v>717</v>
      </c>
      <c r="Q1188" t="str">
        <f>TEXT(order_data[[#This Row],[Order_Date]],"mmm")</f>
        <v>Feb</v>
      </c>
      <c r="R1188">
        <f>MONTH(order_data[[#This Row],[Order_Date]])</f>
        <v>2</v>
      </c>
    </row>
    <row r="1189" spans="1:18" x14ac:dyDescent="0.35">
      <c r="A1189" t="s">
        <v>1887</v>
      </c>
      <c r="B1189" t="s">
        <v>150</v>
      </c>
      <c r="C1189" t="s">
        <v>922</v>
      </c>
      <c r="D1189" t="s">
        <v>40</v>
      </c>
      <c r="E1189" t="s">
        <v>111</v>
      </c>
      <c r="F1189" t="s">
        <v>18</v>
      </c>
      <c r="G1189" t="s">
        <v>19</v>
      </c>
      <c r="H1189">
        <v>252</v>
      </c>
      <c r="I1189">
        <v>40</v>
      </c>
      <c r="J1189">
        <v>50</v>
      </c>
      <c r="K1189" t="s">
        <v>36</v>
      </c>
      <c r="L1189">
        <v>41</v>
      </c>
      <c r="M1189" t="s">
        <v>21</v>
      </c>
      <c r="N1189">
        <f>COUNTIF(order_data[Order_ID],order_data[[#This Row],[Order_ID]])</f>
        <v>1</v>
      </c>
      <c r="O1189">
        <f>order_data[[#This Row],[Order_Value]]-order_data[[#This Row],[Discount]]</f>
        <v>202</v>
      </c>
      <c r="P1189">
        <f>order_data[[#This Row],[Order_Value]]+order_data[[#This Row],[Delivery_Fee]]-order_data[[#This Row],[Discount]]</f>
        <v>242</v>
      </c>
      <c r="Q1189" t="str">
        <f>TEXT(order_data[[#This Row],[Order_Date]],"mmm")</f>
        <v>Feb</v>
      </c>
      <c r="R1189">
        <f>MONTH(order_data[[#This Row],[Order_Date]])</f>
        <v>2</v>
      </c>
    </row>
    <row r="1190" spans="1:18" x14ac:dyDescent="0.35">
      <c r="A1190" t="s">
        <v>1888</v>
      </c>
      <c r="B1190" t="s">
        <v>273</v>
      </c>
      <c r="C1190" t="s">
        <v>409</v>
      </c>
      <c r="D1190" t="s">
        <v>25</v>
      </c>
      <c r="E1190" t="s">
        <v>26</v>
      </c>
      <c r="F1190" t="s">
        <v>27</v>
      </c>
      <c r="G1190" t="s">
        <v>74</v>
      </c>
      <c r="H1190">
        <v>498</v>
      </c>
      <c r="I1190">
        <v>50</v>
      </c>
      <c r="J1190">
        <v>100</v>
      </c>
      <c r="K1190" t="s">
        <v>36</v>
      </c>
      <c r="L1190">
        <v>49</v>
      </c>
      <c r="M1190" t="s">
        <v>21</v>
      </c>
      <c r="N1190">
        <f>COUNTIF(order_data[Order_ID],order_data[[#This Row],[Order_ID]])</f>
        <v>1</v>
      </c>
      <c r="O1190">
        <f>order_data[[#This Row],[Order_Value]]-order_data[[#This Row],[Discount]]</f>
        <v>398</v>
      </c>
      <c r="P1190">
        <f>order_data[[#This Row],[Order_Value]]+order_data[[#This Row],[Delivery_Fee]]-order_data[[#This Row],[Discount]]</f>
        <v>448</v>
      </c>
      <c r="Q1190" t="str">
        <f>TEXT(order_data[[#This Row],[Order_Date]],"mmm")</f>
        <v>Mar</v>
      </c>
      <c r="R1190">
        <f>MONTH(order_data[[#This Row],[Order_Date]])</f>
        <v>3</v>
      </c>
    </row>
    <row r="1191" spans="1:18" x14ac:dyDescent="0.35">
      <c r="A1191" t="s">
        <v>1889</v>
      </c>
      <c r="B1191" t="s">
        <v>72</v>
      </c>
      <c r="C1191" t="s">
        <v>359</v>
      </c>
      <c r="D1191" t="s">
        <v>46</v>
      </c>
      <c r="E1191" t="s">
        <v>70</v>
      </c>
      <c r="F1191" t="s">
        <v>18</v>
      </c>
      <c r="G1191" t="s">
        <v>74</v>
      </c>
      <c r="H1191">
        <v>369</v>
      </c>
      <c r="I1191">
        <v>30</v>
      </c>
      <c r="J1191">
        <v>20</v>
      </c>
      <c r="K1191" t="s">
        <v>20</v>
      </c>
      <c r="L1191">
        <v>50</v>
      </c>
      <c r="M1191" t="s">
        <v>21</v>
      </c>
      <c r="N1191">
        <f>COUNTIF(order_data[Order_ID],order_data[[#This Row],[Order_ID]])</f>
        <v>1</v>
      </c>
      <c r="O1191">
        <f>order_data[[#This Row],[Order_Value]]-order_data[[#This Row],[Discount]]</f>
        <v>349</v>
      </c>
      <c r="P1191">
        <f>order_data[[#This Row],[Order_Value]]+order_data[[#This Row],[Delivery_Fee]]-order_data[[#This Row],[Discount]]</f>
        <v>379</v>
      </c>
      <c r="Q1191" t="str">
        <f>TEXT(order_data[[#This Row],[Order_Date]],"mmm")</f>
        <v>Jan</v>
      </c>
      <c r="R1191">
        <f>MONTH(order_data[[#This Row],[Order_Date]])</f>
        <v>1</v>
      </c>
    </row>
    <row r="1192" spans="1:18" x14ac:dyDescent="0.35">
      <c r="A1192" t="s">
        <v>1890</v>
      </c>
      <c r="B1192" t="s">
        <v>72</v>
      </c>
      <c r="C1192" t="s">
        <v>508</v>
      </c>
      <c r="D1192" t="s">
        <v>46</v>
      </c>
      <c r="E1192" t="s">
        <v>148</v>
      </c>
      <c r="F1192" t="s">
        <v>27</v>
      </c>
      <c r="G1192" t="s">
        <v>107</v>
      </c>
      <c r="H1192">
        <v>166</v>
      </c>
      <c r="I1192">
        <v>40</v>
      </c>
      <c r="J1192">
        <v>50</v>
      </c>
      <c r="K1192" t="s">
        <v>29</v>
      </c>
      <c r="L1192">
        <v>20</v>
      </c>
      <c r="M1192" t="s">
        <v>21</v>
      </c>
      <c r="N1192">
        <f>COUNTIF(order_data[Order_ID],order_data[[#This Row],[Order_ID]])</f>
        <v>1</v>
      </c>
      <c r="O1192">
        <f>order_data[[#This Row],[Order_Value]]-order_data[[#This Row],[Discount]]</f>
        <v>116</v>
      </c>
      <c r="P1192">
        <f>order_data[[#This Row],[Order_Value]]+order_data[[#This Row],[Delivery_Fee]]-order_data[[#This Row],[Discount]]</f>
        <v>156</v>
      </c>
      <c r="Q1192" t="str">
        <f>TEXT(order_data[[#This Row],[Order_Date]],"mmm")</f>
        <v>Jan</v>
      </c>
      <c r="R1192">
        <f>MONTH(order_data[[#This Row],[Order_Date]])</f>
        <v>1</v>
      </c>
    </row>
    <row r="1193" spans="1:18" x14ac:dyDescent="0.35">
      <c r="A1193" t="s">
        <v>1891</v>
      </c>
      <c r="B1193" t="s">
        <v>342</v>
      </c>
      <c r="C1193" t="s">
        <v>756</v>
      </c>
      <c r="D1193" t="s">
        <v>16</v>
      </c>
      <c r="E1193" t="s">
        <v>131</v>
      </c>
      <c r="F1193" t="s">
        <v>55</v>
      </c>
      <c r="G1193" t="s">
        <v>28</v>
      </c>
      <c r="H1193">
        <v>784</v>
      </c>
      <c r="I1193">
        <v>40</v>
      </c>
      <c r="J1193">
        <v>20</v>
      </c>
      <c r="K1193" t="s">
        <v>20</v>
      </c>
      <c r="L1193">
        <v>27</v>
      </c>
      <c r="M1193" t="s">
        <v>21</v>
      </c>
      <c r="N1193">
        <f>COUNTIF(order_data[Order_ID],order_data[[#This Row],[Order_ID]])</f>
        <v>1</v>
      </c>
      <c r="O1193">
        <f>order_data[[#This Row],[Order_Value]]-order_data[[#This Row],[Discount]]</f>
        <v>764</v>
      </c>
      <c r="P1193">
        <f>order_data[[#This Row],[Order_Value]]+order_data[[#This Row],[Delivery_Fee]]-order_data[[#This Row],[Discount]]</f>
        <v>804</v>
      </c>
      <c r="Q1193" t="str">
        <f>TEXT(order_data[[#This Row],[Order_Date]],"mmm")</f>
        <v>Jan</v>
      </c>
      <c r="R1193">
        <f>MONTH(order_data[[#This Row],[Order_Date]])</f>
        <v>1</v>
      </c>
    </row>
    <row r="1194" spans="1:18" x14ac:dyDescent="0.35">
      <c r="A1194" t="s">
        <v>1892</v>
      </c>
      <c r="B1194" t="s">
        <v>326</v>
      </c>
      <c r="C1194" t="s">
        <v>1893</v>
      </c>
      <c r="D1194" t="s">
        <v>53</v>
      </c>
      <c r="E1194" t="s">
        <v>84</v>
      </c>
      <c r="F1194" t="s">
        <v>85</v>
      </c>
      <c r="G1194" t="s">
        <v>28</v>
      </c>
      <c r="H1194">
        <v>450</v>
      </c>
      <c r="I1194">
        <v>20</v>
      </c>
      <c r="J1194">
        <v>100</v>
      </c>
      <c r="K1194" t="s">
        <v>29</v>
      </c>
      <c r="L1194">
        <v>31</v>
      </c>
      <c r="M1194" t="s">
        <v>21</v>
      </c>
      <c r="N1194">
        <f>COUNTIF(order_data[Order_ID],order_data[[#This Row],[Order_ID]])</f>
        <v>1</v>
      </c>
      <c r="O1194">
        <f>order_data[[#This Row],[Order_Value]]-order_data[[#This Row],[Discount]]</f>
        <v>350</v>
      </c>
      <c r="P1194">
        <f>order_data[[#This Row],[Order_Value]]+order_data[[#This Row],[Delivery_Fee]]-order_data[[#This Row],[Discount]]</f>
        <v>370</v>
      </c>
      <c r="Q1194" t="str">
        <f>TEXT(order_data[[#This Row],[Order_Date]],"mmm")</f>
        <v>Mar</v>
      </c>
      <c r="R1194">
        <f>MONTH(order_data[[#This Row],[Order_Date]])</f>
        <v>3</v>
      </c>
    </row>
    <row r="1195" spans="1:18" x14ac:dyDescent="0.35">
      <c r="A1195" t="s">
        <v>1894</v>
      </c>
      <c r="B1195" t="s">
        <v>476</v>
      </c>
      <c r="C1195" t="s">
        <v>1450</v>
      </c>
      <c r="D1195" t="s">
        <v>16</v>
      </c>
      <c r="E1195" t="s">
        <v>131</v>
      </c>
      <c r="F1195" t="s">
        <v>55</v>
      </c>
      <c r="G1195" t="s">
        <v>74</v>
      </c>
      <c r="H1195">
        <v>572</v>
      </c>
      <c r="I1195">
        <v>40</v>
      </c>
      <c r="J1195">
        <v>0</v>
      </c>
      <c r="K1195" t="s">
        <v>29</v>
      </c>
      <c r="L1195">
        <v>55</v>
      </c>
      <c r="M1195" t="s">
        <v>21</v>
      </c>
      <c r="N1195">
        <f>COUNTIF(order_data[Order_ID],order_data[[#This Row],[Order_ID]])</f>
        <v>1</v>
      </c>
      <c r="O1195">
        <f>order_data[[#This Row],[Order_Value]]-order_data[[#This Row],[Discount]]</f>
        <v>572</v>
      </c>
      <c r="P1195">
        <f>order_data[[#This Row],[Order_Value]]+order_data[[#This Row],[Delivery_Fee]]-order_data[[#This Row],[Discount]]</f>
        <v>612</v>
      </c>
      <c r="Q1195" t="str">
        <f>TEXT(order_data[[#This Row],[Order_Date]],"mmm")</f>
        <v>Jan</v>
      </c>
      <c r="R1195">
        <f>MONTH(order_data[[#This Row],[Order_Date]])</f>
        <v>1</v>
      </c>
    </row>
    <row r="1196" spans="1:18" x14ac:dyDescent="0.35">
      <c r="A1196" t="s">
        <v>1895</v>
      </c>
      <c r="B1196" t="s">
        <v>580</v>
      </c>
      <c r="C1196" t="s">
        <v>1537</v>
      </c>
      <c r="D1196" t="s">
        <v>40</v>
      </c>
      <c r="E1196" t="s">
        <v>111</v>
      </c>
      <c r="F1196" t="s">
        <v>18</v>
      </c>
      <c r="G1196" t="s">
        <v>19</v>
      </c>
      <c r="H1196">
        <v>368</v>
      </c>
      <c r="I1196">
        <v>50</v>
      </c>
      <c r="J1196">
        <v>30</v>
      </c>
      <c r="K1196" t="s">
        <v>29</v>
      </c>
      <c r="L1196">
        <v>29</v>
      </c>
      <c r="M1196" t="s">
        <v>21</v>
      </c>
      <c r="N1196">
        <f>COUNTIF(order_data[Order_ID],order_data[[#This Row],[Order_ID]])</f>
        <v>1</v>
      </c>
      <c r="O1196">
        <f>order_data[[#This Row],[Order_Value]]-order_data[[#This Row],[Discount]]</f>
        <v>338</v>
      </c>
      <c r="P1196">
        <f>order_data[[#This Row],[Order_Value]]+order_data[[#This Row],[Delivery_Fee]]-order_data[[#This Row],[Discount]]</f>
        <v>388</v>
      </c>
      <c r="Q1196" t="str">
        <f>TEXT(order_data[[#This Row],[Order_Date]],"mmm")</f>
        <v>Mar</v>
      </c>
      <c r="R1196">
        <f>MONTH(order_data[[#This Row],[Order_Date]])</f>
        <v>3</v>
      </c>
    </row>
    <row r="1197" spans="1:18" x14ac:dyDescent="0.35">
      <c r="A1197" t="s">
        <v>1896</v>
      </c>
      <c r="B1197" t="s">
        <v>413</v>
      </c>
      <c r="C1197" t="s">
        <v>227</v>
      </c>
      <c r="D1197" t="s">
        <v>25</v>
      </c>
      <c r="E1197" t="s">
        <v>78</v>
      </c>
      <c r="F1197" t="s">
        <v>48</v>
      </c>
      <c r="G1197" t="s">
        <v>35</v>
      </c>
      <c r="H1197">
        <v>440</v>
      </c>
      <c r="I1197">
        <v>20</v>
      </c>
      <c r="J1197">
        <v>20</v>
      </c>
      <c r="K1197" t="s">
        <v>36</v>
      </c>
      <c r="L1197">
        <v>36</v>
      </c>
      <c r="M1197" t="s">
        <v>21</v>
      </c>
      <c r="N1197">
        <f>COUNTIF(order_data[Order_ID],order_data[[#This Row],[Order_ID]])</f>
        <v>1</v>
      </c>
      <c r="O1197">
        <f>order_data[[#This Row],[Order_Value]]-order_data[[#This Row],[Discount]]</f>
        <v>420</v>
      </c>
      <c r="P1197">
        <f>order_data[[#This Row],[Order_Value]]+order_data[[#This Row],[Delivery_Fee]]-order_data[[#This Row],[Discount]]</f>
        <v>440</v>
      </c>
      <c r="Q1197" t="str">
        <f>TEXT(order_data[[#This Row],[Order_Date]],"mmm")</f>
        <v>Mar</v>
      </c>
      <c r="R1197">
        <f>MONTH(order_data[[#This Row],[Order_Date]])</f>
        <v>3</v>
      </c>
    </row>
    <row r="1198" spans="1:18" x14ac:dyDescent="0.35">
      <c r="A1198" t="s">
        <v>1897</v>
      </c>
      <c r="B1198" t="s">
        <v>336</v>
      </c>
      <c r="C1198" t="s">
        <v>993</v>
      </c>
      <c r="D1198" t="s">
        <v>53</v>
      </c>
      <c r="E1198" t="s">
        <v>84</v>
      </c>
      <c r="F1198" t="s">
        <v>85</v>
      </c>
      <c r="G1198" t="s">
        <v>42</v>
      </c>
      <c r="H1198">
        <v>777</v>
      </c>
      <c r="I1198">
        <v>20</v>
      </c>
      <c r="J1198">
        <v>0</v>
      </c>
      <c r="K1198" t="s">
        <v>36</v>
      </c>
      <c r="L1198">
        <v>30</v>
      </c>
      <c r="M1198" t="s">
        <v>21</v>
      </c>
      <c r="N1198">
        <f>COUNTIF(order_data[Order_ID],order_data[[#This Row],[Order_ID]])</f>
        <v>1</v>
      </c>
      <c r="O1198">
        <f>order_data[[#This Row],[Order_Value]]-order_data[[#This Row],[Discount]]</f>
        <v>777</v>
      </c>
      <c r="P1198">
        <f>order_data[[#This Row],[Order_Value]]+order_data[[#This Row],[Delivery_Fee]]-order_data[[#This Row],[Discount]]</f>
        <v>797</v>
      </c>
      <c r="Q1198" t="str">
        <f>TEXT(order_data[[#This Row],[Order_Date]],"mmm")</f>
        <v>Feb</v>
      </c>
      <c r="R1198">
        <f>MONTH(order_data[[#This Row],[Order_Date]])</f>
        <v>2</v>
      </c>
    </row>
    <row r="1199" spans="1:18" x14ac:dyDescent="0.35">
      <c r="A1199" t="s">
        <v>1898</v>
      </c>
      <c r="B1199" t="s">
        <v>218</v>
      </c>
      <c r="C1199" t="s">
        <v>791</v>
      </c>
      <c r="D1199" t="s">
        <v>53</v>
      </c>
      <c r="E1199" t="s">
        <v>54</v>
      </c>
      <c r="F1199" t="s">
        <v>55</v>
      </c>
      <c r="G1199" t="s">
        <v>176</v>
      </c>
      <c r="H1199">
        <v>477</v>
      </c>
      <c r="I1199">
        <v>40</v>
      </c>
      <c r="J1199">
        <v>20</v>
      </c>
      <c r="K1199" t="s">
        <v>29</v>
      </c>
      <c r="L1199">
        <v>25</v>
      </c>
      <c r="M1199" t="s">
        <v>21</v>
      </c>
      <c r="N1199">
        <f>COUNTIF(order_data[Order_ID],order_data[[#This Row],[Order_ID]])</f>
        <v>1</v>
      </c>
      <c r="O1199">
        <f>order_data[[#This Row],[Order_Value]]-order_data[[#This Row],[Discount]]</f>
        <v>457</v>
      </c>
      <c r="P1199">
        <f>order_data[[#This Row],[Order_Value]]+order_data[[#This Row],[Delivery_Fee]]-order_data[[#This Row],[Discount]]</f>
        <v>497</v>
      </c>
      <c r="Q1199" t="str">
        <f>TEXT(order_data[[#This Row],[Order_Date]],"mmm")</f>
        <v>Feb</v>
      </c>
      <c r="R1199">
        <f>MONTH(order_data[[#This Row],[Order_Date]])</f>
        <v>2</v>
      </c>
    </row>
    <row r="1200" spans="1:18" x14ac:dyDescent="0.35">
      <c r="A1200" t="s">
        <v>1899</v>
      </c>
      <c r="B1200" t="s">
        <v>181</v>
      </c>
      <c r="C1200" t="s">
        <v>1024</v>
      </c>
      <c r="D1200" t="s">
        <v>40</v>
      </c>
      <c r="E1200" t="s">
        <v>41</v>
      </c>
      <c r="F1200" t="s">
        <v>27</v>
      </c>
      <c r="G1200" t="s">
        <v>35</v>
      </c>
      <c r="H1200">
        <v>663</v>
      </c>
      <c r="I1200">
        <v>40</v>
      </c>
      <c r="J1200">
        <v>20</v>
      </c>
      <c r="K1200" t="s">
        <v>20</v>
      </c>
      <c r="L1200">
        <v>38</v>
      </c>
      <c r="M1200" t="s">
        <v>21</v>
      </c>
      <c r="N1200">
        <f>COUNTIF(order_data[Order_ID],order_data[[#This Row],[Order_ID]])</f>
        <v>1</v>
      </c>
      <c r="O1200">
        <f>order_data[[#This Row],[Order_Value]]-order_data[[#This Row],[Discount]]</f>
        <v>643</v>
      </c>
      <c r="P1200">
        <f>order_data[[#This Row],[Order_Value]]+order_data[[#This Row],[Delivery_Fee]]-order_data[[#This Row],[Discount]]</f>
        <v>683</v>
      </c>
      <c r="Q1200" t="str">
        <f>TEXT(order_data[[#This Row],[Order_Date]],"mmm")</f>
        <v>Feb</v>
      </c>
      <c r="R1200">
        <f>MONTH(order_data[[#This Row],[Order_Date]])</f>
        <v>2</v>
      </c>
    </row>
    <row r="1201" spans="1:18" x14ac:dyDescent="0.35">
      <c r="A1201" t="s">
        <v>1900</v>
      </c>
      <c r="B1201" t="s">
        <v>69</v>
      </c>
      <c r="C1201" t="s">
        <v>1828</v>
      </c>
      <c r="D1201" t="s">
        <v>25</v>
      </c>
      <c r="E1201" t="s">
        <v>26</v>
      </c>
      <c r="F1201" t="s">
        <v>27</v>
      </c>
      <c r="G1201" t="s">
        <v>63</v>
      </c>
      <c r="H1201">
        <v>736</v>
      </c>
      <c r="I1201">
        <v>40</v>
      </c>
      <c r="J1201">
        <v>0</v>
      </c>
      <c r="K1201" t="s">
        <v>20</v>
      </c>
      <c r="L1201">
        <v>60</v>
      </c>
      <c r="M1201" t="s">
        <v>21</v>
      </c>
      <c r="N1201">
        <f>COUNTIF(order_data[Order_ID],order_data[[#This Row],[Order_ID]])</f>
        <v>1</v>
      </c>
      <c r="O1201">
        <f>order_data[[#This Row],[Order_Value]]-order_data[[#This Row],[Discount]]</f>
        <v>736</v>
      </c>
      <c r="P1201">
        <f>order_data[[#This Row],[Order_Value]]+order_data[[#This Row],[Delivery_Fee]]-order_data[[#This Row],[Discount]]</f>
        <v>776</v>
      </c>
      <c r="Q1201" t="str">
        <f>TEXT(order_data[[#This Row],[Order_Date]],"mmm")</f>
        <v>Feb</v>
      </c>
      <c r="R1201">
        <f>MONTH(order_data[[#This Row],[Order_Date]])</f>
        <v>2</v>
      </c>
    </row>
    <row r="1202" spans="1:18" x14ac:dyDescent="0.35">
      <c r="A1202" t="s">
        <v>1901</v>
      </c>
      <c r="B1202" t="s">
        <v>205</v>
      </c>
      <c r="C1202" t="s">
        <v>1051</v>
      </c>
      <c r="D1202" t="s">
        <v>46</v>
      </c>
      <c r="E1202" t="s">
        <v>148</v>
      </c>
      <c r="F1202" t="s">
        <v>27</v>
      </c>
      <c r="G1202" t="s">
        <v>74</v>
      </c>
      <c r="H1202">
        <v>744</v>
      </c>
      <c r="I1202">
        <v>40</v>
      </c>
      <c r="J1202">
        <v>50</v>
      </c>
      <c r="K1202" t="s">
        <v>20</v>
      </c>
      <c r="L1202">
        <v>45</v>
      </c>
      <c r="M1202" t="s">
        <v>21</v>
      </c>
      <c r="N1202">
        <f>COUNTIF(order_data[Order_ID],order_data[[#This Row],[Order_ID]])</f>
        <v>1</v>
      </c>
      <c r="O1202">
        <f>order_data[[#This Row],[Order_Value]]-order_data[[#This Row],[Discount]]</f>
        <v>694</v>
      </c>
      <c r="P1202">
        <f>order_data[[#This Row],[Order_Value]]+order_data[[#This Row],[Delivery_Fee]]-order_data[[#This Row],[Discount]]</f>
        <v>734</v>
      </c>
      <c r="Q1202" t="str">
        <f>TEXT(order_data[[#This Row],[Order_Date]],"mmm")</f>
        <v>Jan</v>
      </c>
      <c r="R1202">
        <f>MONTH(order_data[[#This Row],[Order_Date]])</f>
        <v>1</v>
      </c>
    </row>
    <row r="1203" spans="1:18" x14ac:dyDescent="0.35">
      <c r="A1203" t="s">
        <v>1902</v>
      </c>
      <c r="B1203" t="s">
        <v>286</v>
      </c>
      <c r="C1203" t="s">
        <v>144</v>
      </c>
      <c r="D1203" t="s">
        <v>16</v>
      </c>
      <c r="E1203" t="s">
        <v>17</v>
      </c>
      <c r="F1203" t="s">
        <v>18</v>
      </c>
      <c r="G1203" t="s">
        <v>59</v>
      </c>
      <c r="H1203">
        <v>508</v>
      </c>
      <c r="I1203">
        <v>20</v>
      </c>
      <c r="J1203">
        <v>20</v>
      </c>
      <c r="K1203" t="s">
        <v>29</v>
      </c>
      <c r="L1203">
        <v>59</v>
      </c>
      <c r="M1203" t="s">
        <v>21</v>
      </c>
      <c r="N1203">
        <f>COUNTIF(order_data[Order_ID],order_data[[#This Row],[Order_ID]])</f>
        <v>1</v>
      </c>
      <c r="O1203">
        <f>order_data[[#This Row],[Order_Value]]-order_data[[#This Row],[Discount]]</f>
        <v>488</v>
      </c>
      <c r="P1203">
        <f>order_data[[#This Row],[Order_Value]]+order_data[[#This Row],[Delivery_Fee]]-order_data[[#This Row],[Discount]]</f>
        <v>508</v>
      </c>
      <c r="Q1203" t="str">
        <f>TEXT(order_data[[#This Row],[Order_Date]],"mmm")</f>
        <v>Mar</v>
      </c>
      <c r="R1203">
        <f>MONTH(order_data[[#This Row],[Order_Date]])</f>
        <v>3</v>
      </c>
    </row>
    <row r="1204" spans="1:18" x14ac:dyDescent="0.35">
      <c r="A1204" t="s">
        <v>1903</v>
      </c>
      <c r="B1204" t="s">
        <v>398</v>
      </c>
      <c r="C1204" t="s">
        <v>1423</v>
      </c>
      <c r="D1204" t="s">
        <v>16</v>
      </c>
      <c r="E1204" t="s">
        <v>131</v>
      </c>
      <c r="F1204" t="s">
        <v>55</v>
      </c>
      <c r="G1204" t="s">
        <v>19</v>
      </c>
      <c r="H1204">
        <v>188</v>
      </c>
      <c r="I1204">
        <v>20</v>
      </c>
      <c r="J1204">
        <v>50</v>
      </c>
      <c r="K1204" t="s">
        <v>36</v>
      </c>
      <c r="L1204">
        <v>31</v>
      </c>
      <c r="M1204" t="s">
        <v>21</v>
      </c>
      <c r="N1204">
        <f>COUNTIF(order_data[Order_ID],order_data[[#This Row],[Order_ID]])</f>
        <v>1</v>
      </c>
      <c r="O1204">
        <f>order_data[[#This Row],[Order_Value]]-order_data[[#This Row],[Discount]]</f>
        <v>138</v>
      </c>
      <c r="P1204">
        <f>order_data[[#This Row],[Order_Value]]+order_data[[#This Row],[Delivery_Fee]]-order_data[[#This Row],[Discount]]</f>
        <v>158</v>
      </c>
      <c r="Q1204" t="str">
        <f>TEXT(order_data[[#This Row],[Order_Date]],"mmm")</f>
        <v>Feb</v>
      </c>
      <c r="R1204">
        <f>MONTH(order_data[[#This Row],[Order_Date]])</f>
        <v>2</v>
      </c>
    </row>
    <row r="1205" spans="1:18" x14ac:dyDescent="0.35">
      <c r="A1205" t="s">
        <v>1904</v>
      </c>
      <c r="B1205" t="s">
        <v>181</v>
      </c>
      <c r="C1205" t="s">
        <v>952</v>
      </c>
      <c r="D1205" t="s">
        <v>16</v>
      </c>
      <c r="E1205" t="s">
        <v>89</v>
      </c>
      <c r="F1205" t="s">
        <v>18</v>
      </c>
      <c r="G1205" t="s">
        <v>107</v>
      </c>
      <c r="H1205">
        <v>314</v>
      </c>
      <c r="I1205">
        <v>40</v>
      </c>
      <c r="J1205">
        <v>20</v>
      </c>
      <c r="K1205" t="s">
        <v>20</v>
      </c>
      <c r="L1205">
        <v>46</v>
      </c>
      <c r="M1205" t="s">
        <v>21</v>
      </c>
      <c r="N1205">
        <f>COUNTIF(order_data[Order_ID],order_data[[#This Row],[Order_ID]])</f>
        <v>1</v>
      </c>
      <c r="O1205">
        <f>order_data[[#This Row],[Order_Value]]-order_data[[#This Row],[Discount]]</f>
        <v>294</v>
      </c>
      <c r="P1205">
        <f>order_data[[#This Row],[Order_Value]]+order_data[[#This Row],[Delivery_Fee]]-order_data[[#This Row],[Discount]]</f>
        <v>334</v>
      </c>
      <c r="Q1205" t="str">
        <f>TEXT(order_data[[#This Row],[Order_Date]],"mmm")</f>
        <v>Feb</v>
      </c>
      <c r="R1205">
        <f>MONTH(order_data[[#This Row],[Order_Date]])</f>
        <v>2</v>
      </c>
    </row>
    <row r="1206" spans="1:18" x14ac:dyDescent="0.35">
      <c r="A1206" t="s">
        <v>1905</v>
      </c>
      <c r="B1206" t="s">
        <v>181</v>
      </c>
      <c r="C1206" t="s">
        <v>1144</v>
      </c>
      <c r="D1206" t="s">
        <v>40</v>
      </c>
      <c r="E1206" t="s">
        <v>67</v>
      </c>
      <c r="F1206" t="s">
        <v>48</v>
      </c>
      <c r="G1206" t="s">
        <v>19</v>
      </c>
      <c r="H1206">
        <v>388</v>
      </c>
      <c r="I1206">
        <v>30</v>
      </c>
      <c r="J1206">
        <v>100</v>
      </c>
      <c r="K1206" t="s">
        <v>36</v>
      </c>
      <c r="L1206">
        <v>23</v>
      </c>
      <c r="M1206" t="s">
        <v>21</v>
      </c>
      <c r="N1206">
        <f>COUNTIF(order_data[Order_ID],order_data[[#This Row],[Order_ID]])</f>
        <v>1</v>
      </c>
      <c r="O1206">
        <f>order_data[[#This Row],[Order_Value]]-order_data[[#This Row],[Discount]]</f>
        <v>288</v>
      </c>
      <c r="P1206">
        <f>order_data[[#This Row],[Order_Value]]+order_data[[#This Row],[Delivery_Fee]]-order_data[[#This Row],[Discount]]</f>
        <v>318</v>
      </c>
      <c r="Q1206" t="str">
        <f>TEXT(order_data[[#This Row],[Order_Date]],"mmm")</f>
        <v>Feb</v>
      </c>
      <c r="R1206">
        <f>MONTH(order_data[[#This Row],[Order_Date]])</f>
        <v>2</v>
      </c>
    </row>
    <row r="1207" spans="1:18" x14ac:dyDescent="0.35">
      <c r="A1207" t="s">
        <v>1906</v>
      </c>
      <c r="B1207" t="s">
        <v>583</v>
      </c>
      <c r="C1207" t="s">
        <v>1907</v>
      </c>
      <c r="D1207" t="s">
        <v>53</v>
      </c>
      <c r="E1207" t="s">
        <v>84</v>
      </c>
      <c r="F1207" t="s">
        <v>85</v>
      </c>
      <c r="G1207" t="s">
        <v>28</v>
      </c>
      <c r="H1207">
        <v>281</v>
      </c>
      <c r="I1207">
        <v>20</v>
      </c>
      <c r="J1207">
        <v>20</v>
      </c>
      <c r="K1207" t="s">
        <v>29</v>
      </c>
      <c r="L1207">
        <v>44</v>
      </c>
      <c r="M1207" t="s">
        <v>21</v>
      </c>
      <c r="N1207">
        <f>COUNTIF(order_data[Order_ID],order_data[[#This Row],[Order_ID]])</f>
        <v>1</v>
      </c>
      <c r="O1207">
        <f>order_data[[#This Row],[Order_Value]]-order_data[[#This Row],[Discount]]</f>
        <v>261</v>
      </c>
      <c r="P1207">
        <f>order_data[[#This Row],[Order_Value]]+order_data[[#This Row],[Delivery_Fee]]-order_data[[#This Row],[Discount]]</f>
        <v>281</v>
      </c>
      <c r="Q1207" t="str">
        <f>TEXT(order_data[[#This Row],[Order_Date]],"mmm")</f>
        <v>Jan</v>
      </c>
      <c r="R1207">
        <f>MONTH(order_data[[#This Row],[Order_Date]])</f>
        <v>1</v>
      </c>
    </row>
    <row r="1208" spans="1:18" x14ac:dyDescent="0.35">
      <c r="A1208" t="s">
        <v>1908</v>
      </c>
      <c r="B1208" t="s">
        <v>174</v>
      </c>
      <c r="C1208" t="s">
        <v>1909</v>
      </c>
      <c r="D1208" t="s">
        <v>16</v>
      </c>
      <c r="E1208" t="s">
        <v>17</v>
      </c>
      <c r="F1208" t="s">
        <v>18</v>
      </c>
      <c r="G1208" t="s">
        <v>59</v>
      </c>
      <c r="H1208">
        <v>482</v>
      </c>
      <c r="I1208">
        <v>40</v>
      </c>
      <c r="J1208">
        <v>20</v>
      </c>
      <c r="K1208" t="s">
        <v>36</v>
      </c>
      <c r="L1208">
        <v>23</v>
      </c>
      <c r="M1208" t="s">
        <v>21</v>
      </c>
      <c r="N1208">
        <f>COUNTIF(order_data[Order_ID],order_data[[#This Row],[Order_ID]])</f>
        <v>1</v>
      </c>
      <c r="O1208">
        <f>order_data[[#This Row],[Order_Value]]-order_data[[#This Row],[Discount]]</f>
        <v>462</v>
      </c>
      <c r="P1208">
        <f>order_data[[#This Row],[Order_Value]]+order_data[[#This Row],[Delivery_Fee]]-order_data[[#This Row],[Discount]]</f>
        <v>502</v>
      </c>
      <c r="Q1208" t="str">
        <f>TEXT(order_data[[#This Row],[Order_Date]],"mmm")</f>
        <v>Feb</v>
      </c>
      <c r="R1208">
        <f>MONTH(order_data[[#This Row],[Order_Date]])</f>
        <v>2</v>
      </c>
    </row>
    <row r="1209" spans="1:18" x14ac:dyDescent="0.35">
      <c r="A1209" t="s">
        <v>1910</v>
      </c>
      <c r="B1209" t="s">
        <v>273</v>
      </c>
      <c r="C1209" t="s">
        <v>1774</v>
      </c>
      <c r="D1209" t="s">
        <v>53</v>
      </c>
      <c r="E1209" t="s">
        <v>84</v>
      </c>
      <c r="F1209" t="s">
        <v>85</v>
      </c>
      <c r="G1209" t="s">
        <v>176</v>
      </c>
      <c r="H1209">
        <v>629</v>
      </c>
      <c r="I1209">
        <v>30</v>
      </c>
      <c r="J1209">
        <v>20</v>
      </c>
      <c r="K1209" t="s">
        <v>36</v>
      </c>
      <c r="L1209">
        <v>56</v>
      </c>
      <c r="M1209" t="s">
        <v>21</v>
      </c>
      <c r="N1209">
        <f>COUNTIF(order_data[Order_ID],order_data[[#This Row],[Order_ID]])</f>
        <v>1</v>
      </c>
      <c r="O1209">
        <f>order_data[[#This Row],[Order_Value]]-order_data[[#This Row],[Discount]]</f>
        <v>609</v>
      </c>
      <c r="P1209">
        <f>order_data[[#This Row],[Order_Value]]+order_data[[#This Row],[Delivery_Fee]]-order_data[[#This Row],[Discount]]</f>
        <v>639</v>
      </c>
      <c r="Q1209" t="str">
        <f>TEXT(order_data[[#This Row],[Order_Date]],"mmm")</f>
        <v>Mar</v>
      </c>
      <c r="R1209">
        <f>MONTH(order_data[[#This Row],[Order_Date]])</f>
        <v>3</v>
      </c>
    </row>
    <row r="1210" spans="1:18" x14ac:dyDescent="0.35">
      <c r="A1210" t="s">
        <v>1911</v>
      </c>
      <c r="B1210" t="s">
        <v>14</v>
      </c>
      <c r="C1210" t="s">
        <v>1012</v>
      </c>
      <c r="D1210" t="s">
        <v>40</v>
      </c>
      <c r="E1210" t="s">
        <v>111</v>
      </c>
      <c r="F1210" t="s">
        <v>18</v>
      </c>
      <c r="G1210" t="s">
        <v>42</v>
      </c>
      <c r="H1210">
        <v>197</v>
      </c>
      <c r="I1210">
        <v>30</v>
      </c>
      <c r="J1210">
        <v>20</v>
      </c>
      <c r="K1210" t="s">
        <v>29</v>
      </c>
      <c r="L1210">
        <v>48</v>
      </c>
      <c r="M1210" t="s">
        <v>21</v>
      </c>
      <c r="N1210">
        <f>COUNTIF(order_data[Order_ID],order_data[[#This Row],[Order_ID]])</f>
        <v>1</v>
      </c>
      <c r="O1210">
        <f>order_data[[#This Row],[Order_Value]]-order_data[[#This Row],[Discount]]</f>
        <v>177</v>
      </c>
      <c r="P1210">
        <f>order_data[[#This Row],[Order_Value]]+order_data[[#This Row],[Delivery_Fee]]-order_data[[#This Row],[Discount]]</f>
        <v>207</v>
      </c>
      <c r="Q1210" t="str">
        <f>TEXT(order_data[[#This Row],[Order_Date]],"mmm")</f>
        <v>Mar</v>
      </c>
      <c r="R1210">
        <f>MONTH(order_data[[#This Row],[Order_Date]])</f>
        <v>3</v>
      </c>
    </row>
    <row r="1211" spans="1:18" x14ac:dyDescent="0.35">
      <c r="A1211" t="s">
        <v>1912</v>
      </c>
      <c r="B1211" t="s">
        <v>102</v>
      </c>
      <c r="C1211" t="s">
        <v>1913</v>
      </c>
      <c r="D1211" t="s">
        <v>40</v>
      </c>
      <c r="E1211" t="s">
        <v>67</v>
      </c>
      <c r="F1211" t="s">
        <v>48</v>
      </c>
      <c r="G1211" t="s">
        <v>19</v>
      </c>
      <c r="H1211">
        <v>591</v>
      </c>
      <c r="I1211">
        <v>20</v>
      </c>
      <c r="J1211">
        <v>50</v>
      </c>
      <c r="K1211" t="s">
        <v>36</v>
      </c>
      <c r="L1211">
        <v>57</v>
      </c>
      <c r="M1211" t="s">
        <v>21</v>
      </c>
      <c r="N1211">
        <f>COUNTIF(order_data[Order_ID],order_data[[#This Row],[Order_ID]])</f>
        <v>1</v>
      </c>
      <c r="O1211">
        <f>order_data[[#This Row],[Order_Value]]-order_data[[#This Row],[Discount]]</f>
        <v>541</v>
      </c>
      <c r="P1211">
        <f>order_data[[#This Row],[Order_Value]]+order_data[[#This Row],[Delivery_Fee]]-order_data[[#This Row],[Discount]]</f>
        <v>561</v>
      </c>
      <c r="Q1211" t="str">
        <f>TEXT(order_data[[#This Row],[Order_Date]],"mmm")</f>
        <v>Mar</v>
      </c>
      <c r="R1211">
        <f>MONTH(order_data[[#This Row],[Order_Date]])</f>
        <v>3</v>
      </c>
    </row>
    <row r="1212" spans="1:18" x14ac:dyDescent="0.35">
      <c r="A1212" t="s">
        <v>1914</v>
      </c>
      <c r="B1212" t="s">
        <v>416</v>
      </c>
      <c r="C1212" t="s">
        <v>944</v>
      </c>
      <c r="D1212" t="s">
        <v>53</v>
      </c>
      <c r="E1212" t="s">
        <v>152</v>
      </c>
      <c r="F1212" t="s">
        <v>18</v>
      </c>
      <c r="G1212" t="s">
        <v>63</v>
      </c>
      <c r="H1212">
        <v>426</v>
      </c>
      <c r="I1212">
        <v>50</v>
      </c>
      <c r="J1212">
        <v>0</v>
      </c>
      <c r="K1212" t="s">
        <v>29</v>
      </c>
      <c r="L1212">
        <v>43</v>
      </c>
      <c r="M1212" t="s">
        <v>21</v>
      </c>
      <c r="N1212">
        <f>COUNTIF(order_data[Order_ID],order_data[[#This Row],[Order_ID]])</f>
        <v>1</v>
      </c>
      <c r="O1212">
        <f>order_data[[#This Row],[Order_Value]]-order_data[[#This Row],[Discount]]</f>
        <v>426</v>
      </c>
      <c r="P1212">
        <f>order_data[[#This Row],[Order_Value]]+order_data[[#This Row],[Delivery_Fee]]-order_data[[#This Row],[Discount]]</f>
        <v>476</v>
      </c>
      <c r="Q1212" t="str">
        <f>TEXT(order_data[[#This Row],[Order_Date]],"mmm")</f>
        <v>Mar</v>
      </c>
      <c r="R1212">
        <f>MONTH(order_data[[#This Row],[Order_Date]])</f>
        <v>3</v>
      </c>
    </row>
    <row r="1213" spans="1:18" x14ac:dyDescent="0.35">
      <c r="A1213" t="s">
        <v>1915</v>
      </c>
      <c r="B1213" t="s">
        <v>526</v>
      </c>
      <c r="C1213" t="s">
        <v>482</v>
      </c>
      <c r="D1213" t="s">
        <v>46</v>
      </c>
      <c r="E1213" t="s">
        <v>148</v>
      </c>
      <c r="F1213" t="s">
        <v>27</v>
      </c>
      <c r="G1213" t="s">
        <v>42</v>
      </c>
      <c r="H1213">
        <v>522</v>
      </c>
      <c r="I1213">
        <v>20</v>
      </c>
      <c r="J1213">
        <v>0</v>
      </c>
      <c r="K1213" t="s">
        <v>36</v>
      </c>
      <c r="L1213">
        <v>53</v>
      </c>
      <c r="M1213" t="s">
        <v>21</v>
      </c>
      <c r="N1213">
        <f>COUNTIF(order_data[Order_ID],order_data[[#This Row],[Order_ID]])</f>
        <v>1</v>
      </c>
      <c r="O1213">
        <f>order_data[[#This Row],[Order_Value]]-order_data[[#This Row],[Discount]]</f>
        <v>522</v>
      </c>
      <c r="P1213">
        <f>order_data[[#This Row],[Order_Value]]+order_data[[#This Row],[Delivery_Fee]]-order_data[[#This Row],[Discount]]</f>
        <v>542</v>
      </c>
      <c r="Q1213" t="str">
        <f>TEXT(order_data[[#This Row],[Order_Date]],"mmm")</f>
        <v>Jan</v>
      </c>
      <c r="R1213">
        <f>MONTH(order_data[[#This Row],[Order_Date]])</f>
        <v>1</v>
      </c>
    </row>
    <row r="1214" spans="1:18" x14ac:dyDescent="0.35">
      <c r="A1214" t="s">
        <v>1916</v>
      </c>
      <c r="B1214" t="s">
        <v>583</v>
      </c>
      <c r="C1214" t="s">
        <v>182</v>
      </c>
      <c r="D1214" t="s">
        <v>25</v>
      </c>
      <c r="E1214" t="s">
        <v>34</v>
      </c>
      <c r="F1214" t="s">
        <v>27</v>
      </c>
      <c r="G1214" t="s">
        <v>176</v>
      </c>
      <c r="H1214">
        <v>732</v>
      </c>
      <c r="I1214">
        <v>50</v>
      </c>
      <c r="J1214">
        <v>100</v>
      </c>
      <c r="K1214" t="s">
        <v>20</v>
      </c>
      <c r="L1214">
        <v>47</v>
      </c>
      <c r="M1214" t="s">
        <v>21</v>
      </c>
      <c r="N1214">
        <f>COUNTIF(order_data[Order_ID],order_data[[#This Row],[Order_ID]])</f>
        <v>1</v>
      </c>
      <c r="O1214">
        <f>order_data[[#This Row],[Order_Value]]-order_data[[#This Row],[Discount]]</f>
        <v>632</v>
      </c>
      <c r="P1214">
        <f>order_data[[#This Row],[Order_Value]]+order_data[[#This Row],[Delivery_Fee]]-order_data[[#This Row],[Discount]]</f>
        <v>682</v>
      </c>
      <c r="Q1214" t="str">
        <f>TEXT(order_data[[#This Row],[Order_Date]],"mmm")</f>
        <v>Jan</v>
      </c>
      <c r="R1214">
        <f>MONTH(order_data[[#This Row],[Order_Date]])</f>
        <v>1</v>
      </c>
    </row>
    <row r="1215" spans="1:18" x14ac:dyDescent="0.35">
      <c r="A1215" t="s">
        <v>1917</v>
      </c>
      <c r="B1215" t="s">
        <v>449</v>
      </c>
      <c r="C1215" t="s">
        <v>361</v>
      </c>
      <c r="D1215" t="s">
        <v>40</v>
      </c>
      <c r="E1215" t="s">
        <v>41</v>
      </c>
      <c r="F1215" t="s">
        <v>27</v>
      </c>
      <c r="G1215" t="s">
        <v>49</v>
      </c>
      <c r="H1215">
        <v>290</v>
      </c>
      <c r="I1215">
        <v>50</v>
      </c>
      <c r="J1215">
        <v>0</v>
      </c>
      <c r="K1215" t="s">
        <v>29</v>
      </c>
      <c r="L1215">
        <v>58</v>
      </c>
      <c r="M1215" t="s">
        <v>21</v>
      </c>
      <c r="N1215">
        <f>COUNTIF(order_data[Order_ID],order_data[[#This Row],[Order_ID]])</f>
        <v>1</v>
      </c>
      <c r="O1215">
        <f>order_data[[#This Row],[Order_Value]]-order_data[[#This Row],[Discount]]</f>
        <v>290</v>
      </c>
      <c r="P1215">
        <f>order_data[[#This Row],[Order_Value]]+order_data[[#This Row],[Delivery_Fee]]-order_data[[#This Row],[Discount]]</f>
        <v>340</v>
      </c>
      <c r="Q1215" t="str">
        <f>TEXT(order_data[[#This Row],[Order_Date]],"mmm")</f>
        <v>Mar</v>
      </c>
      <c r="R1215">
        <f>MONTH(order_data[[#This Row],[Order_Date]])</f>
        <v>3</v>
      </c>
    </row>
    <row r="1216" spans="1:18" x14ac:dyDescent="0.35">
      <c r="A1216" t="s">
        <v>1918</v>
      </c>
      <c r="B1216" t="s">
        <v>154</v>
      </c>
      <c r="C1216" t="s">
        <v>1919</v>
      </c>
      <c r="D1216" t="s">
        <v>16</v>
      </c>
      <c r="E1216" t="s">
        <v>17</v>
      </c>
      <c r="F1216" t="s">
        <v>18</v>
      </c>
      <c r="G1216" t="s">
        <v>59</v>
      </c>
      <c r="H1216">
        <v>570</v>
      </c>
      <c r="I1216">
        <v>50</v>
      </c>
      <c r="J1216">
        <v>100</v>
      </c>
      <c r="K1216" t="s">
        <v>20</v>
      </c>
      <c r="L1216">
        <v>21</v>
      </c>
      <c r="M1216" t="s">
        <v>21</v>
      </c>
      <c r="N1216">
        <f>COUNTIF(order_data[Order_ID],order_data[[#This Row],[Order_ID]])</f>
        <v>1</v>
      </c>
      <c r="O1216">
        <f>order_data[[#This Row],[Order_Value]]-order_data[[#This Row],[Discount]]</f>
        <v>470</v>
      </c>
      <c r="P1216">
        <f>order_data[[#This Row],[Order_Value]]+order_data[[#This Row],[Delivery_Fee]]-order_data[[#This Row],[Discount]]</f>
        <v>520</v>
      </c>
      <c r="Q1216" t="str">
        <f>TEXT(order_data[[#This Row],[Order_Date]],"mmm")</f>
        <v>Jan</v>
      </c>
      <c r="R1216">
        <f>MONTH(order_data[[#This Row],[Order_Date]])</f>
        <v>1</v>
      </c>
    </row>
    <row r="1217" spans="1:18" x14ac:dyDescent="0.35">
      <c r="A1217" t="s">
        <v>1920</v>
      </c>
      <c r="B1217" t="s">
        <v>192</v>
      </c>
      <c r="C1217" t="s">
        <v>1275</v>
      </c>
      <c r="D1217" t="s">
        <v>53</v>
      </c>
      <c r="E1217" t="s">
        <v>152</v>
      </c>
      <c r="F1217" t="s">
        <v>18</v>
      </c>
      <c r="G1217" t="s">
        <v>63</v>
      </c>
      <c r="H1217">
        <v>200</v>
      </c>
      <c r="I1217">
        <v>40</v>
      </c>
      <c r="J1217">
        <v>30</v>
      </c>
      <c r="K1217" t="s">
        <v>36</v>
      </c>
      <c r="L1217">
        <v>32</v>
      </c>
      <c r="M1217" t="s">
        <v>21</v>
      </c>
      <c r="N1217">
        <f>COUNTIF(order_data[Order_ID],order_data[[#This Row],[Order_ID]])</f>
        <v>1</v>
      </c>
      <c r="O1217">
        <f>order_data[[#This Row],[Order_Value]]-order_data[[#This Row],[Discount]]</f>
        <v>170</v>
      </c>
      <c r="P1217">
        <f>order_data[[#This Row],[Order_Value]]+order_data[[#This Row],[Delivery_Fee]]-order_data[[#This Row],[Discount]]</f>
        <v>210</v>
      </c>
      <c r="Q1217" t="str">
        <f>TEXT(order_data[[#This Row],[Order_Date]],"mmm")</f>
        <v>Mar</v>
      </c>
      <c r="R1217">
        <f>MONTH(order_data[[#This Row],[Order_Date]])</f>
        <v>3</v>
      </c>
    </row>
    <row r="1218" spans="1:18" x14ac:dyDescent="0.35">
      <c r="A1218" t="s">
        <v>1921</v>
      </c>
      <c r="B1218" t="s">
        <v>291</v>
      </c>
      <c r="C1218" t="s">
        <v>1850</v>
      </c>
      <c r="D1218" t="s">
        <v>53</v>
      </c>
      <c r="E1218" t="s">
        <v>152</v>
      </c>
      <c r="F1218" t="s">
        <v>18</v>
      </c>
      <c r="G1218" t="s">
        <v>176</v>
      </c>
      <c r="H1218">
        <v>437</v>
      </c>
      <c r="I1218">
        <v>30</v>
      </c>
      <c r="J1218">
        <v>30</v>
      </c>
      <c r="K1218" t="s">
        <v>36</v>
      </c>
      <c r="L1218">
        <v>42</v>
      </c>
      <c r="M1218" t="s">
        <v>21</v>
      </c>
      <c r="N1218">
        <f>COUNTIF(order_data[Order_ID],order_data[[#This Row],[Order_ID]])</f>
        <v>1</v>
      </c>
      <c r="O1218">
        <f>order_data[[#This Row],[Order_Value]]-order_data[[#This Row],[Discount]]</f>
        <v>407</v>
      </c>
      <c r="P1218">
        <f>order_data[[#This Row],[Order_Value]]+order_data[[#This Row],[Delivery_Fee]]-order_data[[#This Row],[Discount]]</f>
        <v>437</v>
      </c>
      <c r="Q1218" t="str">
        <f>TEXT(order_data[[#This Row],[Order_Date]],"mmm")</f>
        <v>Feb</v>
      </c>
      <c r="R1218">
        <f>MONTH(order_data[[#This Row],[Order_Date]])</f>
        <v>2</v>
      </c>
    </row>
    <row r="1219" spans="1:18" x14ac:dyDescent="0.35">
      <c r="A1219" t="s">
        <v>1922</v>
      </c>
      <c r="B1219" t="s">
        <v>413</v>
      </c>
      <c r="C1219" t="s">
        <v>471</v>
      </c>
      <c r="D1219" t="s">
        <v>40</v>
      </c>
      <c r="E1219" t="s">
        <v>111</v>
      </c>
      <c r="F1219" t="s">
        <v>18</v>
      </c>
      <c r="G1219" t="s">
        <v>42</v>
      </c>
      <c r="H1219">
        <v>174</v>
      </c>
      <c r="I1219">
        <v>30</v>
      </c>
      <c r="J1219">
        <v>100</v>
      </c>
      <c r="K1219" t="s">
        <v>29</v>
      </c>
      <c r="L1219">
        <v>24</v>
      </c>
      <c r="M1219" t="s">
        <v>21</v>
      </c>
      <c r="N1219">
        <f>COUNTIF(order_data[Order_ID],order_data[[#This Row],[Order_ID]])</f>
        <v>1</v>
      </c>
      <c r="O1219">
        <f>order_data[[#This Row],[Order_Value]]-order_data[[#This Row],[Discount]]</f>
        <v>74</v>
      </c>
      <c r="P1219">
        <f>order_data[[#This Row],[Order_Value]]+order_data[[#This Row],[Delivery_Fee]]-order_data[[#This Row],[Discount]]</f>
        <v>104</v>
      </c>
      <c r="Q1219" t="str">
        <f>TEXT(order_data[[#This Row],[Order_Date]],"mmm")</f>
        <v>Mar</v>
      </c>
      <c r="R1219">
        <f>MONTH(order_data[[#This Row],[Order_Date]])</f>
        <v>3</v>
      </c>
    </row>
    <row r="1220" spans="1:18" x14ac:dyDescent="0.35">
      <c r="A1220" t="s">
        <v>1923</v>
      </c>
      <c r="B1220" t="s">
        <v>657</v>
      </c>
      <c r="C1220" t="s">
        <v>66</v>
      </c>
      <c r="D1220" t="s">
        <v>16</v>
      </c>
      <c r="E1220" t="s">
        <v>131</v>
      </c>
      <c r="F1220" t="s">
        <v>55</v>
      </c>
      <c r="G1220" t="s">
        <v>35</v>
      </c>
      <c r="H1220">
        <v>472</v>
      </c>
      <c r="I1220">
        <v>40</v>
      </c>
      <c r="J1220">
        <v>0</v>
      </c>
      <c r="K1220" t="s">
        <v>29</v>
      </c>
      <c r="L1220">
        <v>34</v>
      </c>
      <c r="M1220" t="s">
        <v>21</v>
      </c>
      <c r="N1220">
        <f>COUNTIF(order_data[Order_ID],order_data[[#This Row],[Order_ID]])</f>
        <v>1</v>
      </c>
      <c r="O1220">
        <f>order_data[[#This Row],[Order_Value]]-order_data[[#This Row],[Discount]]</f>
        <v>472</v>
      </c>
      <c r="P1220">
        <f>order_data[[#This Row],[Order_Value]]+order_data[[#This Row],[Delivery_Fee]]-order_data[[#This Row],[Discount]]</f>
        <v>512</v>
      </c>
      <c r="Q1220" t="str">
        <f>TEXT(order_data[[#This Row],[Order_Date]],"mmm")</f>
        <v>Jan</v>
      </c>
      <c r="R1220">
        <f>MONTH(order_data[[#This Row],[Order_Date]])</f>
        <v>1</v>
      </c>
    </row>
    <row r="1221" spans="1:18" x14ac:dyDescent="0.35">
      <c r="A1221" t="s">
        <v>1924</v>
      </c>
      <c r="B1221" t="s">
        <v>368</v>
      </c>
      <c r="C1221" t="s">
        <v>924</v>
      </c>
      <c r="D1221" t="s">
        <v>46</v>
      </c>
      <c r="E1221" t="s">
        <v>47</v>
      </c>
      <c r="F1221" t="s">
        <v>48</v>
      </c>
      <c r="G1221" t="s">
        <v>176</v>
      </c>
      <c r="H1221">
        <v>340</v>
      </c>
      <c r="I1221">
        <v>40</v>
      </c>
      <c r="J1221">
        <v>30</v>
      </c>
      <c r="K1221" t="s">
        <v>36</v>
      </c>
      <c r="L1221">
        <v>31</v>
      </c>
      <c r="M1221" t="s">
        <v>21</v>
      </c>
      <c r="N1221">
        <f>COUNTIF(order_data[Order_ID],order_data[[#This Row],[Order_ID]])</f>
        <v>1</v>
      </c>
      <c r="O1221">
        <f>order_data[[#This Row],[Order_Value]]-order_data[[#This Row],[Discount]]</f>
        <v>310</v>
      </c>
      <c r="P1221">
        <f>order_data[[#This Row],[Order_Value]]+order_data[[#This Row],[Delivery_Fee]]-order_data[[#This Row],[Discount]]</f>
        <v>350</v>
      </c>
      <c r="Q1221" t="str">
        <f>TEXT(order_data[[#This Row],[Order_Date]],"mmm")</f>
        <v>Feb</v>
      </c>
      <c r="R1221">
        <f>MONTH(order_data[[#This Row],[Order_Date]])</f>
        <v>2</v>
      </c>
    </row>
    <row r="1222" spans="1:18" x14ac:dyDescent="0.35">
      <c r="A1222" t="s">
        <v>1925</v>
      </c>
      <c r="B1222" t="s">
        <v>365</v>
      </c>
      <c r="C1222" t="s">
        <v>982</v>
      </c>
      <c r="D1222" t="s">
        <v>16</v>
      </c>
      <c r="E1222" t="s">
        <v>131</v>
      </c>
      <c r="F1222" t="s">
        <v>55</v>
      </c>
      <c r="G1222" t="s">
        <v>63</v>
      </c>
      <c r="H1222">
        <v>205</v>
      </c>
      <c r="I1222">
        <v>40</v>
      </c>
      <c r="J1222">
        <v>0</v>
      </c>
      <c r="K1222" t="s">
        <v>20</v>
      </c>
      <c r="L1222">
        <v>51</v>
      </c>
      <c r="M1222" t="s">
        <v>21</v>
      </c>
      <c r="N1222">
        <f>COUNTIF(order_data[Order_ID],order_data[[#This Row],[Order_ID]])</f>
        <v>1</v>
      </c>
      <c r="O1222">
        <f>order_data[[#This Row],[Order_Value]]-order_data[[#This Row],[Discount]]</f>
        <v>205</v>
      </c>
      <c r="P1222">
        <f>order_data[[#This Row],[Order_Value]]+order_data[[#This Row],[Delivery_Fee]]-order_data[[#This Row],[Discount]]</f>
        <v>245</v>
      </c>
      <c r="Q1222" t="str">
        <f>TEXT(order_data[[#This Row],[Order_Date]],"mmm")</f>
        <v>Jan</v>
      </c>
      <c r="R1222">
        <f>MONTH(order_data[[#This Row],[Order_Date]])</f>
        <v>1</v>
      </c>
    </row>
    <row r="1223" spans="1:18" x14ac:dyDescent="0.35">
      <c r="A1223" t="s">
        <v>1926</v>
      </c>
      <c r="B1223" t="s">
        <v>69</v>
      </c>
      <c r="C1223" t="s">
        <v>1507</v>
      </c>
      <c r="D1223" t="s">
        <v>40</v>
      </c>
      <c r="E1223" t="s">
        <v>111</v>
      </c>
      <c r="F1223" t="s">
        <v>18</v>
      </c>
      <c r="G1223" t="s">
        <v>107</v>
      </c>
      <c r="H1223">
        <v>394</v>
      </c>
      <c r="I1223">
        <v>30</v>
      </c>
      <c r="J1223">
        <v>0</v>
      </c>
      <c r="K1223" t="s">
        <v>29</v>
      </c>
      <c r="L1223">
        <v>45</v>
      </c>
      <c r="M1223" t="s">
        <v>21</v>
      </c>
      <c r="N1223">
        <f>COUNTIF(order_data[Order_ID],order_data[[#This Row],[Order_ID]])</f>
        <v>1</v>
      </c>
      <c r="O1223">
        <f>order_data[[#This Row],[Order_Value]]-order_data[[#This Row],[Discount]]</f>
        <v>394</v>
      </c>
      <c r="P1223">
        <f>order_data[[#This Row],[Order_Value]]+order_data[[#This Row],[Delivery_Fee]]-order_data[[#This Row],[Discount]]</f>
        <v>424</v>
      </c>
      <c r="Q1223" t="str">
        <f>TEXT(order_data[[#This Row],[Order_Date]],"mmm")</f>
        <v>Feb</v>
      </c>
      <c r="R1223">
        <f>MONTH(order_data[[#This Row],[Order_Date]])</f>
        <v>2</v>
      </c>
    </row>
    <row r="1224" spans="1:18" x14ac:dyDescent="0.35">
      <c r="A1224" t="s">
        <v>1927</v>
      </c>
      <c r="B1224" t="s">
        <v>365</v>
      </c>
      <c r="C1224" t="s">
        <v>1837</v>
      </c>
      <c r="D1224" t="s">
        <v>16</v>
      </c>
      <c r="E1224" t="s">
        <v>131</v>
      </c>
      <c r="F1224" t="s">
        <v>55</v>
      </c>
      <c r="G1224" t="s">
        <v>176</v>
      </c>
      <c r="H1224">
        <v>702</v>
      </c>
      <c r="I1224">
        <v>50</v>
      </c>
      <c r="J1224">
        <v>20</v>
      </c>
      <c r="K1224" t="s">
        <v>20</v>
      </c>
      <c r="L1224">
        <v>45</v>
      </c>
      <c r="M1224" t="s">
        <v>30</v>
      </c>
      <c r="N1224">
        <f>COUNTIF(order_data[Order_ID],order_data[[#This Row],[Order_ID]])</f>
        <v>1</v>
      </c>
      <c r="O1224">
        <f>order_data[[#This Row],[Order_Value]]-order_data[[#This Row],[Discount]]</f>
        <v>682</v>
      </c>
      <c r="P1224">
        <f>order_data[[#This Row],[Order_Value]]+order_data[[#This Row],[Delivery_Fee]]-order_data[[#This Row],[Discount]]</f>
        <v>732</v>
      </c>
      <c r="Q1224" t="str">
        <f>TEXT(order_data[[#This Row],[Order_Date]],"mmm")</f>
        <v>Jan</v>
      </c>
      <c r="R1224">
        <f>MONTH(order_data[[#This Row],[Order_Date]])</f>
        <v>1</v>
      </c>
    </row>
    <row r="1225" spans="1:18" x14ac:dyDescent="0.35">
      <c r="A1225" t="s">
        <v>1928</v>
      </c>
      <c r="B1225" t="s">
        <v>342</v>
      </c>
      <c r="C1225" t="s">
        <v>1022</v>
      </c>
      <c r="D1225" t="s">
        <v>25</v>
      </c>
      <c r="E1225" t="s">
        <v>78</v>
      </c>
      <c r="F1225" t="s">
        <v>48</v>
      </c>
      <c r="G1225" t="s">
        <v>74</v>
      </c>
      <c r="H1225">
        <v>570</v>
      </c>
      <c r="I1225">
        <v>30</v>
      </c>
      <c r="J1225">
        <v>100</v>
      </c>
      <c r="K1225" t="s">
        <v>29</v>
      </c>
      <c r="L1225">
        <v>30</v>
      </c>
      <c r="M1225" t="s">
        <v>21</v>
      </c>
      <c r="N1225">
        <f>COUNTIF(order_data[Order_ID],order_data[[#This Row],[Order_ID]])</f>
        <v>1</v>
      </c>
      <c r="O1225">
        <f>order_data[[#This Row],[Order_Value]]-order_data[[#This Row],[Discount]]</f>
        <v>470</v>
      </c>
      <c r="P1225">
        <f>order_data[[#This Row],[Order_Value]]+order_data[[#This Row],[Delivery_Fee]]-order_data[[#This Row],[Discount]]</f>
        <v>500</v>
      </c>
      <c r="Q1225" t="str">
        <f>TEXT(order_data[[#This Row],[Order_Date]],"mmm")</f>
        <v>Jan</v>
      </c>
      <c r="R1225">
        <f>MONTH(order_data[[#This Row],[Order_Date]])</f>
        <v>1</v>
      </c>
    </row>
    <row r="1226" spans="1:18" x14ac:dyDescent="0.35">
      <c r="A1226" t="s">
        <v>1929</v>
      </c>
      <c r="B1226" t="s">
        <v>449</v>
      </c>
      <c r="C1226" t="s">
        <v>375</v>
      </c>
      <c r="D1226" t="s">
        <v>25</v>
      </c>
      <c r="E1226" t="s">
        <v>34</v>
      </c>
      <c r="F1226" t="s">
        <v>27</v>
      </c>
      <c r="G1226" t="s">
        <v>63</v>
      </c>
      <c r="H1226">
        <v>649</v>
      </c>
      <c r="I1226">
        <v>30</v>
      </c>
      <c r="J1226">
        <v>20</v>
      </c>
      <c r="K1226" t="s">
        <v>29</v>
      </c>
      <c r="L1226">
        <v>57</v>
      </c>
      <c r="M1226" t="s">
        <v>21</v>
      </c>
      <c r="N1226">
        <f>COUNTIF(order_data[Order_ID],order_data[[#This Row],[Order_ID]])</f>
        <v>1</v>
      </c>
      <c r="O1226">
        <f>order_data[[#This Row],[Order_Value]]-order_data[[#This Row],[Discount]]</f>
        <v>629</v>
      </c>
      <c r="P1226">
        <f>order_data[[#This Row],[Order_Value]]+order_data[[#This Row],[Delivery_Fee]]-order_data[[#This Row],[Discount]]</f>
        <v>659</v>
      </c>
      <c r="Q1226" t="str">
        <f>TEXT(order_data[[#This Row],[Order_Date]],"mmm")</f>
        <v>Mar</v>
      </c>
      <c r="R1226">
        <f>MONTH(order_data[[#This Row],[Order_Date]])</f>
        <v>3</v>
      </c>
    </row>
    <row r="1227" spans="1:18" x14ac:dyDescent="0.35">
      <c r="A1227" t="s">
        <v>1930</v>
      </c>
      <c r="B1227" t="s">
        <v>393</v>
      </c>
      <c r="C1227" t="s">
        <v>1931</v>
      </c>
      <c r="D1227" t="s">
        <v>53</v>
      </c>
      <c r="E1227" t="s">
        <v>84</v>
      </c>
      <c r="F1227" t="s">
        <v>85</v>
      </c>
      <c r="G1227" t="s">
        <v>42</v>
      </c>
      <c r="H1227">
        <v>795</v>
      </c>
      <c r="I1227">
        <v>40</v>
      </c>
      <c r="J1227">
        <v>20</v>
      </c>
      <c r="K1227" t="s">
        <v>20</v>
      </c>
      <c r="L1227">
        <v>41</v>
      </c>
      <c r="M1227" t="s">
        <v>21</v>
      </c>
      <c r="N1227">
        <f>COUNTIF(order_data[Order_ID],order_data[[#This Row],[Order_ID]])</f>
        <v>1</v>
      </c>
      <c r="O1227">
        <f>order_data[[#This Row],[Order_Value]]-order_data[[#This Row],[Discount]]</f>
        <v>775</v>
      </c>
      <c r="P1227">
        <f>order_data[[#This Row],[Order_Value]]+order_data[[#This Row],[Delivery_Fee]]-order_data[[#This Row],[Discount]]</f>
        <v>815</v>
      </c>
      <c r="Q1227" t="str">
        <f>TEXT(order_data[[#This Row],[Order_Date]],"mmm")</f>
        <v>Feb</v>
      </c>
      <c r="R1227">
        <f>MONTH(order_data[[#This Row],[Order_Date]])</f>
        <v>2</v>
      </c>
    </row>
    <row r="1228" spans="1:18" x14ac:dyDescent="0.35">
      <c r="A1228" t="s">
        <v>1932</v>
      </c>
      <c r="B1228" t="s">
        <v>118</v>
      </c>
      <c r="C1228" t="s">
        <v>1534</v>
      </c>
      <c r="D1228" t="s">
        <v>25</v>
      </c>
      <c r="E1228" t="s">
        <v>34</v>
      </c>
      <c r="F1228" t="s">
        <v>27</v>
      </c>
      <c r="G1228" t="s">
        <v>59</v>
      </c>
      <c r="H1228">
        <v>355</v>
      </c>
      <c r="I1228">
        <v>50</v>
      </c>
      <c r="J1228">
        <v>0</v>
      </c>
      <c r="K1228" t="s">
        <v>36</v>
      </c>
      <c r="L1228">
        <v>34</v>
      </c>
      <c r="M1228" t="s">
        <v>21</v>
      </c>
      <c r="N1228">
        <f>COUNTIF(order_data[Order_ID],order_data[[#This Row],[Order_ID]])</f>
        <v>1</v>
      </c>
      <c r="O1228">
        <f>order_data[[#This Row],[Order_Value]]-order_data[[#This Row],[Discount]]</f>
        <v>355</v>
      </c>
      <c r="P1228">
        <f>order_data[[#This Row],[Order_Value]]+order_data[[#This Row],[Delivery_Fee]]-order_data[[#This Row],[Discount]]</f>
        <v>405</v>
      </c>
      <c r="Q1228" t="str">
        <f>TEXT(order_data[[#This Row],[Order_Date]],"mmm")</f>
        <v>Mar</v>
      </c>
      <c r="R1228">
        <f>MONTH(order_data[[#This Row],[Order_Date]])</f>
        <v>3</v>
      </c>
    </row>
    <row r="1229" spans="1:18" x14ac:dyDescent="0.35">
      <c r="A1229" t="s">
        <v>1933</v>
      </c>
      <c r="B1229" t="s">
        <v>181</v>
      </c>
      <c r="C1229" t="s">
        <v>692</v>
      </c>
      <c r="D1229" t="s">
        <v>40</v>
      </c>
      <c r="E1229" t="s">
        <v>41</v>
      </c>
      <c r="F1229" t="s">
        <v>27</v>
      </c>
      <c r="G1229" t="s">
        <v>59</v>
      </c>
      <c r="H1229">
        <v>418</v>
      </c>
      <c r="I1229">
        <v>30</v>
      </c>
      <c r="J1229">
        <v>30</v>
      </c>
      <c r="K1229" t="s">
        <v>36</v>
      </c>
      <c r="L1229">
        <v>53</v>
      </c>
      <c r="M1229" t="s">
        <v>30</v>
      </c>
      <c r="N1229">
        <f>COUNTIF(order_data[Order_ID],order_data[[#This Row],[Order_ID]])</f>
        <v>1</v>
      </c>
      <c r="O1229">
        <f>order_data[[#This Row],[Order_Value]]-order_data[[#This Row],[Discount]]</f>
        <v>388</v>
      </c>
      <c r="P1229">
        <f>order_data[[#This Row],[Order_Value]]+order_data[[#This Row],[Delivery_Fee]]-order_data[[#This Row],[Discount]]</f>
        <v>418</v>
      </c>
      <c r="Q1229" t="str">
        <f>TEXT(order_data[[#This Row],[Order_Date]],"mmm")</f>
        <v>Feb</v>
      </c>
      <c r="R1229">
        <f>MONTH(order_data[[#This Row],[Order_Date]])</f>
        <v>2</v>
      </c>
    </row>
    <row r="1230" spans="1:18" x14ac:dyDescent="0.35">
      <c r="A1230" t="s">
        <v>1934</v>
      </c>
      <c r="B1230" t="s">
        <v>146</v>
      </c>
      <c r="C1230" t="s">
        <v>1935</v>
      </c>
      <c r="D1230" t="s">
        <v>16</v>
      </c>
      <c r="E1230" t="s">
        <v>89</v>
      </c>
      <c r="F1230" t="s">
        <v>18</v>
      </c>
      <c r="G1230" t="s">
        <v>74</v>
      </c>
      <c r="H1230">
        <v>564</v>
      </c>
      <c r="I1230">
        <v>50</v>
      </c>
      <c r="J1230">
        <v>100</v>
      </c>
      <c r="K1230" t="s">
        <v>20</v>
      </c>
      <c r="L1230">
        <v>22</v>
      </c>
      <c r="M1230" t="s">
        <v>21</v>
      </c>
      <c r="N1230">
        <f>COUNTIF(order_data[Order_ID],order_data[[#This Row],[Order_ID]])</f>
        <v>1</v>
      </c>
      <c r="O1230">
        <f>order_data[[#This Row],[Order_Value]]-order_data[[#This Row],[Discount]]</f>
        <v>464</v>
      </c>
      <c r="P1230">
        <f>order_data[[#This Row],[Order_Value]]+order_data[[#This Row],[Delivery_Fee]]-order_data[[#This Row],[Discount]]</f>
        <v>514</v>
      </c>
      <c r="Q1230" t="str">
        <f>TEXT(order_data[[#This Row],[Order_Date]],"mmm")</f>
        <v>Feb</v>
      </c>
      <c r="R1230">
        <f>MONTH(order_data[[#This Row],[Order_Date]])</f>
        <v>2</v>
      </c>
    </row>
    <row r="1231" spans="1:18" x14ac:dyDescent="0.35">
      <c r="A1231" t="s">
        <v>1936</v>
      </c>
      <c r="B1231" t="s">
        <v>326</v>
      </c>
      <c r="C1231" t="s">
        <v>1691</v>
      </c>
      <c r="D1231" t="s">
        <v>25</v>
      </c>
      <c r="E1231" t="s">
        <v>34</v>
      </c>
      <c r="F1231" t="s">
        <v>27</v>
      </c>
      <c r="G1231" t="s">
        <v>74</v>
      </c>
      <c r="H1231">
        <v>443</v>
      </c>
      <c r="I1231">
        <v>40</v>
      </c>
      <c r="J1231">
        <v>50</v>
      </c>
      <c r="K1231" t="s">
        <v>29</v>
      </c>
      <c r="L1231">
        <v>38</v>
      </c>
      <c r="M1231" t="s">
        <v>21</v>
      </c>
      <c r="N1231">
        <f>COUNTIF(order_data[Order_ID],order_data[[#This Row],[Order_ID]])</f>
        <v>1</v>
      </c>
      <c r="O1231">
        <f>order_data[[#This Row],[Order_Value]]-order_data[[#This Row],[Discount]]</f>
        <v>393</v>
      </c>
      <c r="P1231">
        <f>order_data[[#This Row],[Order_Value]]+order_data[[#This Row],[Delivery_Fee]]-order_data[[#This Row],[Discount]]</f>
        <v>433</v>
      </c>
      <c r="Q1231" t="str">
        <f>TEXT(order_data[[#This Row],[Order_Date]],"mmm")</f>
        <v>Mar</v>
      </c>
      <c r="R1231">
        <f>MONTH(order_data[[#This Row],[Order_Date]])</f>
        <v>3</v>
      </c>
    </row>
    <row r="1232" spans="1:18" x14ac:dyDescent="0.35">
      <c r="A1232" t="s">
        <v>1937</v>
      </c>
      <c r="B1232" t="s">
        <v>526</v>
      </c>
      <c r="C1232" t="s">
        <v>1423</v>
      </c>
      <c r="D1232" t="s">
        <v>40</v>
      </c>
      <c r="E1232" t="s">
        <v>67</v>
      </c>
      <c r="F1232" t="s">
        <v>48</v>
      </c>
      <c r="G1232" t="s">
        <v>107</v>
      </c>
      <c r="H1232">
        <v>760</v>
      </c>
      <c r="I1232">
        <v>30</v>
      </c>
      <c r="J1232">
        <v>50</v>
      </c>
      <c r="K1232" t="s">
        <v>36</v>
      </c>
      <c r="L1232">
        <v>38</v>
      </c>
      <c r="M1232" t="s">
        <v>21</v>
      </c>
      <c r="N1232">
        <f>COUNTIF(order_data[Order_ID],order_data[[#This Row],[Order_ID]])</f>
        <v>1</v>
      </c>
      <c r="O1232">
        <f>order_data[[#This Row],[Order_Value]]-order_data[[#This Row],[Discount]]</f>
        <v>710</v>
      </c>
      <c r="P1232">
        <f>order_data[[#This Row],[Order_Value]]+order_data[[#This Row],[Delivery_Fee]]-order_data[[#This Row],[Discount]]</f>
        <v>740</v>
      </c>
      <c r="Q1232" t="str">
        <f>TEXT(order_data[[#This Row],[Order_Date]],"mmm")</f>
        <v>Jan</v>
      </c>
      <c r="R1232">
        <f>MONTH(order_data[[#This Row],[Order_Date]])</f>
        <v>1</v>
      </c>
    </row>
    <row r="1233" spans="1:18" x14ac:dyDescent="0.35">
      <c r="A1233" t="s">
        <v>1938</v>
      </c>
      <c r="B1233" t="s">
        <v>473</v>
      </c>
      <c r="C1233" t="s">
        <v>1939</v>
      </c>
      <c r="D1233" t="s">
        <v>40</v>
      </c>
      <c r="E1233" t="s">
        <v>111</v>
      </c>
      <c r="F1233" t="s">
        <v>18</v>
      </c>
      <c r="G1233" t="s">
        <v>63</v>
      </c>
      <c r="H1233">
        <v>239</v>
      </c>
      <c r="I1233">
        <v>20</v>
      </c>
      <c r="J1233">
        <v>0</v>
      </c>
      <c r="K1233" t="s">
        <v>20</v>
      </c>
      <c r="L1233">
        <v>45</v>
      </c>
      <c r="M1233" t="s">
        <v>21</v>
      </c>
      <c r="N1233">
        <f>COUNTIF(order_data[Order_ID],order_data[[#This Row],[Order_ID]])</f>
        <v>1</v>
      </c>
      <c r="O1233">
        <f>order_data[[#This Row],[Order_Value]]-order_data[[#This Row],[Discount]]</f>
        <v>239</v>
      </c>
      <c r="P1233">
        <f>order_data[[#This Row],[Order_Value]]+order_data[[#This Row],[Delivery_Fee]]-order_data[[#This Row],[Discount]]</f>
        <v>259</v>
      </c>
      <c r="Q1233" t="str">
        <f>TEXT(order_data[[#This Row],[Order_Date]],"mmm")</f>
        <v>Mar</v>
      </c>
      <c r="R1233">
        <f>MONTH(order_data[[#This Row],[Order_Date]])</f>
        <v>3</v>
      </c>
    </row>
    <row r="1234" spans="1:18" x14ac:dyDescent="0.35">
      <c r="A1234" t="s">
        <v>1940</v>
      </c>
      <c r="B1234" t="s">
        <v>223</v>
      </c>
      <c r="C1234" t="s">
        <v>110</v>
      </c>
      <c r="D1234" t="s">
        <v>53</v>
      </c>
      <c r="E1234" t="s">
        <v>152</v>
      </c>
      <c r="F1234" t="s">
        <v>18</v>
      </c>
      <c r="G1234" t="s">
        <v>19</v>
      </c>
      <c r="H1234">
        <v>728</v>
      </c>
      <c r="I1234">
        <v>50</v>
      </c>
      <c r="J1234">
        <v>0</v>
      </c>
      <c r="K1234" t="s">
        <v>20</v>
      </c>
      <c r="L1234">
        <v>49</v>
      </c>
      <c r="M1234" t="s">
        <v>21</v>
      </c>
      <c r="N1234">
        <f>COUNTIF(order_data[Order_ID],order_data[[#This Row],[Order_ID]])</f>
        <v>1</v>
      </c>
      <c r="O1234">
        <f>order_data[[#This Row],[Order_Value]]-order_data[[#This Row],[Discount]]</f>
        <v>728</v>
      </c>
      <c r="P1234">
        <f>order_data[[#This Row],[Order_Value]]+order_data[[#This Row],[Delivery_Fee]]-order_data[[#This Row],[Discount]]</f>
        <v>778</v>
      </c>
      <c r="Q1234" t="str">
        <f>TEXT(order_data[[#This Row],[Order_Date]],"mmm")</f>
        <v>Mar</v>
      </c>
      <c r="R1234">
        <f>MONTH(order_data[[#This Row],[Order_Date]])</f>
        <v>3</v>
      </c>
    </row>
    <row r="1235" spans="1:18" x14ac:dyDescent="0.35">
      <c r="A1235" t="s">
        <v>1941</v>
      </c>
      <c r="B1235" t="s">
        <v>133</v>
      </c>
      <c r="C1235" t="s">
        <v>524</v>
      </c>
      <c r="D1235" t="s">
        <v>25</v>
      </c>
      <c r="E1235" t="s">
        <v>26</v>
      </c>
      <c r="F1235" t="s">
        <v>27</v>
      </c>
      <c r="G1235" t="s">
        <v>19</v>
      </c>
      <c r="H1235">
        <v>199</v>
      </c>
      <c r="I1235">
        <v>20</v>
      </c>
      <c r="J1235">
        <v>0</v>
      </c>
      <c r="K1235" t="s">
        <v>29</v>
      </c>
      <c r="L1235">
        <v>25</v>
      </c>
      <c r="M1235" t="s">
        <v>21</v>
      </c>
      <c r="N1235">
        <f>COUNTIF(order_data[Order_ID],order_data[[#This Row],[Order_ID]])</f>
        <v>1</v>
      </c>
      <c r="O1235">
        <f>order_data[[#This Row],[Order_Value]]-order_data[[#This Row],[Discount]]</f>
        <v>199</v>
      </c>
      <c r="P1235">
        <f>order_data[[#This Row],[Order_Value]]+order_data[[#This Row],[Delivery_Fee]]-order_data[[#This Row],[Discount]]</f>
        <v>219</v>
      </c>
      <c r="Q1235" t="str">
        <f>TEXT(order_data[[#This Row],[Order_Date]],"mmm")</f>
        <v>Mar</v>
      </c>
      <c r="R1235">
        <f>MONTH(order_data[[#This Row],[Order_Date]])</f>
        <v>3</v>
      </c>
    </row>
    <row r="1236" spans="1:18" x14ac:dyDescent="0.35">
      <c r="A1236" t="s">
        <v>1942</v>
      </c>
      <c r="B1236" t="s">
        <v>99</v>
      </c>
      <c r="C1236" t="s">
        <v>469</v>
      </c>
      <c r="D1236" t="s">
        <v>25</v>
      </c>
      <c r="E1236" t="s">
        <v>78</v>
      </c>
      <c r="F1236" t="s">
        <v>48</v>
      </c>
      <c r="G1236" t="s">
        <v>19</v>
      </c>
      <c r="H1236">
        <v>695</v>
      </c>
      <c r="I1236">
        <v>50</v>
      </c>
      <c r="J1236">
        <v>100</v>
      </c>
      <c r="K1236" t="s">
        <v>29</v>
      </c>
      <c r="L1236">
        <v>33</v>
      </c>
      <c r="M1236" t="s">
        <v>21</v>
      </c>
      <c r="N1236">
        <f>COUNTIF(order_data[Order_ID],order_data[[#This Row],[Order_ID]])</f>
        <v>1</v>
      </c>
      <c r="O1236">
        <f>order_data[[#This Row],[Order_Value]]-order_data[[#This Row],[Discount]]</f>
        <v>595</v>
      </c>
      <c r="P1236">
        <f>order_data[[#This Row],[Order_Value]]+order_data[[#This Row],[Delivery_Fee]]-order_data[[#This Row],[Discount]]</f>
        <v>645</v>
      </c>
      <c r="Q1236" t="str">
        <f>TEXT(order_data[[#This Row],[Order_Date]],"mmm")</f>
        <v>Mar</v>
      </c>
      <c r="R1236">
        <f>MONTH(order_data[[#This Row],[Order_Date]])</f>
        <v>3</v>
      </c>
    </row>
    <row r="1237" spans="1:18" x14ac:dyDescent="0.35">
      <c r="A1237" t="s">
        <v>1943</v>
      </c>
      <c r="B1237" t="s">
        <v>133</v>
      </c>
      <c r="C1237" t="s">
        <v>937</v>
      </c>
      <c r="D1237" t="s">
        <v>53</v>
      </c>
      <c r="E1237" t="s">
        <v>152</v>
      </c>
      <c r="F1237" t="s">
        <v>18</v>
      </c>
      <c r="G1237" t="s">
        <v>19</v>
      </c>
      <c r="H1237">
        <v>774</v>
      </c>
      <c r="I1237">
        <v>20</v>
      </c>
      <c r="J1237">
        <v>20</v>
      </c>
      <c r="K1237" t="s">
        <v>29</v>
      </c>
      <c r="L1237">
        <v>37</v>
      </c>
      <c r="M1237" t="s">
        <v>21</v>
      </c>
      <c r="N1237">
        <f>COUNTIF(order_data[Order_ID],order_data[[#This Row],[Order_ID]])</f>
        <v>1</v>
      </c>
      <c r="O1237">
        <f>order_data[[#This Row],[Order_Value]]-order_data[[#This Row],[Discount]]</f>
        <v>754</v>
      </c>
      <c r="P1237">
        <f>order_data[[#This Row],[Order_Value]]+order_data[[#This Row],[Delivery_Fee]]-order_data[[#This Row],[Discount]]</f>
        <v>774</v>
      </c>
      <c r="Q1237" t="str">
        <f>TEXT(order_data[[#This Row],[Order_Date]],"mmm")</f>
        <v>Mar</v>
      </c>
      <c r="R1237">
        <f>MONTH(order_data[[#This Row],[Order_Date]])</f>
        <v>3</v>
      </c>
    </row>
    <row r="1238" spans="1:18" x14ac:dyDescent="0.35">
      <c r="A1238" t="s">
        <v>1944</v>
      </c>
      <c r="B1238" t="s">
        <v>267</v>
      </c>
      <c r="C1238" t="s">
        <v>467</v>
      </c>
      <c r="D1238" t="s">
        <v>40</v>
      </c>
      <c r="E1238" t="s">
        <v>67</v>
      </c>
      <c r="F1238" t="s">
        <v>48</v>
      </c>
      <c r="G1238" t="s">
        <v>63</v>
      </c>
      <c r="H1238">
        <v>615</v>
      </c>
      <c r="I1238">
        <v>50</v>
      </c>
      <c r="J1238">
        <v>50</v>
      </c>
      <c r="K1238" t="s">
        <v>29</v>
      </c>
      <c r="L1238">
        <v>27</v>
      </c>
      <c r="M1238" t="s">
        <v>21</v>
      </c>
      <c r="N1238">
        <f>COUNTIF(order_data[Order_ID],order_data[[#This Row],[Order_ID]])</f>
        <v>1</v>
      </c>
      <c r="O1238">
        <f>order_data[[#This Row],[Order_Value]]-order_data[[#This Row],[Discount]]</f>
        <v>565</v>
      </c>
      <c r="P1238">
        <f>order_data[[#This Row],[Order_Value]]+order_data[[#This Row],[Delivery_Fee]]-order_data[[#This Row],[Discount]]</f>
        <v>615</v>
      </c>
      <c r="Q1238" t="str">
        <f>TEXT(order_data[[#This Row],[Order_Date]],"mmm")</f>
        <v>Jan</v>
      </c>
      <c r="R1238">
        <f>MONTH(order_data[[#This Row],[Order_Date]])</f>
        <v>1</v>
      </c>
    </row>
    <row r="1239" spans="1:18" x14ac:dyDescent="0.35">
      <c r="A1239" t="s">
        <v>1945</v>
      </c>
      <c r="B1239" t="s">
        <v>280</v>
      </c>
      <c r="C1239" t="s">
        <v>409</v>
      </c>
      <c r="D1239" t="s">
        <v>25</v>
      </c>
      <c r="E1239" t="s">
        <v>34</v>
      </c>
      <c r="F1239" t="s">
        <v>27</v>
      </c>
      <c r="G1239" t="s">
        <v>19</v>
      </c>
      <c r="H1239">
        <v>320</v>
      </c>
      <c r="I1239">
        <v>30</v>
      </c>
      <c r="J1239">
        <v>100</v>
      </c>
      <c r="K1239" t="s">
        <v>20</v>
      </c>
      <c r="L1239">
        <v>44</v>
      </c>
      <c r="M1239" t="s">
        <v>21</v>
      </c>
      <c r="N1239">
        <f>COUNTIF(order_data[Order_ID],order_data[[#This Row],[Order_ID]])</f>
        <v>1</v>
      </c>
      <c r="O1239">
        <f>order_data[[#This Row],[Order_Value]]-order_data[[#This Row],[Discount]]</f>
        <v>220</v>
      </c>
      <c r="P1239">
        <f>order_data[[#This Row],[Order_Value]]+order_data[[#This Row],[Delivery_Fee]]-order_data[[#This Row],[Discount]]</f>
        <v>250</v>
      </c>
      <c r="Q1239" t="str">
        <f>TEXT(order_data[[#This Row],[Order_Date]],"mmm")</f>
        <v>Jan</v>
      </c>
      <c r="R1239">
        <f>MONTH(order_data[[#This Row],[Order_Date]])</f>
        <v>1</v>
      </c>
    </row>
    <row r="1240" spans="1:18" x14ac:dyDescent="0.35">
      <c r="A1240" t="s">
        <v>1946</v>
      </c>
      <c r="B1240" t="s">
        <v>91</v>
      </c>
      <c r="C1240" t="s">
        <v>688</v>
      </c>
      <c r="D1240" t="s">
        <v>16</v>
      </c>
      <c r="E1240" t="s">
        <v>89</v>
      </c>
      <c r="F1240" t="s">
        <v>18</v>
      </c>
      <c r="G1240" t="s">
        <v>42</v>
      </c>
      <c r="H1240">
        <v>557</v>
      </c>
      <c r="I1240">
        <v>50</v>
      </c>
      <c r="J1240">
        <v>100</v>
      </c>
      <c r="K1240" t="s">
        <v>36</v>
      </c>
      <c r="L1240">
        <v>41</v>
      </c>
      <c r="M1240" t="s">
        <v>21</v>
      </c>
      <c r="N1240">
        <f>COUNTIF(order_data[Order_ID],order_data[[#This Row],[Order_ID]])</f>
        <v>1</v>
      </c>
      <c r="O1240">
        <f>order_data[[#This Row],[Order_Value]]-order_data[[#This Row],[Discount]]</f>
        <v>457</v>
      </c>
      <c r="P1240">
        <f>order_data[[#This Row],[Order_Value]]+order_data[[#This Row],[Delivery_Fee]]-order_data[[#This Row],[Discount]]</f>
        <v>507</v>
      </c>
      <c r="Q1240" t="str">
        <f>TEXT(order_data[[#This Row],[Order_Date]],"mmm")</f>
        <v>Mar</v>
      </c>
      <c r="R1240">
        <f>MONTH(order_data[[#This Row],[Order_Date]])</f>
        <v>3</v>
      </c>
    </row>
    <row r="1241" spans="1:18" x14ac:dyDescent="0.35">
      <c r="A1241" t="s">
        <v>1947</v>
      </c>
      <c r="B1241" t="s">
        <v>267</v>
      </c>
      <c r="C1241" t="s">
        <v>1948</v>
      </c>
      <c r="D1241" t="s">
        <v>16</v>
      </c>
      <c r="E1241" t="s">
        <v>89</v>
      </c>
      <c r="F1241" t="s">
        <v>18</v>
      </c>
      <c r="G1241" t="s">
        <v>74</v>
      </c>
      <c r="H1241">
        <v>649</v>
      </c>
      <c r="I1241">
        <v>30</v>
      </c>
      <c r="J1241">
        <v>30</v>
      </c>
      <c r="K1241" t="s">
        <v>36</v>
      </c>
      <c r="L1241">
        <v>42</v>
      </c>
      <c r="M1241" t="s">
        <v>21</v>
      </c>
      <c r="N1241">
        <f>COUNTIF(order_data[Order_ID],order_data[[#This Row],[Order_ID]])</f>
        <v>1</v>
      </c>
      <c r="O1241">
        <f>order_data[[#This Row],[Order_Value]]-order_data[[#This Row],[Discount]]</f>
        <v>619</v>
      </c>
      <c r="P1241">
        <f>order_data[[#This Row],[Order_Value]]+order_data[[#This Row],[Delivery_Fee]]-order_data[[#This Row],[Discount]]</f>
        <v>649</v>
      </c>
      <c r="Q1241" t="str">
        <f>TEXT(order_data[[#This Row],[Order_Date]],"mmm")</f>
        <v>Jan</v>
      </c>
      <c r="R1241">
        <f>MONTH(order_data[[#This Row],[Order_Date]])</f>
        <v>1</v>
      </c>
    </row>
    <row r="1242" spans="1:18" x14ac:dyDescent="0.35">
      <c r="A1242" t="s">
        <v>1949</v>
      </c>
      <c r="B1242" t="s">
        <v>295</v>
      </c>
      <c r="C1242" t="s">
        <v>1280</v>
      </c>
      <c r="D1242" t="s">
        <v>40</v>
      </c>
      <c r="E1242" t="s">
        <v>111</v>
      </c>
      <c r="F1242" t="s">
        <v>18</v>
      </c>
      <c r="G1242" t="s">
        <v>19</v>
      </c>
      <c r="H1242">
        <v>436</v>
      </c>
      <c r="I1242">
        <v>40</v>
      </c>
      <c r="J1242">
        <v>0</v>
      </c>
      <c r="K1242" t="s">
        <v>36</v>
      </c>
      <c r="L1242">
        <v>53</v>
      </c>
      <c r="M1242" t="s">
        <v>21</v>
      </c>
      <c r="N1242">
        <f>COUNTIF(order_data[Order_ID],order_data[[#This Row],[Order_ID]])</f>
        <v>1</v>
      </c>
      <c r="O1242">
        <f>order_data[[#This Row],[Order_Value]]-order_data[[#This Row],[Discount]]</f>
        <v>436</v>
      </c>
      <c r="P1242">
        <f>order_data[[#This Row],[Order_Value]]+order_data[[#This Row],[Delivery_Fee]]-order_data[[#This Row],[Discount]]</f>
        <v>476</v>
      </c>
      <c r="Q1242" t="str">
        <f>TEXT(order_data[[#This Row],[Order_Date]],"mmm")</f>
        <v>Jan</v>
      </c>
      <c r="R1242">
        <f>MONTH(order_data[[#This Row],[Order_Date]])</f>
        <v>1</v>
      </c>
    </row>
    <row r="1243" spans="1:18" x14ac:dyDescent="0.35">
      <c r="A1243" t="s">
        <v>1950</v>
      </c>
      <c r="B1243" t="s">
        <v>129</v>
      </c>
      <c r="C1243" t="s">
        <v>1951</v>
      </c>
      <c r="D1243" t="s">
        <v>46</v>
      </c>
      <c r="E1243" t="s">
        <v>70</v>
      </c>
      <c r="F1243" t="s">
        <v>18</v>
      </c>
      <c r="G1243" t="s">
        <v>49</v>
      </c>
      <c r="H1243">
        <v>421</v>
      </c>
      <c r="I1243">
        <v>20</v>
      </c>
      <c r="J1243">
        <v>20</v>
      </c>
      <c r="K1243" t="s">
        <v>36</v>
      </c>
      <c r="L1243">
        <v>40</v>
      </c>
      <c r="M1243" t="s">
        <v>30</v>
      </c>
      <c r="N1243">
        <f>COUNTIF(order_data[Order_ID],order_data[[#This Row],[Order_ID]])</f>
        <v>1</v>
      </c>
      <c r="O1243">
        <f>order_data[[#This Row],[Order_Value]]-order_data[[#This Row],[Discount]]</f>
        <v>401</v>
      </c>
      <c r="P1243">
        <f>order_data[[#This Row],[Order_Value]]+order_data[[#This Row],[Delivery_Fee]]-order_data[[#This Row],[Discount]]</f>
        <v>421</v>
      </c>
      <c r="Q1243" t="str">
        <f>TEXT(order_data[[#This Row],[Order_Date]],"mmm")</f>
        <v>Feb</v>
      </c>
      <c r="R1243">
        <f>MONTH(order_data[[#This Row],[Order_Date]])</f>
        <v>2</v>
      </c>
    </row>
    <row r="1244" spans="1:18" x14ac:dyDescent="0.35">
      <c r="A1244" t="s">
        <v>1952</v>
      </c>
      <c r="B1244" t="s">
        <v>365</v>
      </c>
      <c r="C1244" t="s">
        <v>1598</v>
      </c>
      <c r="D1244" t="s">
        <v>46</v>
      </c>
      <c r="E1244" t="s">
        <v>148</v>
      </c>
      <c r="F1244" t="s">
        <v>27</v>
      </c>
      <c r="G1244" t="s">
        <v>176</v>
      </c>
      <c r="H1244">
        <v>361</v>
      </c>
      <c r="I1244">
        <v>30</v>
      </c>
      <c r="J1244">
        <v>50</v>
      </c>
      <c r="K1244" t="s">
        <v>20</v>
      </c>
      <c r="L1244">
        <v>51</v>
      </c>
      <c r="M1244" t="s">
        <v>21</v>
      </c>
      <c r="N1244">
        <f>COUNTIF(order_data[Order_ID],order_data[[#This Row],[Order_ID]])</f>
        <v>1</v>
      </c>
      <c r="O1244">
        <f>order_data[[#This Row],[Order_Value]]-order_data[[#This Row],[Discount]]</f>
        <v>311</v>
      </c>
      <c r="P1244">
        <f>order_data[[#This Row],[Order_Value]]+order_data[[#This Row],[Delivery_Fee]]-order_data[[#This Row],[Discount]]</f>
        <v>341</v>
      </c>
      <c r="Q1244" t="str">
        <f>TEXT(order_data[[#This Row],[Order_Date]],"mmm")</f>
        <v>Jan</v>
      </c>
      <c r="R1244">
        <f>MONTH(order_data[[#This Row],[Order_Date]])</f>
        <v>1</v>
      </c>
    </row>
    <row r="1245" spans="1:18" x14ac:dyDescent="0.35">
      <c r="A1245" t="s">
        <v>1953</v>
      </c>
      <c r="B1245" t="s">
        <v>393</v>
      </c>
      <c r="C1245" t="s">
        <v>1801</v>
      </c>
      <c r="D1245" t="s">
        <v>16</v>
      </c>
      <c r="E1245" t="s">
        <v>131</v>
      </c>
      <c r="F1245" t="s">
        <v>55</v>
      </c>
      <c r="G1245" t="s">
        <v>49</v>
      </c>
      <c r="H1245">
        <v>756</v>
      </c>
      <c r="I1245">
        <v>30</v>
      </c>
      <c r="J1245">
        <v>100</v>
      </c>
      <c r="K1245" t="s">
        <v>29</v>
      </c>
      <c r="L1245">
        <v>20</v>
      </c>
      <c r="M1245" t="s">
        <v>21</v>
      </c>
      <c r="N1245">
        <f>COUNTIF(order_data[Order_ID],order_data[[#This Row],[Order_ID]])</f>
        <v>1</v>
      </c>
      <c r="O1245">
        <f>order_data[[#This Row],[Order_Value]]-order_data[[#This Row],[Discount]]</f>
        <v>656</v>
      </c>
      <c r="P1245">
        <f>order_data[[#This Row],[Order_Value]]+order_data[[#This Row],[Delivery_Fee]]-order_data[[#This Row],[Discount]]</f>
        <v>686</v>
      </c>
      <c r="Q1245" t="str">
        <f>TEXT(order_data[[#This Row],[Order_Date]],"mmm")</f>
        <v>Feb</v>
      </c>
      <c r="R1245">
        <f>MONTH(order_data[[#This Row],[Order_Date]])</f>
        <v>2</v>
      </c>
    </row>
    <row r="1246" spans="1:18" x14ac:dyDescent="0.35">
      <c r="A1246" t="s">
        <v>1954</v>
      </c>
      <c r="B1246" t="s">
        <v>143</v>
      </c>
      <c r="C1246" t="s">
        <v>261</v>
      </c>
      <c r="D1246" t="s">
        <v>53</v>
      </c>
      <c r="E1246" t="s">
        <v>84</v>
      </c>
      <c r="F1246" t="s">
        <v>85</v>
      </c>
      <c r="G1246" t="s">
        <v>74</v>
      </c>
      <c r="H1246">
        <v>537</v>
      </c>
      <c r="I1246">
        <v>20</v>
      </c>
      <c r="J1246">
        <v>30</v>
      </c>
      <c r="K1246" t="s">
        <v>36</v>
      </c>
      <c r="L1246">
        <v>39</v>
      </c>
      <c r="M1246" t="s">
        <v>21</v>
      </c>
      <c r="N1246">
        <f>COUNTIF(order_data[Order_ID],order_data[[#This Row],[Order_ID]])</f>
        <v>1</v>
      </c>
      <c r="O1246">
        <f>order_data[[#This Row],[Order_Value]]-order_data[[#This Row],[Discount]]</f>
        <v>507</v>
      </c>
      <c r="P1246">
        <f>order_data[[#This Row],[Order_Value]]+order_data[[#This Row],[Delivery_Fee]]-order_data[[#This Row],[Discount]]</f>
        <v>527</v>
      </c>
      <c r="Q1246" t="str">
        <f>TEXT(order_data[[#This Row],[Order_Date]],"mmm")</f>
        <v>Feb</v>
      </c>
      <c r="R1246">
        <f>MONTH(order_data[[#This Row],[Order_Date]])</f>
        <v>2</v>
      </c>
    </row>
    <row r="1247" spans="1:18" x14ac:dyDescent="0.35">
      <c r="A1247" t="s">
        <v>1955</v>
      </c>
      <c r="B1247" t="s">
        <v>454</v>
      </c>
      <c r="C1247" t="s">
        <v>1269</v>
      </c>
      <c r="D1247" t="s">
        <v>40</v>
      </c>
      <c r="E1247" t="s">
        <v>67</v>
      </c>
      <c r="F1247" t="s">
        <v>48</v>
      </c>
      <c r="G1247" t="s">
        <v>42</v>
      </c>
      <c r="H1247">
        <v>195</v>
      </c>
      <c r="I1247">
        <v>20</v>
      </c>
      <c r="J1247">
        <v>0</v>
      </c>
      <c r="K1247" t="s">
        <v>36</v>
      </c>
      <c r="L1247">
        <v>48</v>
      </c>
      <c r="M1247" t="s">
        <v>21</v>
      </c>
      <c r="N1247">
        <f>COUNTIF(order_data[Order_ID],order_data[[#This Row],[Order_ID]])</f>
        <v>1</v>
      </c>
      <c r="O1247">
        <f>order_data[[#This Row],[Order_Value]]-order_data[[#This Row],[Discount]]</f>
        <v>195</v>
      </c>
      <c r="P1247">
        <f>order_data[[#This Row],[Order_Value]]+order_data[[#This Row],[Delivery_Fee]]-order_data[[#This Row],[Discount]]</f>
        <v>215</v>
      </c>
      <c r="Q1247" t="str">
        <f>TEXT(order_data[[#This Row],[Order_Date]],"mmm")</f>
        <v>Jan</v>
      </c>
      <c r="R1247">
        <f>MONTH(order_data[[#This Row],[Order_Date]])</f>
        <v>1</v>
      </c>
    </row>
    <row r="1248" spans="1:18" x14ac:dyDescent="0.35">
      <c r="A1248" t="s">
        <v>1956</v>
      </c>
      <c r="B1248" t="s">
        <v>435</v>
      </c>
      <c r="C1248" t="s">
        <v>1957</v>
      </c>
      <c r="D1248" t="s">
        <v>16</v>
      </c>
      <c r="E1248" t="s">
        <v>17</v>
      </c>
      <c r="F1248" t="s">
        <v>18</v>
      </c>
      <c r="G1248" t="s">
        <v>28</v>
      </c>
      <c r="H1248">
        <v>269</v>
      </c>
      <c r="I1248">
        <v>50</v>
      </c>
      <c r="J1248">
        <v>100</v>
      </c>
      <c r="K1248" t="s">
        <v>29</v>
      </c>
      <c r="L1248">
        <v>42</v>
      </c>
      <c r="M1248" t="s">
        <v>21</v>
      </c>
      <c r="N1248">
        <f>COUNTIF(order_data[Order_ID],order_data[[#This Row],[Order_ID]])</f>
        <v>1</v>
      </c>
      <c r="O1248">
        <f>order_data[[#This Row],[Order_Value]]-order_data[[#This Row],[Discount]]</f>
        <v>169</v>
      </c>
      <c r="P1248">
        <f>order_data[[#This Row],[Order_Value]]+order_data[[#This Row],[Delivery_Fee]]-order_data[[#This Row],[Discount]]</f>
        <v>219</v>
      </c>
      <c r="Q1248" t="str">
        <f>TEXT(order_data[[#This Row],[Order_Date]],"mmm")</f>
        <v>Feb</v>
      </c>
      <c r="R1248">
        <f>MONTH(order_data[[#This Row],[Order_Date]])</f>
        <v>2</v>
      </c>
    </row>
    <row r="1249" spans="1:18" x14ac:dyDescent="0.35">
      <c r="A1249" t="s">
        <v>1958</v>
      </c>
      <c r="B1249" t="s">
        <v>413</v>
      </c>
      <c r="C1249" t="s">
        <v>1959</v>
      </c>
      <c r="D1249" t="s">
        <v>25</v>
      </c>
      <c r="E1249" t="s">
        <v>34</v>
      </c>
      <c r="F1249" t="s">
        <v>27</v>
      </c>
      <c r="G1249" t="s">
        <v>49</v>
      </c>
      <c r="H1249">
        <v>733</v>
      </c>
      <c r="I1249">
        <v>50</v>
      </c>
      <c r="J1249">
        <v>100</v>
      </c>
      <c r="K1249" t="s">
        <v>29</v>
      </c>
      <c r="L1249">
        <v>41</v>
      </c>
      <c r="M1249" t="s">
        <v>21</v>
      </c>
      <c r="N1249">
        <f>COUNTIF(order_data[Order_ID],order_data[[#This Row],[Order_ID]])</f>
        <v>1</v>
      </c>
      <c r="O1249">
        <f>order_data[[#This Row],[Order_Value]]-order_data[[#This Row],[Discount]]</f>
        <v>633</v>
      </c>
      <c r="P1249">
        <f>order_data[[#This Row],[Order_Value]]+order_data[[#This Row],[Delivery_Fee]]-order_data[[#This Row],[Discount]]</f>
        <v>683</v>
      </c>
      <c r="Q1249" t="str">
        <f>TEXT(order_data[[#This Row],[Order_Date]],"mmm")</f>
        <v>Mar</v>
      </c>
      <c r="R1249">
        <f>MONTH(order_data[[#This Row],[Order_Date]])</f>
        <v>3</v>
      </c>
    </row>
    <row r="1250" spans="1:18" x14ac:dyDescent="0.35">
      <c r="A1250" t="s">
        <v>1960</v>
      </c>
      <c r="B1250" t="s">
        <v>473</v>
      </c>
      <c r="C1250" t="s">
        <v>873</v>
      </c>
      <c r="D1250" t="s">
        <v>53</v>
      </c>
      <c r="E1250" t="s">
        <v>152</v>
      </c>
      <c r="F1250" t="s">
        <v>18</v>
      </c>
      <c r="G1250" t="s">
        <v>42</v>
      </c>
      <c r="H1250">
        <v>722</v>
      </c>
      <c r="I1250">
        <v>30</v>
      </c>
      <c r="J1250">
        <v>0</v>
      </c>
      <c r="K1250" t="s">
        <v>36</v>
      </c>
      <c r="L1250">
        <v>37</v>
      </c>
      <c r="M1250" t="s">
        <v>21</v>
      </c>
      <c r="N1250">
        <f>COUNTIF(order_data[Order_ID],order_data[[#This Row],[Order_ID]])</f>
        <v>1</v>
      </c>
      <c r="O1250">
        <f>order_data[[#This Row],[Order_Value]]-order_data[[#This Row],[Discount]]</f>
        <v>722</v>
      </c>
      <c r="P1250">
        <f>order_data[[#This Row],[Order_Value]]+order_data[[#This Row],[Delivery_Fee]]-order_data[[#This Row],[Discount]]</f>
        <v>752</v>
      </c>
      <c r="Q1250" t="str">
        <f>TEXT(order_data[[#This Row],[Order_Date]],"mmm")</f>
        <v>Mar</v>
      </c>
      <c r="R1250">
        <f>MONTH(order_data[[#This Row],[Order_Date]])</f>
        <v>3</v>
      </c>
    </row>
    <row r="1251" spans="1:18" x14ac:dyDescent="0.35">
      <c r="A1251" t="s">
        <v>1961</v>
      </c>
      <c r="B1251" t="s">
        <v>23</v>
      </c>
      <c r="C1251" t="s">
        <v>1767</v>
      </c>
      <c r="D1251" t="s">
        <v>40</v>
      </c>
      <c r="E1251" t="s">
        <v>111</v>
      </c>
      <c r="F1251" t="s">
        <v>18</v>
      </c>
      <c r="G1251" t="s">
        <v>28</v>
      </c>
      <c r="H1251">
        <v>621</v>
      </c>
      <c r="I1251">
        <v>40</v>
      </c>
      <c r="J1251">
        <v>30</v>
      </c>
      <c r="K1251" t="s">
        <v>36</v>
      </c>
      <c r="L1251">
        <v>52</v>
      </c>
      <c r="M1251" t="s">
        <v>21</v>
      </c>
      <c r="N1251">
        <f>COUNTIF(order_data[Order_ID],order_data[[#This Row],[Order_ID]])</f>
        <v>1</v>
      </c>
      <c r="O1251">
        <f>order_data[[#This Row],[Order_Value]]-order_data[[#This Row],[Discount]]</f>
        <v>591</v>
      </c>
      <c r="P1251">
        <f>order_data[[#This Row],[Order_Value]]+order_data[[#This Row],[Delivery_Fee]]-order_data[[#This Row],[Discount]]</f>
        <v>631</v>
      </c>
      <c r="Q1251" t="str">
        <f>TEXT(order_data[[#This Row],[Order_Date]],"mmm")</f>
        <v>Mar</v>
      </c>
      <c r="R1251">
        <f>MONTH(order_data[[#This Row],[Order_Date]])</f>
        <v>3</v>
      </c>
    </row>
    <row r="1252" spans="1:18" x14ac:dyDescent="0.35">
      <c r="A1252" t="s">
        <v>1962</v>
      </c>
      <c r="B1252" t="s">
        <v>329</v>
      </c>
      <c r="C1252" t="s">
        <v>1372</v>
      </c>
      <c r="D1252" t="s">
        <v>53</v>
      </c>
      <c r="E1252" t="s">
        <v>54</v>
      </c>
      <c r="F1252" t="s">
        <v>55</v>
      </c>
      <c r="G1252" t="s">
        <v>42</v>
      </c>
      <c r="H1252">
        <v>482</v>
      </c>
      <c r="I1252">
        <v>50</v>
      </c>
      <c r="J1252">
        <v>30</v>
      </c>
      <c r="K1252" t="s">
        <v>29</v>
      </c>
      <c r="L1252">
        <v>50</v>
      </c>
      <c r="M1252" t="s">
        <v>21</v>
      </c>
      <c r="N1252">
        <f>COUNTIF(order_data[Order_ID],order_data[[#This Row],[Order_ID]])</f>
        <v>1</v>
      </c>
      <c r="O1252">
        <f>order_data[[#This Row],[Order_Value]]-order_data[[#This Row],[Discount]]</f>
        <v>452</v>
      </c>
      <c r="P1252">
        <f>order_data[[#This Row],[Order_Value]]+order_data[[#This Row],[Delivery_Fee]]-order_data[[#This Row],[Discount]]</f>
        <v>502</v>
      </c>
      <c r="Q1252" t="str">
        <f>TEXT(order_data[[#This Row],[Order_Date]],"mmm")</f>
        <v>Mar</v>
      </c>
      <c r="R1252">
        <f>MONTH(order_data[[#This Row],[Order_Date]])</f>
        <v>3</v>
      </c>
    </row>
    <row r="1253" spans="1:18" x14ac:dyDescent="0.35">
      <c r="A1253" t="s">
        <v>1963</v>
      </c>
      <c r="B1253" t="s">
        <v>305</v>
      </c>
      <c r="C1253" t="s">
        <v>808</v>
      </c>
      <c r="D1253" t="s">
        <v>25</v>
      </c>
      <c r="E1253" t="s">
        <v>78</v>
      </c>
      <c r="F1253" t="s">
        <v>48</v>
      </c>
      <c r="G1253" t="s">
        <v>42</v>
      </c>
      <c r="H1253">
        <v>382</v>
      </c>
      <c r="I1253">
        <v>50</v>
      </c>
      <c r="J1253">
        <v>50</v>
      </c>
      <c r="K1253" t="s">
        <v>29</v>
      </c>
      <c r="L1253">
        <v>23</v>
      </c>
      <c r="M1253" t="s">
        <v>21</v>
      </c>
      <c r="N1253">
        <f>COUNTIF(order_data[Order_ID],order_data[[#This Row],[Order_ID]])</f>
        <v>1</v>
      </c>
      <c r="O1253">
        <f>order_data[[#This Row],[Order_Value]]-order_data[[#This Row],[Discount]]</f>
        <v>332</v>
      </c>
      <c r="P1253">
        <f>order_data[[#This Row],[Order_Value]]+order_data[[#This Row],[Delivery_Fee]]-order_data[[#This Row],[Discount]]</f>
        <v>382</v>
      </c>
      <c r="Q1253" t="str">
        <f>TEXT(order_data[[#This Row],[Order_Date]],"mmm")</f>
        <v>Jan</v>
      </c>
      <c r="R1253">
        <f>MONTH(order_data[[#This Row],[Order_Date]])</f>
        <v>1</v>
      </c>
    </row>
    <row r="1254" spans="1:18" x14ac:dyDescent="0.35">
      <c r="A1254" t="s">
        <v>1964</v>
      </c>
      <c r="B1254" t="s">
        <v>526</v>
      </c>
      <c r="C1254" t="s">
        <v>779</v>
      </c>
      <c r="D1254" t="s">
        <v>16</v>
      </c>
      <c r="E1254" t="s">
        <v>17</v>
      </c>
      <c r="F1254" t="s">
        <v>18</v>
      </c>
      <c r="G1254" t="s">
        <v>19</v>
      </c>
      <c r="H1254">
        <v>619</v>
      </c>
      <c r="I1254">
        <v>30</v>
      </c>
      <c r="J1254">
        <v>20</v>
      </c>
      <c r="K1254" t="s">
        <v>29</v>
      </c>
      <c r="L1254">
        <v>29</v>
      </c>
      <c r="M1254" t="s">
        <v>21</v>
      </c>
      <c r="N1254">
        <f>COUNTIF(order_data[Order_ID],order_data[[#This Row],[Order_ID]])</f>
        <v>1</v>
      </c>
      <c r="O1254">
        <f>order_data[[#This Row],[Order_Value]]-order_data[[#This Row],[Discount]]</f>
        <v>599</v>
      </c>
      <c r="P1254">
        <f>order_data[[#This Row],[Order_Value]]+order_data[[#This Row],[Delivery_Fee]]-order_data[[#This Row],[Discount]]</f>
        <v>629</v>
      </c>
      <c r="Q1254" t="str">
        <f>TEXT(order_data[[#This Row],[Order_Date]],"mmm")</f>
        <v>Jan</v>
      </c>
      <c r="R1254">
        <f>MONTH(order_data[[#This Row],[Order_Date]])</f>
        <v>1</v>
      </c>
    </row>
    <row r="1255" spans="1:18" x14ac:dyDescent="0.35">
      <c r="A1255" t="s">
        <v>1965</v>
      </c>
      <c r="B1255" t="s">
        <v>310</v>
      </c>
      <c r="C1255" t="s">
        <v>334</v>
      </c>
      <c r="D1255" t="s">
        <v>25</v>
      </c>
      <c r="E1255" t="s">
        <v>26</v>
      </c>
      <c r="F1255" t="s">
        <v>27</v>
      </c>
      <c r="G1255" t="s">
        <v>42</v>
      </c>
      <c r="H1255">
        <v>370</v>
      </c>
      <c r="I1255">
        <v>30</v>
      </c>
      <c r="J1255">
        <v>50</v>
      </c>
      <c r="K1255" t="s">
        <v>20</v>
      </c>
      <c r="L1255">
        <v>21</v>
      </c>
      <c r="M1255" t="s">
        <v>21</v>
      </c>
      <c r="N1255">
        <f>COUNTIF(order_data[Order_ID],order_data[[#This Row],[Order_ID]])</f>
        <v>1</v>
      </c>
      <c r="O1255">
        <f>order_data[[#This Row],[Order_Value]]-order_data[[#This Row],[Discount]]</f>
        <v>320</v>
      </c>
      <c r="P1255">
        <f>order_data[[#This Row],[Order_Value]]+order_data[[#This Row],[Delivery_Fee]]-order_data[[#This Row],[Discount]]</f>
        <v>350</v>
      </c>
      <c r="Q1255" t="str">
        <f>TEXT(order_data[[#This Row],[Order_Date]],"mmm")</f>
        <v>Feb</v>
      </c>
      <c r="R1255">
        <f>MONTH(order_data[[#This Row],[Order_Date]])</f>
        <v>2</v>
      </c>
    </row>
    <row r="1256" spans="1:18" x14ac:dyDescent="0.35">
      <c r="A1256" t="s">
        <v>1966</v>
      </c>
      <c r="B1256" t="s">
        <v>226</v>
      </c>
      <c r="C1256" t="s">
        <v>1967</v>
      </c>
      <c r="D1256" t="s">
        <v>16</v>
      </c>
      <c r="E1256" t="s">
        <v>17</v>
      </c>
      <c r="F1256" t="s">
        <v>18</v>
      </c>
      <c r="G1256" t="s">
        <v>49</v>
      </c>
      <c r="H1256">
        <v>245</v>
      </c>
      <c r="I1256">
        <v>40</v>
      </c>
      <c r="J1256">
        <v>0</v>
      </c>
      <c r="K1256" t="s">
        <v>36</v>
      </c>
      <c r="L1256">
        <v>51</v>
      </c>
      <c r="M1256" t="s">
        <v>21</v>
      </c>
      <c r="N1256">
        <f>COUNTIF(order_data[Order_ID],order_data[[#This Row],[Order_ID]])</f>
        <v>1</v>
      </c>
      <c r="O1256">
        <f>order_data[[#This Row],[Order_Value]]-order_data[[#This Row],[Discount]]</f>
        <v>245</v>
      </c>
      <c r="P1256">
        <f>order_data[[#This Row],[Order_Value]]+order_data[[#This Row],[Delivery_Fee]]-order_data[[#This Row],[Discount]]</f>
        <v>285</v>
      </c>
      <c r="Q1256" t="str">
        <f>TEXT(order_data[[#This Row],[Order_Date]],"mmm")</f>
        <v>Jan</v>
      </c>
      <c r="R1256">
        <f>MONTH(order_data[[#This Row],[Order_Date]])</f>
        <v>1</v>
      </c>
    </row>
    <row r="1257" spans="1:18" x14ac:dyDescent="0.35">
      <c r="A1257" t="s">
        <v>1968</v>
      </c>
      <c r="B1257" t="s">
        <v>213</v>
      </c>
      <c r="C1257" t="s">
        <v>573</v>
      </c>
      <c r="D1257" t="s">
        <v>25</v>
      </c>
      <c r="E1257" t="s">
        <v>78</v>
      </c>
      <c r="F1257" t="s">
        <v>48</v>
      </c>
      <c r="G1257" t="s">
        <v>176</v>
      </c>
      <c r="H1257">
        <v>717</v>
      </c>
      <c r="I1257">
        <v>50</v>
      </c>
      <c r="J1257">
        <v>50</v>
      </c>
      <c r="K1257" t="s">
        <v>29</v>
      </c>
      <c r="L1257">
        <v>39</v>
      </c>
      <c r="M1257" t="s">
        <v>21</v>
      </c>
      <c r="N1257">
        <f>COUNTIF(order_data[Order_ID],order_data[[#This Row],[Order_ID]])</f>
        <v>1</v>
      </c>
      <c r="O1257">
        <f>order_data[[#This Row],[Order_Value]]-order_data[[#This Row],[Discount]]</f>
        <v>667</v>
      </c>
      <c r="P1257">
        <f>order_data[[#This Row],[Order_Value]]+order_data[[#This Row],[Delivery_Fee]]-order_data[[#This Row],[Discount]]</f>
        <v>717</v>
      </c>
      <c r="Q1257" t="str">
        <f>TEXT(order_data[[#This Row],[Order_Date]],"mmm")</f>
        <v>Jan</v>
      </c>
      <c r="R1257">
        <f>MONTH(order_data[[#This Row],[Order_Date]])</f>
        <v>1</v>
      </c>
    </row>
    <row r="1258" spans="1:18" x14ac:dyDescent="0.35">
      <c r="A1258" t="s">
        <v>1969</v>
      </c>
      <c r="B1258" t="s">
        <v>186</v>
      </c>
      <c r="C1258" t="s">
        <v>1669</v>
      </c>
      <c r="D1258" t="s">
        <v>16</v>
      </c>
      <c r="E1258" t="s">
        <v>89</v>
      </c>
      <c r="F1258" t="s">
        <v>18</v>
      </c>
      <c r="G1258" t="s">
        <v>74</v>
      </c>
      <c r="H1258">
        <v>235</v>
      </c>
      <c r="I1258">
        <v>20</v>
      </c>
      <c r="J1258">
        <v>100</v>
      </c>
      <c r="K1258" t="s">
        <v>20</v>
      </c>
      <c r="L1258">
        <v>24</v>
      </c>
      <c r="M1258" t="s">
        <v>21</v>
      </c>
      <c r="N1258">
        <f>COUNTIF(order_data[Order_ID],order_data[[#This Row],[Order_ID]])</f>
        <v>1</v>
      </c>
      <c r="O1258">
        <f>order_data[[#This Row],[Order_Value]]-order_data[[#This Row],[Discount]]</f>
        <v>135</v>
      </c>
      <c r="P1258">
        <f>order_data[[#This Row],[Order_Value]]+order_data[[#This Row],[Delivery_Fee]]-order_data[[#This Row],[Discount]]</f>
        <v>155</v>
      </c>
      <c r="Q1258" t="str">
        <f>TEXT(order_data[[#This Row],[Order_Date]],"mmm")</f>
        <v>Mar</v>
      </c>
      <c r="R1258">
        <f>MONTH(order_data[[#This Row],[Order_Date]])</f>
        <v>3</v>
      </c>
    </row>
    <row r="1259" spans="1:18" x14ac:dyDescent="0.35">
      <c r="A1259" t="s">
        <v>1970</v>
      </c>
      <c r="B1259" t="s">
        <v>223</v>
      </c>
      <c r="C1259" t="s">
        <v>962</v>
      </c>
      <c r="D1259" t="s">
        <v>16</v>
      </c>
      <c r="E1259" t="s">
        <v>17</v>
      </c>
      <c r="F1259" t="s">
        <v>18</v>
      </c>
      <c r="G1259" t="s">
        <v>35</v>
      </c>
      <c r="H1259">
        <v>175</v>
      </c>
      <c r="I1259">
        <v>40</v>
      </c>
      <c r="J1259">
        <v>100</v>
      </c>
      <c r="K1259" t="s">
        <v>20</v>
      </c>
      <c r="L1259">
        <v>59</v>
      </c>
      <c r="M1259" t="s">
        <v>21</v>
      </c>
      <c r="N1259">
        <f>COUNTIF(order_data[Order_ID],order_data[[#This Row],[Order_ID]])</f>
        <v>1</v>
      </c>
      <c r="O1259">
        <f>order_data[[#This Row],[Order_Value]]-order_data[[#This Row],[Discount]]</f>
        <v>75</v>
      </c>
      <c r="P1259">
        <f>order_data[[#This Row],[Order_Value]]+order_data[[#This Row],[Delivery_Fee]]-order_data[[#This Row],[Discount]]</f>
        <v>115</v>
      </c>
      <c r="Q1259" t="str">
        <f>TEXT(order_data[[#This Row],[Order_Date]],"mmm")</f>
        <v>Mar</v>
      </c>
      <c r="R1259">
        <f>MONTH(order_data[[#This Row],[Order_Date]])</f>
        <v>3</v>
      </c>
    </row>
    <row r="1260" spans="1:18" x14ac:dyDescent="0.35">
      <c r="A1260" t="s">
        <v>1971</v>
      </c>
      <c r="B1260" t="s">
        <v>126</v>
      </c>
      <c r="C1260" t="s">
        <v>566</v>
      </c>
      <c r="D1260" t="s">
        <v>16</v>
      </c>
      <c r="E1260" t="s">
        <v>17</v>
      </c>
      <c r="F1260" t="s">
        <v>18</v>
      </c>
      <c r="G1260" t="s">
        <v>59</v>
      </c>
      <c r="H1260">
        <v>381</v>
      </c>
      <c r="I1260">
        <v>30</v>
      </c>
      <c r="J1260">
        <v>100</v>
      </c>
      <c r="K1260" t="s">
        <v>29</v>
      </c>
      <c r="L1260">
        <v>34</v>
      </c>
      <c r="M1260" t="s">
        <v>21</v>
      </c>
      <c r="N1260">
        <f>COUNTIF(order_data[Order_ID],order_data[[#This Row],[Order_ID]])</f>
        <v>1</v>
      </c>
      <c r="O1260">
        <f>order_data[[#This Row],[Order_Value]]-order_data[[#This Row],[Discount]]</f>
        <v>281</v>
      </c>
      <c r="P1260">
        <f>order_data[[#This Row],[Order_Value]]+order_data[[#This Row],[Delivery_Fee]]-order_data[[#This Row],[Discount]]</f>
        <v>311</v>
      </c>
      <c r="Q1260" t="str">
        <f>TEXT(order_data[[#This Row],[Order_Date]],"mmm")</f>
        <v>Mar</v>
      </c>
      <c r="R1260">
        <f>MONTH(order_data[[#This Row],[Order_Date]])</f>
        <v>3</v>
      </c>
    </row>
    <row r="1261" spans="1:18" x14ac:dyDescent="0.35">
      <c r="A1261" t="s">
        <v>1972</v>
      </c>
      <c r="B1261" t="s">
        <v>657</v>
      </c>
      <c r="C1261" t="s">
        <v>494</v>
      </c>
      <c r="D1261" t="s">
        <v>53</v>
      </c>
      <c r="E1261" t="s">
        <v>84</v>
      </c>
      <c r="F1261" t="s">
        <v>85</v>
      </c>
      <c r="G1261" t="s">
        <v>42</v>
      </c>
      <c r="H1261">
        <v>501</v>
      </c>
      <c r="I1261">
        <v>40</v>
      </c>
      <c r="J1261">
        <v>30</v>
      </c>
      <c r="K1261" t="s">
        <v>20</v>
      </c>
      <c r="L1261">
        <v>56</v>
      </c>
      <c r="M1261" t="s">
        <v>21</v>
      </c>
      <c r="N1261">
        <f>COUNTIF(order_data[Order_ID],order_data[[#This Row],[Order_ID]])</f>
        <v>1</v>
      </c>
      <c r="O1261">
        <f>order_data[[#This Row],[Order_Value]]-order_data[[#This Row],[Discount]]</f>
        <v>471</v>
      </c>
      <c r="P1261">
        <f>order_data[[#This Row],[Order_Value]]+order_data[[#This Row],[Delivery_Fee]]-order_data[[#This Row],[Discount]]</f>
        <v>511</v>
      </c>
      <c r="Q1261" t="str">
        <f>TEXT(order_data[[#This Row],[Order_Date]],"mmm")</f>
        <v>Jan</v>
      </c>
      <c r="R1261">
        <f>MONTH(order_data[[#This Row],[Order_Date]])</f>
        <v>1</v>
      </c>
    </row>
    <row r="1262" spans="1:18" x14ac:dyDescent="0.35">
      <c r="A1262" t="s">
        <v>1973</v>
      </c>
      <c r="B1262" t="s">
        <v>244</v>
      </c>
      <c r="C1262" t="s">
        <v>496</v>
      </c>
      <c r="D1262" t="s">
        <v>53</v>
      </c>
      <c r="E1262" t="s">
        <v>152</v>
      </c>
      <c r="F1262" t="s">
        <v>18</v>
      </c>
      <c r="G1262" t="s">
        <v>107</v>
      </c>
      <c r="H1262">
        <v>439</v>
      </c>
      <c r="I1262">
        <v>20</v>
      </c>
      <c r="J1262">
        <v>20</v>
      </c>
      <c r="K1262" t="s">
        <v>36</v>
      </c>
      <c r="L1262">
        <v>26</v>
      </c>
      <c r="M1262" t="s">
        <v>21</v>
      </c>
      <c r="N1262">
        <f>COUNTIF(order_data[Order_ID],order_data[[#This Row],[Order_ID]])</f>
        <v>1</v>
      </c>
      <c r="O1262">
        <f>order_data[[#This Row],[Order_Value]]-order_data[[#This Row],[Discount]]</f>
        <v>419</v>
      </c>
      <c r="P1262">
        <f>order_data[[#This Row],[Order_Value]]+order_data[[#This Row],[Delivery_Fee]]-order_data[[#This Row],[Discount]]</f>
        <v>439</v>
      </c>
      <c r="Q1262" t="str">
        <f>TEXT(order_data[[#This Row],[Order_Date]],"mmm")</f>
        <v>Feb</v>
      </c>
      <c r="R1262">
        <f>MONTH(order_data[[#This Row],[Order_Date]])</f>
        <v>2</v>
      </c>
    </row>
    <row r="1263" spans="1:18" x14ac:dyDescent="0.35">
      <c r="A1263" t="s">
        <v>1974</v>
      </c>
      <c r="B1263" t="s">
        <v>118</v>
      </c>
      <c r="C1263" t="s">
        <v>269</v>
      </c>
      <c r="D1263" t="s">
        <v>46</v>
      </c>
      <c r="E1263" t="s">
        <v>47</v>
      </c>
      <c r="F1263" t="s">
        <v>48</v>
      </c>
      <c r="G1263" t="s">
        <v>35</v>
      </c>
      <c r="H1263">
        <v>363</v>
      </c>
      <c r="I1263">
        <v>30</v>
      </c>
      <c r="J1263">
        <v>0</v>
      </c>
      <c r="K1263" t="s">
        <v>20</v>
      </c>
      <c r="L1263">
        <v>36</v>
      </c>
      <c r="M1263" t="s">
        <v>21</v>
      </c>
      <c r="N1263">
        <f>COUNTIF(order_data[Order_ID],order_data[[#This Row],[Order_ID]])</f>
        <v>1</v>
      </c>
      <c r="O1263">
        <f>order_data[[#This Row],[Order_Value]]-order_data[[#This Row],[Discount]]</f>
        <v>363</v>
      </c>
      <c r="P1263">
        <f>order_data[[#This Row],[Order_Value]]+order_data[[#This Row],[Delivery_Fee]]-order_data[[#This Row],[Discount]]</f>
        <v>393</v>
      </c>
      <c r="Q1263" t="str">
        <f>TEXT(order_data[[#This Row],[Order_Date]],"mmm")</f>
        <v>Mar</v>
      </c>
      <c r="R1263">
        <f>MONTH(order_data[[#This Row],[Order_Date]])</f>
        <v>3</v>
      </c>
    </row>
    <row r="1264" spans="1:18" x14ac:dyDescent="0.35">
      <c r="A1264" t="s">
        <v>1975</v>
      </c>
      <c r="B1264" t="s">
        <v>189</v>
      </c>
      <c r="C1264" t="s">
        <v>1067</v>
      </c>
      <c r="D1264" t="s">
        <v>46</v>
      </c>
      <c r="E1264" t="s">
        <v>70</v>
      </c>
      <c r="F1264" t="s">
        <v>18</v>
      </c>
      <c r="G1264" t="s">
        <v>19</v>
      </c>
      <c r="H1264">
        <v>191</v>
      </c>
      <c r="I1264">
        <v>40</v>
      </c>
      <c r="J1264">
        <v>20</v>
      </c>
      <c r="K1264" t="s">
        <v>29</v>
      </c>
      <c r="L1264">
        <v>32</v>
      </c>
      <c r="M1264" t="s">
        <v>21</v>
      </c>
      <c r="N1264">
        <f>COUNTIF(order_data[Order_ID],order_data[[#This Row],[Order_ID]])</f>
        <v>1</v>
      </c>
      <c r="O1264">
        <f>order_data[[#This Row],[Order_Value]]-order_data[[#This Row],[Discount]]</f>
        <v>171</v>
      </c>
      <c r="P1264">
        <f>order_data[[#This Row],[Order_Value]]+order_data[[#This Row],[Delivery_Fee]]-order_data[[#This Row],[Discount]]</f>
        <v>211</v>
      </c>
      <c r="Q1264" t="str">
        <f>TEXT(order_data[[#This Row],[Order_Date]],"mmm")</f>
        <v>Feb</v>
      </c>
      <c r="R1264">
        <f>MONTH(order_data[[#This Row],[Order_Date]])</f>
        <v>2</v>
      </c>
    </row>
    <row r="1265" spans="1:18" x14ac:dyDescent="0.35">
      <c r="A1265" t="s">
        <v>1976</v>
      </c>
      <c r="B1265" t="s">
        <v>32</v>
      </c>
      <c r="C1265" t="s">
        <v>1326</v>
      </c>
      <c r="D1265" t="s">
        <v>16</v>
      </c>
      <c r="E1265" t="s">
        <v>17</v>
      </c>
      <c r="F1265" t="s">
        <v>18</v>
      </c>
      <c r="G1265" t="s">
        <v>19</v>
      </c>
      <c r="H1265">
        <v>295</v>
      </c>
      <c r="I1265">
        <v>30</v>
      </c>
      <c r="J1265">
        <v>0</v>
      </c>
      <c r="K1265" t="s">
        <v>20</v>
      </c>
      <c r="L1265">
        <v>60</v>
      </c>
      <c r="M1265" t="s">
        <v>21</v>
      </c>
      <c r="N1265">
        <f>COUNTIF(order_data[Order_ID],order_data[[#This Row],[Order_ID]])</f>
        <v>1</v>
      </c>
      <c r="O1265">
        <f>order_data[[#This Row],[Order_Value]]-order_data[[#This Row],[Discount]]</f>
        <v>295</v>
      </c>
      <c r="P1265">
        <f>order_data[[#This Row],[Order_Value]]+order_data[[#This Row],[Delivery_Fee]]-order_data[[#This Row],[Discount]]</f>
        <v>325</v>
      </c>
      <c r="Q1265" t="str">
        <f>TEXT(order_data[[#This Row],[Order_Date]],"mmm")</f>
        <v>Jan</v>
      </c>
      <c r="R1265">
        <f>MONTH(order_data[[#This Row],[Order_Date]])</f>
        <v>1</v>
      </c>
    </row>
    <row r="1266" spans="1:18" x14ac:dyDescent="0.35">
      <c r="A1266" t="s">
        <v>1977</v>
      </c>
      <c r="B1266" t="s">
        <v>57</v>
      </c>
      <c r="C1266" t="s">
        <v>1978</v>
      </c>
      <c r="D1266" t="s">
        <v>53</v>
      </c>
      <c r="E1266" t="s">
        <v>152</v>
      </c>
      <c r="F1266" t="s">
        <v>18</v>
      </c>
      <c r="G1266" t="s">
        <v>42</v>
      </c>
      <c r="H1266">
        <v>245</v>
      </c>
      <c r="I1266">
        <v>20</v>
      </c>
      <c r="J1266">
        <v>0</v>
      </c>
      <c r="K1266" t="s">
        <v>36</v>
      </c>
      <c r="L1266">
        <v>48</v>
      </c>
      <c r="M1266" t="s">
        <v>21</v>
      </c>
      <c r="N1266">
        <f>COUNTIF(order_data[Order_ID],order_data[[#This Row],[Order_ID]])</f>
        <v>1</v>
      </c>
      <c r="O1266">
        <f>order_data[[#This Row],[Order_Value]]-order_data[[#This Row],[Discount]]</f>
        <v>245</v>
      </c>
      <c r="P1266">
        <f>order_data[[#This Row],[Order_Value]]+order_data[[#This Row],[Delivery_Fee]]-order_data[[#This Row],[Discount]]</f>
        <v>265</v>
      </c>
      <c r="Q1266" t="str">
        <f>TEXT(order_data[[#This Row],[Order_Date]],"mmm")</f>
        <v>Jan</v>
      </c>
      <c r="R1266">
        <f>MONTH(order_data[[#This Row],[Order_Date]])</f>
        <v>1</v>
      </c>
    </row>
    <row r="1267" spans="1:18" x14ac:dyDescent="0.35">
      <c r="A1267" t="s">
        <v>1979</v>
      </c>
      <c r="B1267" t="s">
        <v>526</v>
      </c>
      <c r="C1267" t="s">
        <v>808</v>
      </c>
      <c r="D1267" t="s">
        <v>46</v>
      </c>
      <c r="E1267" t="s">
        <v>47</v>
      </c>
      <c r="F1267" t="s">
        <v>48</v>
      </c>
      <c r="G1267" t="s">
        <v>49</v>
      </c>
      <c r="H1267">
        <v>170</v>
      </c>
      <c r="I1267">
        <v>40</v>
      </c>
      <c r="J1267">
        <v>20</v>
      </c>
      <c r="K1267" t="s">
        <v>20</v>
      </c>
      <c r="L1267">
        <v>26</v>
      </c>
      <c r="M1267" t="s">
        <v>30</v>
      </c>
      <c r="N1267">
        <f>COUNTIF(order_data[Order_ID],order_data[[#This Row],[Order_ID]])</f>
        <v>1</v>
      </c>
      <c r="O1267">
        <f>order_data[[#This Row],[Order_Value]]-order_data[[#This Row],[Discount]]</f>
        <v>150</v>
      </c>
      <c r="P1267">
        <f>order_data[[#This Row],[Order_Value]]+order_data[[#This Row],[Delivery_Fee]]-order_data[[#This Row],[Discount]]</f>
        <v>190</v>
      </c>
      <c r="Q1267" t="str">
        <f>TEXT(order_data[[#This Row],[Order_Date]],"mmm")</f>
        <v>Jan</v>
      </c>
      <c r="R1267">
        <f>MONTH(order_data[[#This Row],[Order_Date]])</f>
        <v>1</v>
      </c>
    </row>
    <row r="1268" spans="1:18" x14ac:dyDescent="0.35">
      <c r="A1268" t="s">
        <v>1980</v>
      </c>
      <c r="B1268" t="s">
        <v>57</v>
      </c>
      <c r="C1268" t="s">
        <v>854</v>
      </c>
      <c r="D1268" t="s">
        <v>53</v>
      </c>
      <c r="E1268" t="s">
        <v>152</v>
      </c>
      <c r="F1268" t="s">
        <v>18</v>
      </c>
      <c r="G1268" t="s">
        <v>176</v>
      </c>
      <c r="H1268">
        <v>768</v>
      </c>
      <c r="I1268">
        <v>40</v>
      </c>
      <c r="J1268">
        <v>20</v>
      </c>
      <c r="K1268" t="s">
        <v>29</v>
      </c>
      <c r="L1268">
        <v>27</v>
      </c>
      <c r="M1268" t="s">
        <v>21</v>
      </c>
      <c r="N1268">
        <f>COUNTIF(order_data[Order_ID],order_data[[#This Row],[Order_ID]])</f>
        <v>1</v>
      </c>
      <c r="O1268">
        <f>order_data[[#This Row],[Order_Value]]-order_data[[#This Row],[Discount]]</f>
        <v>748</v>
      </c>
      <c r="P1268">
        <f>order_data[[#This Row],[Order_Value]]+order_data[[#This Row],[Delivery_Fee]]-order_data[[#This Row],[Discount]]</f>
        <v>788</v>
      </c>
      <c r="Q1268" t="str">
        <f>TEXT(order_data[[#This Row],[Order_Date]],"mmm")</f>
        <v>Jan</v>
      </c>
      <c r="R1268">
        <f>MONTH(order_data[[#This Row],[Order_Date]])</f>
        <v>1</v>
      </c>
    </row>
    <row r="1269" spans="1:18" x14ac:dyDescent="0.35">
      <c r="A1269" t="s">
        <v>1981</v>
      </c>
      <c r="B1269" t="s">
        <v>295</v>
      </c>
      <c r="C1269" t="s">
        <v>897</v>
      </c>
      <c r="D1269" t="s">
        <v>16</v>
      </c>
      <c r="E1269" t="s">
        <v>131</v>
      </c>
      <c r="F1269" t="s">
        <v>55</v>
      </c>
      <c r="G1269" t="s">
        <v>107</v>
      </c>
      <c r="H1269">
        <v>527</v>
      </c>
      <c r="I1269">
        <v>20</v>
      </c>
      <c r="J1269">
        <v>20</v>
      </c>
      <c r="K1269" t="s">
        <v>20</v>
      </c>
      <c r="L1269">
        <v>38</v>
      </c>
      <c r="M1269" t="s">
        <v>21</v>
      </c>
      <c r="N1269">
        <f>COUNTIF(order_data[Order_ID],order_data[[#This Row],[Order_ID]])</f>
        <v>1</v>
      </c>
      <c r="O1269">
        <f>order_data[[#This Row],[Order_Value]]-order_data[[#This Row],[Discount]]</f>
        <v>507</v>
      </c>
      <c r="P1269">
        <f>order_data[[#This Row],[Order_Value]]+order_data[[#This Row],[Delivery_Fee]]-order_data[[#This Row],[Discount]]</f>
        <v>527</v>
      </c>
      <c r="Q1269" t="str">
        <f>TEXT(order_data[[#This Row],[Order_Date]],"mmm")</f>
        <v>Jan</v>
      </c>
      <c r="R1269">
        <f>MONTH(order_data[[#This Row],[Order_Date]])</f>
        <v>1</v>
      </c>
    </row>
    <row r="1270" spans="1:18" x14ac:dyDescent="0.35">
      <c r="A1270" t="s">
        <v>1982</v>
      </c>
      <c r="B1270" t="s">
        <v>102</v>
      </c>
      <c r="C1270" t="s">
        <v>940</v>
      </c>
      <c r="D1270" t="s">
        <v>46</v>
      </c>
      <c r="E1270" t="s">
        <v>148</v>
      </c>
      <c r="F1270" t="s">
        <v>27</v>
      </c>
      <c r="G1270" t="s">
        <v>35</v>
      </c>
      <c r="H1270">
        <v>603</v>
      </c>
      <c r="I1270">
        <v>50</v>
      </c>
      <c r="J1270">
        <v>20</v>
      </c>
      <c r="K1270" t="s">
        <v>20</v>
      </c>
      <c r="L1270">
        <v>44</v>
      </c>
      <c r="M1270" t="s">
        <v>21</v>
      </c>
      <c r="N1270">
        <f>COUNTIF(order_data[Order_ID],order_data[[#This Row],[Order_ID]])</f>
        <v>1</v>
      </c>
      <c r="O1270">
        <f>order_data[[#This Row],[Order_Value]]-order_data[[#This Row],[Discount]]</f>
        <v>583</v>
      </c>
      <c r="P1270">
        <f>order_data[[#This Row],[Order_Value]]+order_data[[#This Row],[Delivery_Fee]]-order_data[[#This Row],[Discount]]</f>
        <v>633</v>
      </c>
      <c r="Q1270" t="str">
        <f>TEXT(order_data[[#This Row],[Order_Date]],"mmm")</f>
        <v>Mar</v>
      </c>
      <c r="R1270">
        <f>MONTH(order_data[[#This Row],[Order_Date]])</f>
        <v>3</v>
      </c>
    </row>
    <row r="1271" spans="1:18" x14ac:dyDescent="0.35">
      <c r="A1271" t="s">
        <v>1983</v>
      </c>
      <c r="B1271" t="s">
        <v>99</v>
      </c>
      <c r="C1271" t="s">
        <v>1273</v>
      </c>
      <c r="D1271" t="s">
        <v>16</v>
      </c>
      <c r="E1271" t="s">
        <v>89</v>
      </c>
      <c r="F1271" t="s">
        <v>18</v>
      </c>
      <c r="G1271" t="s">
        <v>49</v>
      </c>
      <c r="H1271">
        <v>498</v>
      </c>
      <c r="I1271">
        <v>50</v>
      </c>
      <c r="J1271">
        <v>20</v>
      </c>
      <c r="K1271" t="s">
        <v>20</v>
      </c>
      <c r="L1271">
        <v>48</v>
      </c>
      <c r="M1271" t="s">
        <v>21</v>
      </c>
      <c r="N1271">
        <f>COUNTIF(order_data[Order_ID],order_data[[#This Row],[Order_ID]])</f>
        <v>1</v>
      </c>
      <c r="O1271">
        <f>order_data[[#This Row],[Order_Value]]-order_data[[#This Row],[Discount]]</f>
        <v>478</v>
      </c>
      <c r="P1271">
        <f>order_data[[#This Row],[Order_Value]]+order_data[[#This Row],[Delivery_Fee]]-order_data[[#This Row],[Discount]]</f>
        <v>528</v>
      </c>
      <c r="Q1271" t="str">
        <f>TEXT(order_data[[#This Row],[Order_Date]],"mmm")</f>
        <v>Mar</v>
      </c>
      <c r="R1271">
        <f>MONTH(order_data[[#This Row],[Order_Date]])</f>
        <v>3</v>
      </c>
    </row>
    <row r="1272" spans="1:18" x14ac:dyDescent="0.35">
      <c r="A1272" t="s">
        <v>1984</v>
      </c>
      <c r="B1272" t="s">
        <v>38</v>
      </c>
      <c r="C1272" t="s">
        <v>1705</v>
      </c>
      <c r="D1272" t="s">
        <v>46</v>
      </c>
      <c r="E1272" t="s">
        <v>148</v>
      </c>
      <c r="F1272" t="s">
        <v>27</v>
      </c>
      <c r="G1272" t="s">
        <v>107</v>
      </c>
      <c r="H1272">
        <v>430</v>
      </c>
      <c r="I1272">
        <v>50</v>
      </c>
      <c r="J1272">
        <v>20</v>
      </c>
      <c r="K1272" t="s">
        <v>20</v>
      </c>
      <c r="L1272">
        <v>35</v>
      </c>
      <c r="M1272" t="s">
        <v>21</v>
      </c>
      <c r="N1272">
        <f>COUNTIF(order_data[Order_ID],order_data[[#This Row],[Order_ID]])</f>
        <v>1</v>
      </c>
      <c r="O1272">
        <f>order_data[[#This Row],[Order_Value]]-order_data[[#This Row],[Discount]]</f>
        <v>410</v>
      </c>
      <c r="P1272">
        <f>order_data[[#This Row],[Order_Value]]+order_data[[#This Row],[Delivery_Fee]]-order_data[[#This Row],[Discount]]</f>
        <v>460</v>
      </c>
      <c r="Q1272" t="str">
        <f>TEXT(order_data[[#This Row],[Order_Date]],"mmm")</f>
        <v>Jan</v>
      </c>
      <c r="R1272">
        <f>MONTH(order_data[[#This Row],[Order_Date]])</f>
        <v>1</v>
      </c>
    </row>
    <row r="1273" spans="1:18" x14ac:dyDescent="0.35">
      <c r="A1273" t="s">
        <v>1985</v>
      </c>
      <c r="B1273" t="s">
        <v>513</v>
      </c>
      <c r="C1273" t="s">
        <v>1725</v>
      </c>
      <c r="D1273" t="s">
        <v>25</v>
      </c>
      <c r="E1273" t="s">
        <v>34</v>
      </c>
      <c r="F1273" t="s">
        <v>27</v>
      </c>
      <c r="G1273" t="s">
        <v>59</v>
      </c>
      <c r="H1273">
        <v>367</v>
      </c>
      <c r="I1273">
        <v>30</v>
      </c>
      <c r="J1273">
        <v>0</v>
      </c>
      <c r="K1273" t="s">
        <v>29</v>
      </c>
      <c r="L1273">
        <v>27</v>
      </c>
      <c r="M1273" t="s">
        <v>21</v>
      </c>
      <c r="N1273">
        <f>COUNTIF(order_data[Order_ID],order_data[[#This Row],[Order_ID]])</f>
        <v>1</v>
      </c>
      <c r="O1273">
        <f>order_data[[#This Row],[Order_Value]]-order_data[[#This Row],[Discount]]</f>
        <v>367</v>
      </c>
      <c r="P1273">
        <f>order_data[[#This Row],[Order_Value]]+order_data[[#This Row],[Delivery_Fee]]-order_data[[#This Row],[Discount]]</f>
        <v>397</v>
      </c>
      <c r="Q1273" t="str">
        <f>TEXT(order_data[[#This Row],[Order_Date]],"mmm")</f>
        <v>Feb</v>
      </c>
      <c r="R1273">
        <f>MONTH(order_data[[#This Row],[Order_Date]])</f>
        <v>2</v>
      </c>
    </row>
    <row r="1274" spans="1:18" x14ac:dyDescent="0.35">
      <c r="A1274" t="s">
        <v>1986</v>
      </c>
      <c r="B1274" t="s">
        <v>207</v>
      </c>
      <c r="C1274" t="s">
        <v>1850</v>
      </c>
      <c r="D1274" t="s">
        <v>46</v>
      </c>
      <c r="E1274" t="s">
        <v>47</v>
      </c>
      <c r="F1274" t="s">
        <v>48</v>
      </c>
      <c r="G1274" t="s">
        <v>59</v>
      </c>
      <c r="H1274">
        <v>447</v>
      </c>
      <c r="I1274">
        <v>50</v>
      </c>
      <c r="J1274">
        <v>20</v>
      </c>
      <c r="K1274" t="s">
        <v>36</v>
      </c>
      <c r="L1274">
        <v>21</v>
      </c>
      <c r="M1274" t="s">
        <v>30</v>
      </c>
      <c r="N1274">
        <f>COUNTIF(order_data[Order_ID],order_data[[#This Row],[Order_ID]])</f>
        <v>1</v>
      </c>
      <c r="O1274">
        <f>order_data[[#This Row],[Order_Value]]-order_data[[#This Row],[Discount]]</f>
        <v>427</v>
      </c>
      <c r="P1274">
        <f>order_data[[#This Row],[Order_Value]]+order_data[[#This Row],[Delivery_Fee]]-order_data[[#This Row],[Discount]]</f>
        <v>477</v>
      </c>
      <c r="Q1274" t="str">
        <f>TEXT(order_data[[#This Row],[Order_Date]],"mmm")</f>
        <v>Jan</v>
      </c>
      <c r="R1274">
        <f>MONTH(order_data[[#This Row],[Order_Date]])</f>
        <v>1</v>
      </c>
    </row>
    <row r="1275" spans="1:18" x14ac:dyDescent="0.35">
      <c r="A1275" t="s">
        <v>1987</v>
      </c>
      <c r="B1275" t="s">
        <v>174</v>
      </c>
      <c r="C1275" t="s">
        <v>592</v>
      </c>
      <c r="D1275" t="s">
        <v>53</v>
      </c>
      <c r="E1275" t="s">
        <v>84</v>
      </c>
      <c r="F1275" t="s">
        <v>85</v>
      </c>
      <c r="G1275" t="s">
        <v>49</v>
      </c>
      <c r="H1275">
        <v>699</v>
      </c>
      <c r="I1275">
        <v>50</v>
      </c>
      <c r="J1275">
        <v>100</v>
      </c>
      <c r="K1275" t="s">
        <v>29</v>
      </c>
      <c r="L1275">
        <v>49</v>
      </c>
      <c r="M1275" t="s">
        <v>21</v>
      </c>
      <c r="N1275">
        <f>COUNTIF(order_data[Order_ID],order_data[[#This Row],[Order_ID]])</f>
        <v>1</v>
      </c>
      <c r="O1275">
        <f>order_data[[#This Row],[Order_Value]]-order_data[[#This Row],[Discount]]</f>
        <v>599</v>
      </c>
      <c r="P1275">
        <f>order_data[[#This Row],[Order_Value]]+order_data[[#This Row],[Delivery_Fee]]-order_data[[#This Row],[Discount]]</f>
        <v>649</v>
      </c>
      <c r="Q1275" t="str">
        <f>TEXT(order_data[[#This Row],[Order_Date]],"mmm")</f>
        <v>Feb</v>
      </c>
      <c r="R1275">
        <f>MONTH(order_data[[#This Row],[Order_Date]])</f>
        <v>2</v>
      </c>
    </row>
    <row r="1276" spans="1:18" x14ac:dyDescent="0.35">
      <c r="A1276" t="s">
        <v>1988</v>
      </c>
      <c r="B1276" t="s">
        <v>286</v>
      </c>
      <c r="C1276" t="s">
        <v>489</v>
      </c>
      <c r="D1276" t="s">
        <v>16</v>
      </c>
      <c r="E1276" t="s">
        <v>131</v>
      </c>
      <c r="F1276" t="s">
        <v>55</v>
      </c>
      <c r="G1276" t="s">
        <v>42</v>
      </c>
      <c r="H1276">
        <v>179</v>
      </c>
      <c r="I1276">
        <v>40</v>
      </c>
      <c r="J1276">
        <v>50</v>
      </c>
      <c r="K1276" t="s">
        <v>36</v>
      </c>
      <c r="L1276">
        <v>56</v>
      </c>
      <c r="M1276" t="s">
        <v>21</v>
      </c>
      <c r="N1276">
        <f>COUNTIF(order_data[Order_ID],order_data[[#This Row],[Order_ID]])</f>
        <v>1</v>
      </c>
      <c r="O1276">
        <f>order_data[[#This Row],[Order_Value]]-order_data[[#This Row],[Discount]]</f>
        <v>129</v>
      </c>
      <c r="P1276">
        <f>order_data[[#This Row],[Order_Value]]+order_data[[#This Row],[Delivery_Fee]]-order_data[[#This Row],[Discount]]</f>
        <v>169</v>
      </c>
      <c r="Q1276" t="str">
        <f>TEXT(order_data[[#This Row],[Order_Date]],"mmm")</f>
        <v>Mar</v>
      </c>
      <c r="R1276">
        <f>MONTH(order_data[[#This Row],[Order_Date]])</f>
        <v>3</v>
      </c>
    </row>
    <row r="1277" spans="1:18" x14ac:dyDescent="0.35">
      <c r="A1277" t="s">
        <v>1989</v>
      </c>
      <c r="B1277" t="s">
        <v>146</v>
      </c>
      <c r="C1277" t="s">
        <v>1990</v>
      </c>
      <c r="D1277" t="s">
        <v>16</v>
      </c>
      <c r="E1277" t="s">
        <v>17</v>
      </c>
      <c r="F1277" t="s">
        <v>18</v>
      </c>
      <c r="G1277" t="s">
        <v>49</v>
      </c>
      <c r="H1277">
        <v>155</v>
      </c>
      <c r="I1277">
        <v>40</v>
      </c>
      <c r="J1277">
        <v>50</v>
      </c>
      <c r="K1277" t="s">
        <v>20</v>
      </c>
      <c r="L1277">
        <v>60</v>
      </c>
      <c r="M1277" t="s">
        <v>21</v>
      </c>
      <c r="N1277">
        <f>COUNTIF(order_data[Order_ID],order_data[[#This Row],[Order_ID]])</f>
        <v>1</v>
      </c>
      <c r="O1277">
        <f>order_data[[#This Row],[Order_Value]]-order_data[[#This Row],[Discount]]</f>
        <v>105</v>
      </c>
      <c r="P1277">
        <f>order_data[[#This Row],[Order_Value]]+order_data[[#This Row],[Delivery_Fee]]-order_data[[#This Row],[Discount]]</f>
        <v>145</v>
      </c>
      <c r="Q1277" t="str">
        <f>TEXT(order_data[[#This Row],[Order_Date]],"mmm")</f>
        <v>Feb</v>
      </c>
      <c r="R1277">
        <f>MONTH(order_data[[#This Row],[Order_Date]])</f>
        <v>2</v>
      </c>
    </row>
    <row r="1278" spans="1:18" x14ac:dyDescent="0.35">
      <c r="A1278" t="s">
        <v>1991</v>
      </c>
      <c r="B1278" t="s">
        <v>57</v>
      </c>
      <c r="C1278" t="s">
        <v>1992</v>
      </c>
      <c r="D1278" t="s">
        <v>53</v>
      </c>
      <c r="E1278" t="s">
        <v>84</v>
      </c>
      <c r="F1278" t="s">
        <v>85</v>
      </c>
      <c r="G1278" t="s">
        <v>42</v>
      </c>
      <c r="H1278">
        <v>613</v>
      </c>
      <c r="I1278">
        <v>40</v>
      </c>
      <c r="J1278">
        <v>30</v>
      </c>
      <c r="K1278" t="s">
        <v>36</v>
      </c>
      <c r="L1278">
        <v>23</v>
      </c>
      <c r="M1278" t="s">
        <v>21</v>
      </c>
      <c r="N1278">
        <f>COUNTIF(order_data[Order_ID],order_data[[#This Row],[Order_ID]])</f>
        <v>1</v>
      </c>
      <c r="O1278">
        <f>order_data[[#This Row],[Order_Value]]-order_data[[#This Row],[Discount]]</f>
        <v>583</v>
      </c>
      <c r="P1278">
        <f>order_data[[#This Row],[Order_Value]]+order_data[[#This Row],[Delivery_Fee]]-order_data[[#This Row],[Discount]]</f>
        <v>623</v>
      </c>
      <c r="Q1278" t="str">
        <f>TEXT(order_data[[#This Row],[Order_Date]],"mmm")</f>
        <v>Jan</v>
      </c>
      <c r="R1278">
        <f>MONTH(order_data[[#This Row],[Order_Date]])</f>
        <v>1</v>
      </c>
    </row>
    <row r="1279" spans="1:18" x14ac:dyDescent="0.35">
      <c r="A1279" t="s">
        <v>1993</v>
      </c>
      <c r="B1279" t="s">
        <v>91</v>
      </c>
      <c r="C1279" t="s">
        <v>596</v>
      </c>
      <c r="D1279" t="s">
        <v>53</v>
      </c>
      <c r="E1279" t="s">
        <v>152</v>
      </c>
      <c r="F1279" t="s">
        <v>18</v>
      </c>
      <c r="G1279" t="s">
        <v>74</v>
      </c>
      <c r="H1279">
        <v>347</v>
      </c>
      <c r="I1279">
        <v>20</v>
      </c>
      <c r="J1279">
        <v>100</v>
      </c>
      <c r="K1279" t="s">
        <v>36</v>
      </c>
      <c r="L1279">
        <v>50</v>
      </c>
      <c r="M1279" t="s">
        <v>21</v>
      </c>
      <c r="N1279">
        <f>COUNTIF(order_data[Order_ID],order_data[[#This Row],[Order_ID]])</f>
        <v>1</v>
      </c>
      <c r="O1279">
        <f>order_data[[#This Row],[Order_Value]]-order_data[[#This Row],[Discount]]</f>
        <v>247</v>
      </c>
      <c r="P1279">
        <f>order_data[[#This Row],[Order_Value]]+order_data[[#This Row],[Delivery_Fee]]-order_data[[#This Row],[Discount]]</f>
        <v>267</v>
      </c>
      <c r="Q1279" t="str">
        <f>TEXT(order_data[[#This Row],[Order_Date]],"mmm")</f>
        <v>Mar</v>
      </c>
      <c r="R1279">
        <f>MONTH(order_data[[#This Row],[Order_Date]])</f>
        <v>3</v>
      </c>
    </row>
    <row r="1280" spans="1:18" x14ac:dyDescent="0.35">
      <c r="A1280" t="s">
        <v>1994</v>
      </c>
      <c r="B1280" t="s">
        <v>51</v>
      </c>
      <c r="C1280" t="s">
        <v>237</v>
      </c>
      <c r="D1280" t="s">
        <v>53</v>
      </c>
      <c r="E1280" t="s">
        <v>152</v>
      </c>
      <c r="F1280" t="s">
        <v>18</v>
      </c>
      <c r="G1280" t="s">
        <v>63</v>
      </c>
      <c r="H1280">
        <v>600</v>
      </c>
      <c r="I1280">
        <v>50</v>
      </c>
      <c r="J1280">
        <v>30</v>
      </c>
      <c r="K1280" t="s">
        <v>36</v>
      </c>
      <c r="L1280">
        <v>33</v>
      </c>
      <c r="M1280" t="s">
        <v>21</v>
      </c>
      <c r="N1280">
        <f>COUNTIF(order_data[Order_ID],order_data[[#This Row],[Order_ID]])</f>
        <v>1</v>
      </c>
      <c r="O1280">
        <f>order_data[[#This Row],[Order_Value]]-order_data[[#This Row],[Discount]]</f>
        <v>570</v>
      </c>
      <c r="P1280">
        <f>order_data[[#This Row],[Order_Value]]+order_data[[#This Row],[Delivery_Fee]]-order_data[[#This Row],[Discount]]</f>
        <v>620</v>
      </c>
      <c r="Q1280" t="str">
        <f>TEXT(order_data[[#This Row],[Order_Date]],"mmm")</f>
        <v>Feb</v>
      </c>
      <c r="R1280">
        <f>MONTH(order_data[[#This Row],[Order_Date]])</f>
        <v>2</v>
      </c>
    </row>
    <row r="1281" spans="1:18" x14ac:dyDescent="0.35">
      <c r="A1281" t="s">
        <v>1995</v>
      </c>
      <c r="B1281" t="s">
        <v>393</v>
      </c>
      <c r="C1281" t="s">
        <v>555</v>
      </c>
      <c r="D1281" t="s">
        <v>16</v>
      </c>
      <c r="E1281" t="s">
        <v>89</v>
      </c>
      <c r="F1281" t="s">
        <v>18</v>
      </c>
      <c r="G1281" t="s">
        <v>74</v>
      </c>
      <c r="H1281">
        <v>571</v>
      </c>
      <c r="I1281">
        <v>50</v>
      </c>
      <c r="J1281">
        <v>0</v>
      </c>
      <c r="K1281" t="s">
        <v>36</v>
      </c>
      <c r="L1281">
        <v>33</v>
      </c>
      <c r="M1281" t="s">
        <v>21</v>
      </c>
      <c r="N1281">
        <f>COUNTIF(order_data[Order_ID],order_data[[#This Row],[Order_ID]])</f>
        <v>1</v>
      </c>
      <c r="O1281">
        <f>order_data[[#This Row],[Order_Value]]-order_data[[#This Row],[Discount]]</f>
        <v>571</v>
      </c>
      <c r="P1281">
        <f>order_data[[#This Row],[Order_Value]]+order_data[[#This Row],[Delivery_Fee]]-order_data[[#This Row],[Discount]]</f>
        <v>621</v>
      </c>
      <c r="Q1281" t="str">
        <f>TEXT(order_data[[#This Row],[Order_Date]],"mmm")</f>
        <v>Feb</v>
      </c>
      <c r="R1281">
        <f>MONTH(order_data[[#This Row],[Order_Date]])</f>
        <v>2</v>
      </c>
    </row>
    <row r="1282" spans="1:18" x14ac:dyDescent="0.35">
      <c r="A1282" t="s">
        <v>1996</v>
      </c>
      <c r="B1282" t="s">
        <v>342</v>
      </c>
      <c r="C1282" t="s">
        <v>516</v>
      </c>
      <c r="D1282" t="s">
        <v>53</v>
      </c>
      <c r="E1282" t="s">
        <v>152</v>
      </c>
      <c r="F1282" t="s">
        <v>18</v>
      </c>
      <c r="G1282" t="s">
        <v>19</v>
      </c>
      <c r="H1282">
        <v>279</v>
      </c>
      <c r="I1282">
        <v>30</v>
      </c>
      <c r="J1282">
        <v>50</v>
      </c>
      <c r="K1282" t="s">
        <v>36</v>
      </c>
      <c r="L1282">
        <v>23</v>
      </c>
      <c r="M1282" t="s">
        <v>21</v>
      </c>
      <c r="N1282">
        <f>COUNTIF(order_data[Order_ID],order_data[[#This Row],[Order_ID]])</f>
        <v>1</v>
      </c>
      <c r="O1282">
        <f>order_data[[#This Row],[Order_Value]]-order_data[[#This Row],[Discount]]</f>
        <v>229</v>
      </c>
      <c r="P1282">
        <f>order_data[[#This Row],[Order_Value]]+order_data[[#This Row],[Delivery_Fee]]-order_data[[#This Row],[Discount]]</f>
        <v>259</v>
      </c>
      <c r="Q1282" t="str">
        <f>TEXT(order_data[[#This Row],[Order_Date]],"mmm")</f>
        <v>Jan</v>
      </c>
      <c r="R1282">
        <f>MONTH(order_data[[#This Row],[Order_Date]])</f>
        <v>1</v>
      </c>
    </row>
    <row r="1283" spans="1:18" x14ac:dyDescent="0.35">
      <c r="A1283" t="s">
        <v>1997</v>
      </c>
      <c r="B1283" t="s">
        <v>432</v>
      </c>
      <c r="C1283" t="s">
        <v>1280</v>
      </c>
      <c r="D1283" t="s">
        <v>46</v>
      </c>
      <c r="E1283" t="s">
        <v>47</v>
      </c>
      <c r="F1283" t="s">
        <v>48</v>
      </c>
      <c r="G1283" t="s">
        <v>42</v>
      </c>
      <c r="H1283">
        <v>663</v>
      </c>
      <c r="I1283">
        <v>30</v>
      </c>
      <c r="J1283">
        <v>30</v>
      </c>
      <c r="K1283" t="s">
        <v>20</v>
      </c>
      <c r="L1283">
        <v>47</v>
      </c>
      <c r="M1283" t="s">
        <v>21</v>
      </c>
      <c r="N1283">
        <f>COUNTIF(order_data[Order_ID],order_data[[#This Row],[Order_ID]])</f>
        <v>1</v>
      </c>
      <c r="O1283">
        <f>order_data[[#This Row],[Order_Value]]-order_data[[#This Row],[Discount]]</f>
        <v>633</v>
      </c>
      <c r="P1283">
        <f>order_data[[#This Row],[Order_Value]]+order_data[[#This Row],[Delivery_Fee]]-order_data[[#This Row],[Discount]]</f>
        <v>663</v>
      </c>
      <c r="Q1283" t="str">
        <f>TEXT(order_data[[#This Row],[Order_Date]],"mmm")</f>
        <v>Feb</v>
      </c>
      <c r="R1283">
        <f>MONTH(order_data[[#This Row],[Order_Date]])</f>
        <v>2</v>
      </c>
    </row>
    <row r="1284" spans="1:18" x14ac:dyDescent="0.35">
      <c r="A1284" t="s">
        <v>1998</v>
      </c>
      <c r="B1284" t="s">
        <v>657</v>
      </c>
      <c r="C1284" t="s">
        <v>710</v>
      </c>
      <c r="D1284" t="s">
        <v>53</v>
      </c>
      <c r="E1284" t="s">
        <v>84</v>
      </c>
      <c r="F1284" t="s">
        <v>85</v>
      </c>
      <c r="G1284" t="s">
        <v>28</v>
      </c>
      <c r="H1284">
        <v>650</v>
      </c>
      <c r="I1284">
        <v>40</v>
      </c>
      <c r="J1284">
        <v>0</v>
      </c>
      <c r="K1284" t="s">
        <v>29</v>
      </c>
      <c r="L1284">
        <v>56</v>
      </c>
      <c r="M1284" t="s">
        <v>21</v>
      </c>
      <c r="N1284">
        <f>COUNTIF(order_data[Order_ID],order_data[[#This Row],[Order_ID]])</f>
        <v>1</v>
      </c>
      <c r="O1284">
        <f>order_data[[#This Row],[Order_Value]]-order_data[[#This Row],[Discount]]</f>
        <v>650</v>
      </c>
      <c r="P1284">
        <f>order_data[[#This Row],[Order_Value]]+order_data[[#This Row],[Delivery_Fee]]-order_data[[#This Row],[Discount]]</f>
        <v>690</v>
      </c>
      <c r="Q1284" t="str">
        <f>TEXT(order_data[[#This Row],[Order_Date]],"mmm")</f>
        <v>Jan</v>
      </c>
      <c r="R1284">
        <f>MONTH(order_data[[#This Row],[Order_Date]])</f>
        <v>1</v>
      </c>
    </row>
    <row r="1285" spans="1:18" x14ac:dyDescent="0.35">
      <c r="A1285" t="s">
        <v>1999</v>
      </c>
      <c r="B1285" t="s">
        <v>143</v>
      </c>
      <c r="C1285" t="s">
        <v>278</v>
      </c>
      <c r="D1285" t="s">
        <v>53</v>
      </c>
      <c r="E1285" t="s">
        <v>152</v>
      </c>
      <c r="F1285" t="s">
        <v>18</v>
      </c>
      <c r="G1285" t="s">
        <v>49</v>
      </c>
      <c r="H1285">
        <v>162</v>
      </c>
      <c r="I1285">
        <v>20</v>
      </c>
      <c r="J1285">
        <v>30</v>
      </c>
      <c r="K1285" t="s">
        <v>20</v>
      </c>
      <c r="L1285">
        <v>49</v>
      </c>
      <c r="M1285" t="s">
        <v>21</v>
      </c>
      <c r="N1285">
        <f>COUNTIF(order_data[Order_ID],order_data[[#This Row],[Order_ID]])</f>
        <v>1</v>
      </c>
      <c r="O1285">
        <f>order_data[[#This Row],[Order_Value]]-order_data[[#This Row],[Discount]]</f>
        <v>132</v>
      </c>
      <c r="P1285">
        <f>order_data[[#This Row],[Order_Value]]+order_data[[#This Row],[Delivery_Fee]]-order_data[[#This Row],[Discount]]</f>
        <v>152</v>
      </c>
      <c r="Q1285" t="str">
        <f>TEXT(order_data[[#This Row],[Order_Date]],"mmm")</f>
        <v>Feb</v>
      </c>
      <c r="R1285">
        <f>MONTH(order_data[[#This Row],[Order_Date]])</f>
        <v>2</v>
      </c>
    </row>
    <row r="1286" spans="1:18" x14ac:dyDescent="0.35">
      <c r="A1286" t="s">
        <v>2000</v>
      </c>
      <c r="B1286" t="s">
        <v>146</v>
      </c>
      <c r="C1286" t="s">
        <v>638</v>
      </c>
      <c r="D1286" t="s">
        <v>25</v>
      </c>
      <c r="E1286" t="s">
        <v>34</v>
      </c>
      <c r="F1286" t="s">
        <v>27</v>
      </c>
      <c r="G1286" t="s">
        <v>59</v>
      </c>
      <c r="H1286">
        <v>748</v>
      </c>
      <c r="I1286">
        <v>20</v>
      </c>
      <c r="J1286">
        <v>0</v>
      </c>
      <c r="K1286" t="s">
        <v>29</v>
      </c>
      <c r="L1286">
        <v>40</v>
      </c>
      <c r="M1286" t="s">
        <v>21</v>
      </c>
      <c r="N1286">
        <f>COUNTIF(order_data[Order_ID],order_data[[#This Row],[Order_ID]])</f>
        <v>1</v>
      </c>
      <c r="O1286">
        <f>order_data[[#This Row],[Order_Value]]-order_data[[#This Row],[Discount]]</f>
        <v>748</v>
      </c>
      <c r="P1286">
        <f>order_data[[#This Row],[Order_Value]]+order_data[[#This Row],[Delivery_Fee]]-order_data[[#This Row],[Discount]]</f>
        <v>768</v>
      </c>
      <c r="Q1286" t="str">
        <f>TEXT(order_data[[#This Row],[Order_Date]],"mmm")</f>
        <v>Feb</v>
      </c>
      <c r="R1286">
        <f>MONTH(order_data[[#This Row],[Order_Date]])</f>
        <v>2</v>
      </c>
    </row>
    <row r="1287" spans="1:18" x14ac:dyDescent="0.35">
      <c r="A1287" t="s">
        <v>2001</v>
      </c>
      <c r="B1287" t="s">
        <v>562</v>
      </c>
      <c r="C1287" t="s">
        <v>116</v>
      </c>
      <c r="D1287" t="s">
        <v>16</v>
      </c>
      <c r="E1287" t="s">
        <v>131</v>
      </c>
      <c r="F1287" t="s">
        <v>55</v>
      </c>
      <c r="G1287" t="s">
        <v>42</v>
      </c>
      <c r="H1287">
        <v>375</v>
      </c>
      <c r="I1287">
        <v>40</v>
      </c>
      <c r="J1287">
        <v>0</v>
      </c>
      <c r="K1287" t="s">
        <v>29</v>
      </c>
      <c r="L1287">
        <v>36</v>
      </c>
      <c r="M1287" t="s">
        <v>21</v>
      </c>
      <c r="N1287">
        <f>COUNTIF(order_data[Order_ID],order_data[[#This Row],[Order_ID]])</f>
        <v>1</v>
      </c>
      <c r="O1287">
        <f>order_data[[#This Row],[Order_Value]]-order_data[[#This Row],[Discount]]</f>
        <v>375</v>
      </c>
      <c r="P1287">
        <f>order_data[[#This Row],[Order_Value]]+order_data[[#This Row],[Delivery_Fee]]-order_data[[#This Row],[Discount]]</f>
        <v>415</v>
      </c>
      <c r="Q1287" t="str">
        <f>TEXT(order_data[[#This Row],[Order_Date]],"mmm")</f>
        <v>Feb</v>
      </c>
      <c r="R1287">
        <f>MONTH(order_data[[#This Row],[Order_Date]])</f>
        <v>2</v>
      </c>
    </row>
    <row r="1288" spans="1:18" x14ac:dyDescent="0.35">
      <c r="A1288" t="s">
        <v>2002</v>
      </c>
      <c r="B1288" t="s">
        <v>113</v>
      </c>
      <c r="C1288" t="s">
        <v>337</v>
      </c>
      <c r="D1288" t="s">
        <v>40</v>
      </c>
      <c r="E1288" t="s">
        <v>41</v>
      </c>
      <c r="F1288" t="s">
        <v>27</v>
      </c>
      <c r="G1288" t="s">
        <v>35</v>
      </c>
      <c r="H1288">
        <v>677</v>
      </c>
      <c r="I1288">
        <v>20</v>
      </c>
      <c r="J1288">
        <v>100</v>
      </c>
      <c r="K1288" t="s">
        <v>36</v>
      </c>
      <c r="L1288">
        <v>24</v>
      </c>
      <c r="M1288" t="s">
        <v>21</v>
      </c>
      <c r="N1288">
        <f>COUNTIF(order_data[Order_ID],order_data[[#This Row],[Order_ID]])</f>
        <v>1</v>
      </c>
      <c r="O1288">
        <f>order_data[[#This Row],[Order_Value]]-order_data[[#This Row],[Discount]]</f>
        <v>577</v>
      </c>
      <c r="P1288">
        <f>order_data[[#This Row],[Order_Value]]+order_data[[#This Row],[Delivery_Fee]]-order_data[[#This Row],[Discount]]</f>
        <v>597</v>
      </c>
      <c r="Q1288" t="str">
        <f>TEXT(order_data[[#This Row],[Order_Date]],"mmm")</f>
        <v>Mar</v>
      </c>
      <c r="R1288">
        <f>MONTH(order_data[[#This Row],[Order_Date]])</f>
        <v>3</v>
      </c>
    </row>
    <row r="1289" spans="1:18" x14ac:dyDescent="0.35">
      <c r="A1289" t="s">
        <v>2003</v>
      </c>
      <c r="B1289" t="s">
        <v>96</v>
      </c>
      <c r="C1289" t="s">
        <v>409</v>
      </c>
      <c r="D1289" t="s">
        <v>46</v>
      </c>
      <c r="E1289" t="s">
        <v>47</v>
      </c>
      <c r="F1289" t="s">
        <v>48</v>
      </c>
      <c r="G1289" t="s">
        <v>63</v>
      </c>
      <c r="H1289">
        <v>511</v>
      </c>
      <c r="I1289">
        <v>50</v>
      </c>
      <c r="J1289">
        <v>0</v>
      </c>
      <c r="K1289" t="s">
        <v>29</v>
      </c>
      <c r="L1289">
        <v>33</v>
      </c>
      <c r="M1289" t="s">
        <v>21</v>
      </c>
      <c r="N1289">
        <f>COUNTIF(order_data[Order_ID],order_data[[#This Row],[Order_ID]])</f>
        <v>1</v>
      </c>
      <c r="O1289">
        <f>order_data[[#This Row],[Order_Value]]-order_data[[#This Row],[Discount]]</f>
        <v>511</v>
      </c>
      <c r="P1289">
        <f>order_data[[#This Row],[Order_Value]]+order_data[[#This Row],[Delivery_Fee]]-order_data[[#This Row],[Discount]]</f>
        <v>561</v>
      </c>
      <c r="Q1289" t="str">
        <f>TEXT(order_data[[#This Row],[Order_Date]],"mmm")</f>
        <v>Mar</v>
      </c>
      <c r="R1289">
        <f>MONTH(order_data[[#This Row],[Order_Date]])</f>
        <v>3</v>
      </c>
    </row>
    <row r="1290" spans="1:18" x14ac:dyDescent="0.35">
      <c r="A1290" t="s">
        <v>2004</v>
      </c>
      <c r="B1290" t="s">
        <v>541</v>
      </c>
      <c r="C1290" t="s">
        <v>2005</v>
      </c>
      <c r="D1290" t="s">
        <v>53</v>
      </c>
      <c r="E1290" t="s">
        <v>152</v>
      </c>
      <c r="F1290" t="s">
        <v>18</v>
      </c>
      <c r="G1290" t="s">
        <v>59</v>
      </c>
      <c r="H1290">
        <v>184</v>
      </c>
      <c r="I1290">
        <v>50</v>
      </c>
      <c r="J1290">
        <v>20</v>
      </c>
      <c r="K1290" t="s">
        <v>20</v>
      </c>
      <c r="L1290">
        <v>38</v>
      </c>
      <c r="M1290" t="s">
        <v>21</v>
      </c>
      <c r="N1290">
        <f>COUNTIF(order_data[Order_ID],order_data[[#This Row],[Order_ID]])</f>
        <v>1</v>
      </c>
      <c r="O1290">
        <f>order_data[[#This Row],[Order_Value]]-order_data[[#This Row],[Discount]]</f>
        <v>164</v>
      </c>
      <c r="P1290">
        <f>order_data[[#This Row],[Order_Value]]+order_data[[#This Row],[Delivery_Fee]]-order_data[[#This Row],[Discount]]</f>
        <v>214</v>
      </c>
      <c r="Q1290" t="str">
        <f>TEXT(order_data[[#This Row],[Order_Date]],"mmm")</f>
        <v>Jan</v>
      </c>
      <c r="R1290">
        <f>MONTH(order_data[[#This Row],[Order_Date]])</f>
        <v>1</v>
      </c>
    </row>
    <row r="1291" spans="1:18" x14ac:dyDescent="0.35">
      <c r="A1291" t="s">
        <v>2006</v>
      </c>
      <c r="B1291" t="s">
        <v>51</v>
      </c>
      <c r="C1291" t="s">
        <v>320</v>
      </c>
      <c r="D1291" t="s">
        <v>16</v>
      </c>
      <c r="E1291" t="s">
        <v>17</v>
      </c>
      <c r="F1291" t="s">
        <v>18</v>
      </c>
      <c r="G1291" t="s">
        <v>28</v>
      </c>
      <c r="H1291">
        <v>403</v>
      </c>
      <c r="I1291">
        <v>20</v>
      </c>
      <c r="J1291">
        <v>100</v>
      </c>
      <c r="K1291" t="s">
        <v>20</v>
      </c>
      <c r="L1291">
        <v>24</v>
      </c>
      <c r="M1291" t="s">
        <v>21</v>
      </c>
      <c r="N1291">
        <f>COUNTIF(order_data[Order_ID],order_data[[#This Row],[Order_ID]])</f>
        <v>1</v>
      </c>
      <c r="O1291">
        <f>order_data[[#This Row],[Order_Value]]-order_data[[#This Row],[Discount]]</f>
        <v>303</v>
      </c>
      <c r="P1291">
        <f>order_data[[#This Row],[Order_Value]]+order_data[[#This Row],[Delivery_Fee]]-order_data[[#This Row],[Discount]]</f>
        <v>323</v>
      </c>
      <c r="Q1291" t="str">
        <f>TEXT(order_data[[#This Row],[Order_Date]],"mmm")</f>
        <v>Feb</v>
      </c>
      <c r="R1291">
        <f>MONTH(order_data[[#This Row],[Order_Date]])</f>
        <v>2</v>
      </c>
    </row>
    <row r="1292" spans="1:18" x14ac:dyDescent="0.35">
      <c r="A1292" t="s">
        <v>2007</v>
      </c>
      <c r="B1292" t="s">
        <v>121</v>
      </c>
      <c r="C1292" t="s">
        <v>734</v>
      </c>
      <c r="D1292" t="s">
        <v>25</v>
      </c>
      <c r="E1292" t="s">
        <v>78</v>
      </c>
      <c r="F1292" t="s">
        <v>48</v>
      </c>
      <c r="G1292" t="s">
        <v>107</v>
      </c>
      <c r="H1292">
        <v>566</v>
      </c>
      <c r="I1292">
        <v>40</v>
      </c>
      <c r="J1292">
        <v>20</v>
      </c>
      <c r="K1292" t="s">
        <v>36</v>
      </c>
      <c r="L1292">
        <v>27</v>
      </c>
      <c r="M1292" t="s">
        <v>21</v>
      </c>
      <c r="N1292">
        <f>COUNTIF(order_data[Order_ID],order_data[[#This Row],[Order_ID]])</f>
        <v>1</v>
      </c>
      <c r="O1292">
        <f>order_data[[#This Row],[Order_Value]]-order_data[[#This Row],[Discount]]</f>
        <v>546</v>
      </c>
      <c r="P1292">
        <f>order_data[[#This Row],[Order_Value]]+order_data[[#This Row],[Delivery_Fee]]-order_data[[#This Row],[Discount]]</f>
        <v>586</v>
      </c>
      <c r="Q1292" t="str">
        <f>TEXT(order_data[[#This Row],[Order_Date]],"mmm")</f>
        <v>Feb</v>
      </c>
      <c r="R1292">
        <f>MONTH(order_data[[#This Row],[Order_Date]])</f>
        <v>2</v>
      </c>
    </row>
    <row r="1293" spans="1:18" x14ac:dyDescent="0.35">
      <c r="A1293" t="s">
        <v>2008</v>
      </c>
      <c r="B1293" t="s">
        <v>91</v>
      </c>
      <c r="C1293" t="s">
        <v>2009</v>
      </c>
      <c r="D1293" t="s">
        <v>46</v>
      </c>
      <c r="E1293" t="s">
        <v>47</v>
      </c>
      <c r="F1293" t="s">
        <v>48</v>
      </c>
      <c r="G1293" t="s">
        <v>42</v>
      </c>
      <c r="H1293">
        <v>654</v>
      </c>
      <c r="I1293">
        <v>30</v>
      </c>
      <c r="J1293">
        <v>0</v>
      </c>
      <c r="K1293" t="s">
        <v>29</v>
      </c>
      <c r="L1293">
        <v>55</v>
      </c>
      <c r="M1293" t="s">
        <v>21</v>
      </c>
      <c r="N1293">
        <f>COUNTIF(order_data[Order_ID],order_data[[#This Row],[Order_ID]])</f>
        <v>1</v>
      </c>
      <c r="O1293">
        <f>order_data[[#This Row],[Order_Value]]-order_data[[#This Row],[Discount]]</f>
        <v>654</v>
      </c>
      <c r="P1293">
        <f>order_data[[#This Row],[Order_Value]]+order_data[[#This Row],[Delivery_Fee]]-order_data[[#This Row],[Discount]]</f>
        <v>684</v>
      </c>
      <c r="Q1293" t="str">
        <f>TEXT(order_data[[#This Row],[Order_Date]],"mmm")</f>
        <v>Mar</v>
      </c>
      <c r="R1293">
        <f>MONTH(order_data[[#This Row],[Order_Date]])</f>
        <v>3</v>
      </c>
    </row>
    <row r="1294" spans="1:18" x14ac:dyDescent="0.35">
      <c r="A1294" t="s">
        <v>2010</v>
      </c>
      <c r="B1294" t="s">
        <v>91</v>
      </c>
      <c r="C1294" t="s">
        <v>1514</v>
      </c>
      <c r="D1294" t="s">
        <v>53</v>
      </c>
      <c r="E1294" t="s">
        <v>152</v>
      </c>
      <c r="F1294" t="s">
        <v>18</v>
      </c>
      <c r="G1294" t="s">
        <v>63</v>
      </c>
      <c r="H1294">
        <v>170</v>
      </c>
      <c r="I1294">
        <v>20</v>
      </c>
      <c r="J1294">
        <v>20</v>
      </c>
      <c r="K1294" t="s">
        <v>29</v>
      </c>
      <c r="L1294">
        <v>34</v>
      </c>
      <c r="M1294" t="s">
        <v>21</v>
      </c>
      <c r="N1294">
        <f>COUNTIF(order_data[Order_ID],order_data[[#This Row],[Order_ID]])</f>
        <v>1</v>
      </c>
      <c r="O1294">
        <f>order_data[[#This Row],[Order_Value]]-order_data[[#This Row],[Discount]]</f>
        <v>150</v>
      </c>
      <c r="P1294">
        <f>order_data[[#This Row],[Order_Value]]+order_data[[#This Row],[Delivery_Fee]]-order_data[[#This Row],[Discount]]</f>
        <v>170</v>
      </c>
      <c r="Q1294" t="str">
        <f>TEXT(order_data[[#This Row],[Order_Date]],"mmm")</f>
        <v>Mar</v>
      </c>
      <c r="R1294">
        <f>MONTH(order_data[[#This Row],[Order_Date]])</f>
        <v>3</v>
      </c>
    </row>
    <row r="1295" spans="1:18" x14ac:dyDescent="0.35">
      <c r="A1295" t="s">
        <v>2011</v>
      </c>
      <c r="B1295" t="s">
        <v>51</v>
      </c>
      <c r="C1295" t="s">
        <v>1141</v>
      </c>
      <c r="D1295" t="s">
        <v>46</v>
      </c>
      <c r="E1295" t="s">
        <v>148</v>
      </c>
      <c r="F1295" t="s">
        <v>27</v>
      </c>
      <c r="G1295" t="s">
        <v>59</v>
      </c>
      <c r="H1295">
        <v>603</v>
      </c>
      <c r="I1295">
        <v>50</v>
      </c>
      <c r="J1295">
        <v>30</v>
      </c>
      <c r="K1295" t="s">
        <v>36</v>
      </c>
      <c r="L1295">
        <v>50</v>
      </c>
      <c r="M1295" t="s">
        <v>21</v>
      </c>
      <c r="N1295">
        <f>COUNTIF(order_data[Order_ID],order_data[[#This Row],[Order_ID]])</f>
        <v>1</v>
      </c>
      <c r="O1295">
        <f>order_data[[#This Row],[Order_Value]]-order_data[[#This Row],[Discount]]</f>
        <v>573</v>
      </c>
      <c r="P1295">
        <f>order_data[[#This Row],[Order_Value]]+order_data[[#This Row],[Delivery_Fee]]-order_data[[#This Row],[Discount]]</f>
        <v>623</v>
      </c>
      <c r="Q1295" t="str">
        <f>TEXT(order_data[[#This Row],[Order_Date]],"mmm")</f>
        <v>Feb</v>
      </c>
      <c r="R1295">
        <f>MONTH(order_data[[#This Row],[Order_Date]])</f>
        <v>2</v>
      </c>
    </row>
    <row r="1296" spans="1:18" x14ac:dyDescent="0.35">
      <c r="A1296" t="s">
        <v>2012</v>
      </c>
      <c r="B1296" t="s">
        <v>87</v>
      </c>
      <c r="C1296" t="s">
        <v>1495</v>
      </c>
      <c r="D1296" t="s">
        <v>40</v>
      </c>
      <c r="E1296" t="s">
        <v>111</v>
      </c>
      <c r="F1296" t="s">
        <v>18</v>
      </c>
      <c r="G1296" t="s">
        <v>28</v>
      </c>
      <c r="H1296">
        <v>224</v>
      </c>
      <c r="I1296">
        <v>50</v>
      </c>
      <c r="J1296">
        <v>100</v>
      </c>
      <c r="K1296" t="s">
        <v>36</v>
      </c>
      <c r="L1296">
        <v>53</v>
      </c>
      <c r="M1296" t="s">
        <v>21</v>
      </c>
      <c r="N1296">
        <f>COUNTIF(order_data[Order_ID],order_data[[#This Row],[Order_ID]])</f>
        <v>1</v>
      </c>
      <c r="O1296">
        <f>order_data[[#This Row],[Order_Value]]-order_data[[#This Row],[Discount]]</f>
        <v>124</v>
      </c>
      <c r="P1296">
        <f>order_data[[#This Row],[Order_Value]]+order_data[[#This Row],[Delivery_Fee]]-order_data[[#This Row],[Discount]]</f>
        <v>174</v>
      </c>
      <c r="Q1296" t="str">
        <f>TEXT(order_data[[#This Row],[Order_Date]],"mmm")</f>
        <v>Jan</v>
      </c>
      <c r="R1296">
        <f>MONTH(order_data[[#This Row],[Order_Date]])</f>
        <v>1</v>
      </c>
    </row>
    <row r="1297" spans="1:18" x14ac:dyDescent="0.35">
      <c r="A1297" t="s">
        <v>2013</v>
      </c>
      <c r="B1297" t="s">
        <v>96</v>
      </c>
      <c r="C1297" t="s">
        <v>1168</v>
      </c>
      <c r="D1297" t="s">
        <v>46</v>
      </c>
      <c r="E1297" t="s">
        <v>47</v>
      </c>
      <c r="F1297" t="s">
        <v>48</v>
      </c>
      <c r="G1297" t="s">
        <v>74</v>
      </c>
      <c r="H1297">
        <v>442</v>
      </c>
      <c r="I1297">
        <v>50</v>
      </c>
      <c r="J1297">
        <v>0</v>
      </c>
      <c r="K1297" t="s">
        <v>29</v>
      </c>
      <c r="L1297">
        <v>57</v>
      </c>
      <c r="M1297" t="s">
        <v>21</v>
      </c>
      <c r="N1297">
        <f>COUNTIF(order_data[Order_ID],order_data[[#This Row],[Order_ID]])</f>
        <v>1</v>
      </c>
      <c r="O1297">
        <f>order_data[[#This Row],[Order_Value]]-order_data[[#This Row],[Discount]]</f>
        <v>442</v>
      </c>
      <c r="P1297">
        <f>order_data[[#This Row],[Order_Value]]+order_data[[#This Row],[Delivery_Fee]]-order_data[[#This Row],[Discount]]</f>
        <v>492</v>
      </c>
      <c r="Q1297" t="str">
        <f>TEXT(order_data[[#This Row],[Order_Date]],"mmm")</f>
        <v>Mar</v>
      </c>
      <c r="R1297">
        <f>MONTH(order_data[[#This Row],[Order_Date]])</f>
        <v>3</v>
      </c>
    </row>
    <row r="1298" spans="1:18" x14ac:dyDescent="0.35">
      <c r="A1298" t="s">
        <v>2014</v>
      </c>
      <c r="B1298" t="s">
        <v>32</v>
      </c>
      <c r="C1298" t="s">
        <v>506</v>
      </c>
      <c r="D1298" t="s">
        <v>53</v>
      </c>
      <c r="E1298" t="s">
        <v>54</v>
      </c>
      <c r="F1298" t="s">
        <v>55</v>
      </c>
      <c r="G1298" t="s">
        <v>49</v>
      </c>
      <c r="H1298">
        <v>175</v>
      </c>
      <c r="I1298">
        <v>50</v>
      </c>
      <c r="J1298">
        <v>100</v>
      </c>
      <c r="K1298" t="s">
        <v>20</v>
      </c>
      <c r="L1298">
        <v>55</v>
      </c>
      <c r="M1298" t="s">
        <v>30</v>
      </c>
      <c r="N1298">
        <f>COUNTIF(order_data[Order_ID],order_data[[#This Row],[Order_ID]])</f>
        <v>1</v>
      </c>
      <c r="O1298">
        <f>order_data[[#This Row],[Order_Value]]-order_data[[#This Row],[Discount]]</f>
        <v>75</v>
      </c>
      <c r="P1298">
        <f>order_data[[#This Row],[Order_Value]]+order_data[[#This Row],[Delivery_Fee]]-order_data[[#This Row],[Discount]]</f>
        <v>125</v>
      </c>
      <c r="Q1298" t="str">
        <f>TEXT(order_data[[#This Row],[Order_Date]],"mmm")</f>
        <v>Jan</v>
      </c>
      <c r="R1298">
        <f>MONTH(order_data[[#This Row],[Order_Date]])</f>
        <v>1</v>
      </c>
    </row>
    <row r="1299" spans="1:18" x14ac:dyDescent="0.35">
      <c r="A1299" t="s">
        <v>2015</v>
      </c>
      <c r="B1299" t="s">
        <v>189</v>
      </c>
      <c r="C1299" t="s">
        <v>1450</v>
      </c>
      <c r="D1299" t="s">
        <v>40</v>
      </c>
      <c r="E1299" t="s">
        <v>67</v>
      </c>
      <c r="F1299" t="s">
        <v>48</v>
      </c>
      <c r="G1299" t="s">
        <v>74</v>
      </c>
      <c r="H1299">
        <v>642</v>
      </c>
      <c r="I1299">
        <v>40</v>
      </c>
      <c r="J1299">
        <v>0</v>
      </c>
      <c r="K1299" t="s">
        <v>29</v>
      </c>
      <c r="L1299">
        <v>31</v>
      </c>
      <c r="M1299" t="s">
        <v>30</v>
      </c>
      <c r="N1299">
        <f>COUNTIF(order_data[Order_ID],order_data[[#This Row],[Order_ID]])</f>
        <v>1</v>
      </c>
      <c r="O1299">
        <f>order_data[[#This Row],[Order_Value]]-order_data[[#This Row],[Discount]]</f>
        <v>642</v>
      </c>
      <c r="P1299">
        <f>order_data[[#This Row],[Order_Value]]+order_data[[#This Row],[Delivery_Fee]]-order_data[[#This Row],[Discount]]</f>
        <v>682</v>
      </c>
      <c r="Q1299" t="str">
        <f>TEXT(order_data[[#This Row],[Order_Date]],"mmm")</f>
        <v>Feb</v>
      </c>
      <c r="R1299">
        <f>MONTH(order_data[[#This Row],[Order_Date]])</f>
        <v>2</v>
      </c>
    </row>
    <row r="1300" spans="1:18" x14ac:dyDescent="0.35">
      <c r="A1300" t="s">
        <v>2016</v>
      </c>
      <c r="B1300" t="s">
        <v>102</v>
      </c>
      <c r="C1300" t="s">
        <v>715</v>
      </c>
      <c r="D1300" t="s">
        <v>25</v>
      </c>
      <c r="E1300" t="s">
        <v>78</v>
      </c>
      <c r="F1300" t="s">
        <v>48</v>
      </c>
      <c r="G1300" t="s">
        <v>19</v>
      </c>
      <c r="H1300">
        <v>569</v>
      </c>
      <c r="I1300">
        <v>40</v>
      </c>
      <c r="J1300">
        <v>20</v>
      </c>
      <c r="K1300" t="s">
        <v>20</v>
      </c>
      <c r="L1300">
        <v>26</v>
      </c>
      <c r="M1300" t="s">
        <v>21</v>
      </c>
      <c r="N1300">
        <f>COUNTIF(order_data[Order_ID],order_data[[#This Row],[Order_ID]])</f>
        <v>1</v>
      </c>
      <c r="O1300">
        <f>order_data[[#This Row],[Order_Value]]-order_data[[#This Row],[Discount]]</f>
        <v>549</v>
      </c>
      <c r="P1300">
        <f>order_data[[#This Row],[Order_Value]]+order_data[[#This Row],[Delivery_Fee]]-order_data[[#This Row],[Discount]]</f>
        <v>589</v>
      </c>
      <c r="Q1300" t="str">
        <f>TEXT(order_data[[#This Row],[Order_Date]],"mmm")</f>
        <v>Mar</v>
      </c>
      <c r="R1300">
        <f>MONTH(order_data[[#This Row],[Order_Date]])</f>
        <v>3</v>
      </c>
    </row>
    <row r="1301" spans="1:18" x14ac:dyDescent="0.35">
      <c r="A1301" t="s">
        <v>2017</v>
      </c>
      <c r="B1301" t="s">
        <v>113</v>
      </c>
      <c r="C1301" t="s">
        <v>1410</v>
      </c>
      <c r="D1301" t="s">
        <v>53</v>
      </c>
      <c r="E1301" t="s">
        <v>152</v>
      </c>
      <c r="F1301" t="s">
        <v>18</v>
      </c>
      <c r="G1301" t="s">
        <v>35</v>
      </c>
      <c r="H1301">
        <v>735</v>
      </c>
      <c r="I1301">
        <v>30</v>
      </c>
      <c r="J1301">
        <v>30</v>
      </c>
      <c r="K1301" t="s">
        <v>29</v>
      </c>
      <c r="L1301">
        <v>31</v>
      </c>
      <c r="M1301" t="s">
        <v>21</v>
      </c>
      <c r="N1301">
        <f>COUNTIF(order_data[Order_ID],order_data[[#This Row],[Order_ID]])</f>
        <v>1</v>
      </c>
      <c r="O1301">
        <f>order_data[[#This Row],[Order_Value]]-order_data[[#This Row],[Discount]]</f>
        <v>705</v>
      </c>
      <c r="P1301">
        <f>order_data[[#This Row],[Order_Value]]+order_data[[#This Row],[Delivery_Fee]]-order_data[[#This Row],[Discount]]</f>
        <v>735</v>
      </c>
      <c r="Q1301" t="str">
        <f>TEXT(order_data[[#This Row],[Order_Date]],"mmm")</f>
        <v>Mar</v>
      </c>
      <c r="R1301">
        <f>MONTH(order_data[[#This Row],[Order_Date]])</f>
        <v>3</v>
      </c>
    </row>
    <row r="1302" spans="1:18" x14ac:dyDescent="0.35">
      <c r="A1302" t="s">
        <v>2018</v>
      </c>
      <c r="B1302" t="s">
        <v>44</v>
      </c>
      <c r="C1302" t="s">
        <v>396</v>
      </c>
      <c r="D1302" t="s">
        <v>25</v>
      </c>
      <c r="E1302" t="s">
        <v>34</v>
      </c>
      <c r="F1302" t="s">
        <v>27</v>
      </c>
      <c r="G1302" t="s">
        <v>74</v>
      </c>
      <c r="H1302">
        <v>710</v>
      </c>
      <c r="I1302">
        <v>40</v>
      </c>
      <c r="J1302">
        <v>0</v>
      </c>
      <c r="K1302" t="s">
        <v>20</v>
      </c>
      <c r="L1302">
        <v>30</v>
      </c>
      <c r="M1302" t="s">
        <v>21</v>
      </c>
      <c r="N1302">
        <f>COUNTIF(order_data[Order_ID],order_data[[#This Row],[Order_ID]])</f>
        <v>1</v>
      </c>
      <c r="O1302">
        <f>order_data[[#This Row],[Order_Value]]-order_data[[#This Row],[Discount]]</f>
        <v>710</v>
      </c>
      <c r="P1302">
        <f>order_data[[#This Row],[Order_Value]]+order_data[[#This Row],[Delivery_Fee]]-order_data[[#This Row],[Discount]]</f>
        <v>750</v>
      </c>
      <c r="Q1302" t="str">
        <f>TEXT(order_data[[#This Row],[Order_Date]],"mmm")</f>
        <v>Jan</v>
      </c>
      <c r="R1302">
        <f>MONTH(order_data[[#This Row],[Order_Date]])</f>
        <v>1</v>
      </c>
    </row>
    <row r="1303" spans="1:18" x14ac:dyDescent="0.35">
      <c r="A1303" t="s">
        <v>2019</v>
      </c>
      <c r="B1303" t="s">
        <v>129</v>
      </c>
      <c r="C1303" t="s">
        <v>952</v>
      </c>
      <c r="D1303" t="s">
        <v>40</v>
      </c>
      <c r="E1303" t="s">
        <v>41</v>
      </c>
      <c r="F1303" t="s">
        <v>27</v>
      </c>
      <c r="G1303" t="s">
        <v>59</v>
      </c>
      <c r="H1303">
        <v>354</v>
      </c>
      <c r="I1303">
        <v>20</v>
      </c>
      <c r="J1303">
        <v>20</v>
      </c>
      <c r="K1303" t="s">
        <v>20</v>
      </c>
      <c r="L1303">
        <v>40</v>
      </c>
      <c r="M1303" t="s">
        <v>21</v>
      </c>
      <c r="N1303">
        <f>COUNTIF(order_data[Order_ID],order_data[[#This Row],[Order_ID]])</f>
        <v>1</v>
      </c>
      <c r="O1303">
        <f>order_data[[#This Row],[Order_Value]]-order_data[[#This Row],[Discount]]</f>
        <v>334</v>
      </c>
      <c r="P1303">
        <f>order_data[[#This Row],[Order_Value]]+order_data[[#This Row],[Delivery_Fee]]-order_data[[#This Row],[Discount]]</f>
        <v>354</v>
      </c>
      <c r="Q1303" t="str">
        <f>TEXT(order_data[[#This Row],[Order_Date]],"mmm")</f>
        <v>Feb</v>
      </c>
      <c r="R1303">
        <f>MONTH(order_data[[#This Row],[Order_Date]])</f>
        <v>2</v>
      </c>
    </row>
    <row r="1304" spans="1:18" x14ac:dyDescent="0.35">
      <c r="A1304" t="s">
        <v>2020</v>
      </c>
      <c r="B1304" t="s">
        <v>297</v>
      </c>
      <c r="C1304" t="s">
        <v>621</v>
      </c>
      <c r="D1304" t="s">
        <v>53</v>
      </c>
      <c r="E1304" t="s">
        <v>152</v>
      </c>
      <c r="F1304" t="s">
        <v>18</v>
      </c>
      <c r="G1304" t="s">
        <v>63</v>
      </c>
      <c r="H1304">
        <v>338</v>
      </c>
      <c r="I1304">
        <v>50</v>
      </c>
      <c r="J1304">
        <v>100</v>
      </c>
      <c r="K1304" t="s">
        <v>20</v>
      </c>
      <c r="L1304">
        <v>52</v>
      </c>
      <c r="M1304" t="s">
        <v>21</v>
      </c>
      <c r="N1304">
        <f>COUNTIF(order_data[Order_ID],order_data[[#This Row],[Order_ID]])</f>
        <v>1</v>
      </c>
      <c r="O1304">
        <f>order_data[[#This Row],[Order_Value]]-order_data[[#This Row],[Discount]]</f>
        <v>238</v>
      </c>
      <c r="P1304">
        <f>order_data[[#This Row],[Order_Value]]+order_data[[#This Row],[Delivery_Fee]]-order_data[[#This Row],[Discount]]</f>
        <v>288</v>
      </c>
      <c r="Q1304" t="str">
        <f>TEXT(order_data[[#This Row],[Order_Date]],"mmm")</f>
        <v>Feb</v>
      </c>
      <c r="R1304">
        <f>MONTH(order_data[[#This Row],[Order_Date]])</f>
        <v>2</v>
      </c>
    </row>
    <row r="1305" spans="1:18" x14ac:dyDescent="0.35">
      <c r="A1305" t="s">
        <v>2021</v>
      </c>
      <c r="B1305" t="s">
        <v>267</v>
      </c>
      <c r="C1305" t="s">
        <v>1490</v>
      </c>
      <c r="D1305" t="s">
        <v>25</v>
      </c>
      <c r="E1305" t="s">
        <v>34</v>
      </c>
      <c r="F1305" t="s">
        <v>27</v>
      </c>
      <c r="G1305" t="s">
        <v>28</v>
      </c>
      <c r="H1305">
        <v>378</v>
      </c>
      <c r="I1305">
        <v>20</v>
      </c>
      <c r="J1305">
        <v>0</v>
      </c>
      <c r="K1305" t="s">
        <v>29</v>
      </c>
      <c r="L1305">
        <v>54</v>
      </c>
      <c r="M1305" t="s">
        <v>21</v>
      </c>
      <c r="N1305">
        <f>COUNTIF(order_data[Order_ID],order_data[[#This Row],[Order_ID]])</f>
        <v>1</v>
      </c>
      <c r="O1305">
        <f>order_data[[#This Row],[Order_Value]]-order_data[[#This Row],[Discount]]</f>
        <v>378</v>
      </c>
      <c r="P1305">
        <f>order_data[[#This Row],[Order_Value]]+order_data[[#This Row],[Delivery_Fee]]-order_data[[#This Row],[Discount]]</f>
        <v>398</v>
      </c>
      <c r="Q1305" t="str">
        <f>TEXT(order_data[[#This Row],[Order_Date]],"mmm")</f>
        <v>Jan</v>
      </c>
      <c r="R1305">
        <f>MONTH(order_data[[#This Row],[Order_Date]])</f>
        <v>1</v>
      </c>
    </row>
    <row r="1306" spans="1:18" x14ac:dyDescent="0.35">
      <c r="A1306" t="s">
        <v>2022</v>
      </c>
      <c r="B1306" t="s">
        <v>80</v>
      </c>
      <c r="C1306" t="s">
        <v>343</v>
      </c>
      <c r="D1306" t="s">
        <v>25</v>
      </c>
      <c r="E1306" t="s">
        <v>34</v>
      </c>
      <c r="F1306" t="s">
        <v>27</v>
      </c>
      <c r="G1306" t="s">
        <v>74</v>
      </c>
      <c r="H1306">
        <v>300</v>
      </c>
      <c r="I1306">
        <v>50</v>
      </c>
      <c r="J1306">
        <v>100</v>
      </c>
      <c r="K1306" t="s">
        <v>29</v>
      </c>
      <c r="L1306">
        <v>57</v>
      </c>
      <c r="M1306" t="s">
        <v>21</v>
      </c>
      <c r="N1306">
        <f>COUNTIF(order_data[Order_ID],order_data[[#This Row],[Order_ID]])</f>
        <v>1</v>
      </c>
      <c r="O1306">
        <f>order_data[[#This Row],[Order_Value]]-order_data[[#This Row],[Discount]]</f>
        <v>200</v>
      </c>
      <c r="P1306">
        <f>order_data[[#This Row],[Order_Value]]+order_data[[#This Row],[Delivery_Fee]]-order_data[[#This Row],[Discount]]</f>
        <v>250</v>
      </c>
      <c r="Q1306" t="str">
        <f>TEXT(order_data[[#This Row],[Order_Date]],"mmm")</f>
        <v>Feb</v>
      </c>
      <c r="R1306">
        <f>MONTH(order_data[[#This Row],[Order_Date]])</f>
        <v>2</v>
      </c>
    </row>
    <row r="1307" spans="1:18" x14ac:dyDescent="0.35">
      <c r="A1307" t="s">
        <v>2023</v>
      </c>
      <c r="B1307" t="s">
        <v>32</v>
      </c>
      <c r="C1307" t="s">
        <v>1490</v>
      </c>
      <c r="D1307" t="s">
        <v>46</v>
      </c>
      <c r="E1307" t="s">
        <v>47</v>
      </c>
      <c r="F1307" t="s">
        <v>48</v>
      </c>
      <c r="G1307" t="s">
        <v>35</v>
      </c>
      <c r="H1307">
        <v>311</v>
      </c>
      <c r="I1307">
        <v>50</v>
      </c>
      <c r="J1307">
        <v>0</v>
      </c>
      <c r="K1307" t="s">
        <v>29</v>
      </c>
      <c r="L1307">
        <v>27</v>
      </c>
      <c r="M1307" t="s">
        <v>21</v>
      </c>
      <c r="N1307">
        <f>COUNTIF(order_data[Order_ID],order_data[[#This Row],[Order_ID]])</f>
        <v>1</v>
      </c>
      <c r="O1307">
        <f>order_data[[#This Row],[Order_Value]]-order_data[[#This Row],[Discount]]</f>
        <v>311</v>
      </c>
      <c r="P1307">
        <f>order_data[[#This Row],[Order_Value]]+order_data[[#This Row],[Delivery_Fee]]-order_data[[#This Row],[Discount]]</f>
        <v>361</v>
      </c>
      <c r="Q1307" t="str">
        <f>TEXT(order_data[[#This Row],[Order_Date]],"mmm")</f>
        <v>Jan</v>
      </c>
      <c r="R1307">
        <f>MONTH(order_data[[#This Row],[Order_Date]])</f>
        <v>1</v>
      </c>
    </row>
    <row r="1308" spans="1:18" x14ac:dyDescent="0.35">
      <c r="A1308" t="s">
        <v>2024</v>
      </c>
      <c r="B1308" t="s">
        <v>118</v>
      </c>
      <c r="C1308" t="s">
        <v>1269</v>
      </c>
      <c r="D1308" t="s">
        <v>40</v>
      </c>
      <c r="E1308" t="s">
        <v>111</v>
      </c>
      <c r="F1308" t="s">
        <v>18</v>
      </c>
      <c r="G1308" t="s">
        <v>63</v>
      </c>
      <c r="H1308">
        <v>378</v>
      </c>
      <c r="I1308">
        <v>20</v>
      </c>
      <c r="J1308">
        <v>100</v>
      </c>
      <c r="K1308" t="s">
        <v>36</v>
      </c>
      <c r="L1308">
        <v>34</v>
      </c>
      <c r="M1308" t="s">
        <v>21</v>
      </c>
      <c r="N1308">
        <f>COUNTIF(order_data[Order_ID],order_data[[#This Row],[Order_ID]])</f>
        <v>1</v>
      </c>
      <c r="O1308">
        <f>order_data[[#This Row],[Order_Value]]-order_data[[#This Row],[Discount]]</f>
        <v>278</v>
      </c>
      <c r="P1308">
        <f>order_data[[#This Row],[Order_Value]]+order_data[[#This Row],[Delivery_Fee]]-order_data[[#This Row],[Discount]]</f>
        <v>298</v>
      </c>
      <c r="Q1308" t="str">
        <f>TEXT(order_data[[#This Row],[Order_Date]],"mmm")</f>
        <v>Mar</v>
      </c>
      <c r="R1308">
        <f>MONTH(order_data[[#This Row],[Order_Date]])</f>
        <v>3</v>
      </c>
    </row>
    <row r="1309" spans="1:18" x14ac:dyDescent="0.35">
      <c r="A1309" t="s">
        <v>2025</v>
      </c>
      <c r="B1309" t="s">
        <v>295</v>
      </c>
      <c r="C1309" t="s">
        <v>1116</v>
      </c>
      <c r="D1309" t="s">
        <v>40</v>
      </c>
      <c r="E1309" t="s">
        <v>67</v>
      </c>
      <c r="F1309" t="s">
        <v>48</v>
      </c>
      <c r="G1309" t="s">
        <v>59</v>
      </c>
      <c r="H1309">
        <v>334</v>
      </c>
      <c r="I1309">
        <v>20</v>
      </c>
      <c r="J1309">
        <v>30</v>
      </c>
      <c r="K1309" t="s">
        <v>20</v>
      </c>
      <c r="L1309">
        <v>56</v>
      </c>
      <c r="M1309" t="s">
        <v>21</v>
      </c>
      <c r="N1309">
        <f>COUNTIF(order_data[Order_ID],order_data[[#This Row],[Order_ID]])</f>
        <v>1</v>
      </c>
      <c r="O1309">
        <f>order_data[[#This Row],[Order_Value]]-order_data[[#This Row],[Discount]]</f>
        <v>304</v>
      </c>
      <c r="P1309">
        <f>order_data[[#This Row],[Order_Value]]+order_data[[#This Row],[Delivery_Fee]]-order_data[[#This Row],[Discount]]</f>
        <v>324</v>
      </c>
      <c r="Q1309" t="str">
        <f>TEXT(order_data[[#This Row],[Order_Date]],"mmm")</f>
        <v>Jan</v>
      </c>
      <c r="R1309">
        <f>MONTH(order_data[[#This Row],[Order_Date]])</f>
        <v>1</v>
      </c>
    </row>
    <row r="1310" spans="1:18" x14ac:dyDescent="0.35">
      <c r="A1310" t="s">
        <v>2026</v>
      </c>
      <c r="B1310" t="s">
        <v>23</v>
      </c>
      <c r="C1310" t="s">
        <v>437</v>
      </c>
      <c r="D1310" t="s">
        <v>40</v>
      </c>
      <c r="E1310" t="s">
        <v>111</v>
      </c>
      <c r="F1310" t="s">
        <v>18</v>
      </c>
      <c r="G1310" t="s">
        <v>176</v>
      </c>
      <c r="H1310">
        <v>423</v>
      </c>
      <c r="I1310">
        <v>50</v>
      </c>
      <c r="J1310">
        <v>100</v>
      </c>
      <c r="K1310" t="s">
        <v>36</v>
      </c>
      <c r="L1310">
        <v>20</v>
      </c>
      <c r="M1310" t="s">
        <v>21</v>
      </c>
      <c r="N1310">
        <f>COUNTIF(order_data[Order_ID],order_data[[#This Row],[Order_ID]])</f>
        <v>1</v>
      </c>
      <c r="O1310">
        <f>order_data[[#This Row],[Order_Value]]-order_data[[#This Row],[Discount]]</f>
        <v>323</v>
      </c>
      <c r="P1310">
        <f>order_data[[#This Row],[Order_Value]]+order_data[[#This Row],[Delivery_Fee]]-order_data[[#This Row],[Discount]]</f>
        <v>373</v>
      </c>
      <c r="Q1310" t="str">
        <f>TEXT(order_data[[#This Row],[Order_Date]],"mmm")</f>
        <v>Mar</v>
      </c>
      <c r="R1310">
        <f>MONTH(order_data[[#This Row],[Order_Date]])</f>
        <v>3</v>
      </c>
    </row>
    <row r="1311" spans="1:18" x14ac:dyDescent="0.35">
      <c r="A1311" t="s">
        <v>2027</v>
      </c>
      <c r="B1311" t="s">
        <v>541</v>
      </c>
      <c r="C1311" t="s">
        <v>979</v>
      </c>
      <c r="D1311" t="s">
        <v>25</v>
      </c>
      <c r="E1311" t="s">
        <v>34</v>
      </c>
      <c r="F1311" t="s">
        <v>27</v>
      </c>
      <c r="G1311" t="s">
        <v>107</v>
      </c>
      <c r="H1311">
        <v>618</v>
      </c>
      <c r="I1311">
        <v>40</v>
      </c>
      <c r="J1311">
        <v>20</v>
      </c>
      <c r="K1311" t="s">
        <v>29</v>
      </c>
      <c r="L1311">
        <v>32</v>
      </c>
      <c r="M1311" t="s">
        <v>21</v>
      </c>
      <c r="N1311">
        <f>COUNTIF(order_data[Order_ID],order_data[[#This Row],[Order_ID]])</f>
        <v>1</v>
      </c>
      <c r="O1311">
        <f>order_data[[#This Row],[Order_Value]]-order_data[[#This Row],[Discount]]</f>
        <v>598</v>
      </c>
      <c r="P1311">
        <f>order_data[[#This Row],[Order_Value]]+order_data[[#This Row],[Delivery_Fee]]-order_data[[#This Row],[Discount]]</f>
        <v>638</v>
      </c>
      <c r="Q1311" t="str">
        <f>TEXT(order_data[[#This Row],[Order_Date]],"mmm")</f>
        <v>Jan</v>
      </c>
      <c r="R1311">
        <f>MONTH(order_data[[#This Row],[Order_Date]])</f>
        <v>1</v>
      </c>
    </row>
    <row r="1312" spans="1:18" x14ac:dyDescent="0.35">
      <c r="A1312" t="s">
        <v>2028</v>
      </c>
      <c r="B1312" t="s">
        <v>72</v>
      </c>
      <c r="C1312" t="s">
        <v>457</v>
      </c>
      <c r="D1312" t="s">
        <v>53</v>
      </c>
      <c r="E1312" t="s">
        <v>84</v>
      </c>
      <c r="F1312" t="s">
        <v>85</v>
      </c>
      <c r="G1312" t="s">
        <v>19</v>
      </c>
      <c r="H1312">
        <v>453</v>
      </c>
      <c r="I1312">
        <v>50</v>
      </c>
      <c r="J1312">
        <v>20</v>
      </c>
      <c r="K1312" t="s">
        <v>29</v>
      </c>
      <c r="L1312">
        <v>48</v>
      </c>
      <c r="M1312" t="s">
        <v>21</v>
      </c>
      <c r="N1312">
        <f>COUNTIF(order_data[Order_ID],order_data[[#This Row],[Order_ID]])</f>
        <v>1</v>
      </c>
      <c r="O1312">
        <f>order_data[[#This Row],[Order_Value]]-order_data[[#This Row],[Discount]]</f>
        <v>433</v>
      </c>
      <c r="P1312">
        <f>order_data[[#This Row],[Order_Value]]+order_data[[#This Row],[Delivery_Fee]]-order_data[[#This Row],[Discount]]</f>
        <v>483</v>
      </c>
      <c r="Q1312" t="str">
        <f>TEXT(order_data[[#This Row],[Order_Date]],"mmm")</f>
        <v>Jan</v>
      </c>
      <c r="R1312">
        <f>MONTH(order_data[[#This Row],[Order_Date]])</f>
        <v>1</v>
      </c>
    </row>
    <row r="1313" spans="1:18" x14ac:dyDescent="0.35">
      <c r="A1313" t="s">
        <v>2029</v>
      </c>
      <c r="B1313" t="s">
        <v>297</v>
      </c>
      <c r="C1313" t="s">
        <v>2030</v>
      </c>
      <c r="D1313" t="s">
        <v>40</v>
      </c>
      <c r="E1313" t="s">
        <v>111</v>
      </c>
      <c r="F1313" t="s">
        <v>18</v>
      </c>
      <c r="G1313" t="s">
        <v>42</v>
      </c>
      <c r="H1313">
        <v>249</v>
      </c>
      <c r="I1313">
        <v>50</v>
      </c>
      <c r="J1313">
        <v>30</v>
      </c>
      <c r="K1313" t="s">
        <v>36</v>
      </c>
      <c r="L1313">
        <v>23</v>
      </c>
      <c r="M1313" t="s">
        <v>21</v>
      </c>
      <c r="N1313">
        <f>COUNTIF(order_data[Order_ID],order_data[[#This Row],[Order_ID]])</f>
        <v>1</v>
      </c>
      <c r="O1313">
        <f>order_data[[#This Row],[Order_Value]]-order_data[[#This Row],[Discount]]</f>
        <v>219</v>
      </c>
      <c r="P1313">
        <f>order_data[[#This Row],[Order_Value]]+order_data[[#This Row],[Delivery_Fee]]-order_data[[#This Row],[Discount]]</f>
        <v>269</v>
      </c>
      <c r="Q1313" t="str">
        <f>TEXT(order_data[[#This Row],[Order_Date]],"mmm")</f>
        <v>Feb</v>
      </c>
      <c r="R1313">
        <f>MONTH(order_data[[#This Row],[Order_Date]])</f>
        <v>2</v>
      </c>
    </row>
    <row r="1314" spans="1:18" x14ac:dyDescent="0.35">
      <c r="A1314" t="s">
        <v>2031</v>
      </c>
      <c r="B1314" t="s">
        <v>72</v>
      </c>
      <c r="C1314" t="s">
        <v>514</v>
      </c>
      <c r="D1314" t="s">
        <v>16</v>
      </c>
      <c r="E1314" t="s">
        <v>89</v>
      </c>
      <c r="F1314" t="s">
        <v>18</v>
      </c>
      <c r="G1314" t="s">
        <v>28</v>
      </c>
      <c r="H1314">
        <v>610</v>
      </c>
      <c r="I1314">
        <v>20</v>
      </c>
      <c r="J1314">
        <v>30</v>
      </c>
      <c r="K1314" t="s">
        <v>20</v>
      </c>
      <c r="L1314">
        <v>58</v>
      </c>
      <c r="M1314" t="s">
        <v>21</v>
      </c>
      <c r="N1314">
        <f>COUNTIF(order_data[Order_ID],order_data[[#This Row],[Order_ID]])</f>
        <v>1</v>
      </c>
      <c r="O1314">
        <f>order_data[[#This Row],[Order_Value]]-order_data[[#This Row],[Discount]]</f>
        <v>580</v>
      </c>
      <c r="P1314">
        <f>order_data[[#This Row],[Order_Value]]+order_data[[#This Row],[Delivery_Fee]]-order_data[[#This Row],[Discount]]</f>
        <v>600</v>
      </c>
      <c r="Q1314" t="str">
        <f>TEXT(order_data[[#This Row],[Order_Date]],"mmm")</f>
        <v>Jan</v>
      </c>
      <c r="R1314">
        <f>MONTH(order_data[[#This Row],[Order_Date]])</f>
        <v>1</v>
      </c>
    </row>
    <row r="1315" spans="1:18" x14ac:dyDescent="0.35">
      <c r="A1315" t="s">
        <v>2032</v>
      </c>
      <c r="B1315" t="s">
        <v>109</v>
      </c>
      <c r="C1315" t="s">
        <v>618</v>
      </c>
      <c r="D1315" t="s">
        <v>16</v>
      </c>
      <c r="E1315" t="s">
        <v>131</v>
      </c>
      <c r="F1315" t="s">
        <v>55</v>
      </c>
      <c r="G1315" t="s">
        <v>74</v>
      </c>
      <c r="H1315">
        <v>518</v>
      </c>
      <c r="I1315">
        <v>50</v>
      </c>
      <c r="J1315">
        <v>50</v>
      </c>
      <c r="K1315" t="s">
        <v>29</v>
      </c>
      <c r="L1315">
        <v>38</v>
      </c>
      <c r="M1315" t="s">
        <v>21</v>
      </c>
      <c r="N1315">
        <f>COUNTIF(order_data[Order_ID],order_data[[#This Row],[Order_ID]])</f>
        <v>1</v>
      </c>
      <c r="O1315">
        <f>order_data[[#This Row],[Order_Value]]-order_data[[#This Row],[Discount]]</f>
        <v>468</v>
      </c>
      <c r="P1315">
        <f>order_data[[#This Row],[Order_Value]]+order_data[[#This Row],[Delivery_Fee]]-order_data[[#This Row],[Discount]]</f>
        <v>518</v>
      </c>
      <c r="Q1315" t="str">
        <f>TEXT(order_data[[#This Row],[Order_Date]],"mmm")</f>
        <v>Jan</v>
      </c>
      <c r="R1315">
        <f>MONTH(order_data[[#This Row],[Order_Date]])</f>
        <v>1</v>
      </c>
    </row>
    <row r="1316" spans="1:18" x14ac:dyDescent="0.35">
      <c r="A1316" t="s">
        <v>2033</v>
      </c>
      <c r="B1316" t="s">
        <v>291</v>
      </c>
      <c r="C1316" t="s">
        <v>1581</v>
      </c>
      <c r="D1316" t="s">
        <v>40</v>
      </c>
      <c r="E1316" t="s">
        <v>41</v>
      </c>
      <c r="F1316" t="s">
        <v>27</v>
      </c>
      <c r="G1316" t="s">
        <v>42</v>
      </c>
      <c r="H1316">
        <v>582</v>
      </c>
      <c r="I1316">
        <v>30</v>
      </c>
      <c r="J1316">
        <v>20</v>
      </c>
      <c r="K1316" t="s">
        <v>20</v>
      </c>
      <c r="L1316">
        <v>40</v>
      </c>
      <c r="M1316" t="s">
        <v>21</v>
      </c>
      <c r="N1316">
        <f>COUNTIF(order_data[Order_ID],order_data[[#This Row],[Order_ID]])</f>
        <v>1</v>
      </c>
      <c r="O1316">
        <f>order_data[[#This Row],[Order_Value]]-order_data[[#This Row],[Discount]]</f>
        <v>562</v>
      </c>
      <c r="P1316">
        <f>order_data[[#This Row],[Order_Value]]+order_data[[#This Row],[Delivery_Fee]]-order_data[[#This Row],[Discount]]</f>
        <v>592</v>
      </c>
      <c r="Q1316" t="str">
        <f>TEXT(order_data[[#This Row],[Order_Date]],"mmm")</f>
        <v>Feb</v>
      </c>
      <c r="R1316">
        <f>MONTH(order_data[[#This Row],[Order_Date]])</f>
        <v>2</v>
      </c>
    </row>
    <row r="1317" spans="1:18" x14ac:dyDescent="0.35">
      <c r="A1317" t="s">
        <v>2034</v>
      </c>
      <c r="B1317" t="s">
        <v>192</v>
      </c>
      <c r="C1317" t="s">
        <v>175</v>
      </c>
      <c r="D1317" t="s">
        <v>25</v>
      </c>
      <c r="E1317" t="s">
        <v>26</v>
      </c>
      <c r="F1317" t="s">
        <v>27</v>
      </c>
      <c r="G1317" t="s">
        <v>63</v>
      </c>
      <c r="H1317">
        <v>627</v>
      </c>
      <c r="I1317">
        <v>50</v>
      </c>
      <c r="J1317">
        <v>100</v>
      </c>
      <c r="K1317" t="s">
        <v>20</v>
      </c>
      <c r="L1317">
        <v>20</v>
      </c>
      <c r="M1317" t="s">
        <v>21</v>
      </c>
      <c r="N1317">
        <f>COUNTIF(order_data[Order_ID],order_data[[#This Row],[Order_ID]])</f>
        <v>1</v>
      </c>
      <c r="O1317">
        <f>order_data[[#This Row],[Order_Value]]-order_data[[#This Row],[Discount]]</f>
        <v>527</v>
      </c>
      <c r="P1317">
        <f>order_data[[#This Row],[Order_Value]]+order_data[[#This Row],[Delivery_Fee]]-order_data[[#This Row],[Discount]]</f>
        <v>577</v>
      </c>
      <c r="Q1317" t="str">
        <f>TEXT(order_data[[#This Row],[Order_Date]],"mmm")</f>
        <v>Mar</v>
      </c>
      <c r="R1317">
        <f>MONTH(order_data[[#This Row],[Order_Date]])</f>
        <v>3</v>
      </c>
    </row>
    <row r="1318" spans="1:18" x14ac:dyDescent="0.35">
      <c r="A1318" t="s">
        <v>2035</v>
      </c>
      <c r="B1318" t="s">
        <v>365</v>
      </c>
      <c r="C1318" t="s">
        <v>501</v>
      </c>
      <c r="D1318" t="s">
        <v>46</v>
      </c>
      <c r="E1318" t="s">
        <v>70</v>
      </c>
      <c r="F1318" t="s">
        <v>18</v>
      </c>
      <c r="G1318" t="s">
        <v>107</v>
      </c>
      <c r="H1318">
        <v>189</v>
      </c>
      <c r="I1318">
        <v>50</v>
      </c>
      <c r="J1318">
        <v>50</v>
      </c>
      <c r="K1318" t="s">
        <v>36</v>
      </c>
      <c r="L1318">
        <v>57</v>
      </c>
      <c r="M1318" t="s">
        <v>21</v>
      </c>
      <c r="N1318">
        <f>COUNTIF(order_data[Order_ID],order_data[[#This Row],[Order_ID]])</f>
        <v>1</v>
      </c>
      <c r="O1318">
        <f>order_data[[#This Row],[Order_Value]]-order_data[[#This Row],[Discount]]</f>
        <v>139</v>
      </c>
      <c r="P1318">
        <f>order_data[[#This Row],[Order_Value]]+order_data[[#This Row],[Delivery_Fee]]-order_data[[#This Row],[Discount]]</f>
        <v>189</v>
      </c>
      <c r="Q1318" t="str">
        <f>TEXT(order_data[[#This Row],[Order_Date]],"mmm")</f>
        <v>Jan</v>
      </c>
      <c r="R1318">
        <f>MONTH(order_data[[#This Row],[Order_Date]])</f>
        <v>1</v>
      </c>
    </row>
    <row r="1319" spans="1:18" x14ac:dyDescent="0.35">
      <c r="A1319" t="s">
        <v>2036</v>
      </c>
      <c r="B1319" t="s">
        <v>435</v>
      </c>
      <c r="C1319" t="s">
        <v>195</v>
      </c>
      <c r="D1319" t="s">
        <v>16</v>
      </c>
      <c r="E1319" t="s">
        <v>131</v>
      </c>
      <c r="F1319" t="s">
        <v>55</v>
      </c>
      <c r="G1319" t="s">
        <v>49</v>
      </c>
      <c r="H1319">
        <v>459</v>
      </c>
      <c r="I1319">
        <v>30</v>
      </c>
      <c r="J1319">
        <v>20</v>
      </c>
      <c r="K1319" t="s">
        <v>29</v>
      </c>
      <c r="L1319">
        <v>27</v>
      </c>
      <c r="M1319" t="s">
        <v>30</v>
      </c>
      <c r="N1319">
        <f>COUNTIF(order_data[Order_ID],order_data[[#This Row],[Order_ID]])</f>
        <v>1</v>
      </c>
      <c r="O1319">
        <f>order_data[[#This Row],[Order_Value]]-order_data[[#This Row],[Discount]]</f>
        <v>439</v>
      </c>
      <c r="P1319">
        <f>order_data[[#This Row],[Order_Value]]+order_data[[#This Row],[Delivery_Fee]]-order_data[[#This Row],[Discount]]</f>
        <v>469</v>
      </c>
      <c r="Q1319" t="str">
        <f>TEXT(order_data[[#This Row],[Order_Date]],"mmm")</f>
        <v>Feb</v>
      </c>
      <c r="R1319">
        <f>MONTH(order_data[[#This Row],[Order_Date]])</f>
        <v>2</v>
      </c>
    </row>
    <row r="1320" spans="1:18" x14ac:dyDescent="0.35">
      <c r="A1320" t="s">
        <v>2037</v>
      </c>
      <c r="B1320" t="s">
        <v>113</v>
      </c>
      <c r="C1320" t="s">
        <v>956</v>
      </c>
      <c r="D1320" t="s">
        <v>16</v>
      </c>
      <c r="E1320" t="s">
        <v>89</v>
      </c>
      <c r="F1320" t="s">
        <v>18</v>
      </c>
      <c r="G1320" t="s">
        <v>74</v>
      </c>
      <c r="H1320">
        <v>467</v>
      </c>
      <c r="I1320">
        <v>30</v>
      </c>
      <c r="J1320">
        <v>30</v>
      </c>
      <c r="K1320" t="s">
        <v>36</v>
      </c>
      <c r="L1320">
        <v>25</v>
      </c>
      <c r="M1320" t="s">
        <v>21</v>
      </c>
      <c r="N1320">
        <f>COUNTIF(order_data[Order_ID],order_data[[#This Row],[Order_ID]])</f>
        <v>1</v>
      </c>
      <c r="O1320">
        <f>order_data[[#This Row],[Order_Value]]-order_data[[#This Row],[Discount]]</f>
        <v>437</v>
      </c>
      <c r="P1320">
        <f>order_data[[#This Row],[Order_Value]]+order_data[[#This Row],[Delivery_Fee]]-order_data[[#This Row],[Discount]]</f>
        <v>467</v>
      </c>
      <c r="Q1320" t="str">
        <f>TEXT(order_data[[#This Row],[Order_Date]],"mmm")</f>
        <v>Mar</v>
      </c>
      <c r="R1320">
        <f>MONTH(order_data[[#This Row],[Order_Date]])</f>
        <v>3</v>
      </c>
    </row>
    <row r="1321" spans="1:18" x14ac:dyDescent="0.35">
      <c r="A1321" t="s">
        <v>2038</v>
      </c>
      <c r="B1321" t="s">
        <v>51</v>
      </c>
      <c r="C1321" t="s">
        <v>1978</v>
      </c>
      <c r="D1321" t="s">
        <v>46</v>
      </c>
      <c r="E1321" t="s">
        <v>148</v>
      </c>
      <c r="F1321" t="s">
        <v>27</v>
      </c>
      <c r="G1321" t="s">
        <v>49</v>
      </c>
      <c r="H1321">
        <v>225</v>
      </c>
      <c r="I1321">
        <v>20</v>
      </c>
      <c r="J1321">
        <v>30</v>
      </c>
      <c r="K1321" t="s">
        <v>29</v>
      </c>
      <c r="L1321">
        <v>51</v>
      </c>
      <c r="M1321" t="s">
        <v>21</v>
      </c>
      <c r="N1321">
        <f>COUNTIF(order_data[Order_ID],order_data[[#This Row],[Order_ID]])</f>
        <v>1</v>
      </c>
      <c r="O1321">
        <f>order_data[[#This Row],[Order_Value]]-order_data[[#This Row],[Discount]]</f>
        <v>195</v>
      </c>
      <c r="P1321">
        <f>order_data[[#This Row],[Order_Value]]+order_data[[#This Row],[Delivery_Fee]]-order_data[[#This Row],[Discount]]</f>
        <v>215</v>
      </c>
      <c r="Q1321" t="str">
        <f>TEXT(order_data[[#This Row],[Order_Date]],"mmm")</f>
        <v>Feb</v>
      </c>
      <c r="R1321">
        <f>MONTH(order_data[[#This Row],[Order_Date]])</f>
        <v>2</v>
      </c>
    </row>
    <row r="1322" spans="1:18" x14ac:dyDescent="0.35">
      <c r="A1322" t="s">
        <v>2039</v>
      </c>
      <c r="B1322" t="s">
        <v>186</v>
      </c>
      <c r="C1322" t="s">
        <v>834</v>
      </c>
      <c r="D1322" t="s">
        <v>53</v>
      </c>
      <c r="E1322" t="s">
        <v>84</v>
      </c>
      <c r="F1322" t="s">
        <v>85</v>
      </c>
      <c r="G1322" t="s">
        <v>74</v>
      </c>
      <c r="H1322">
        <v>429</v>
      </c>
      <c r="I1322">
        <v>20</v>
      </c>
      <c r="J1322">
        <v>100</v>
      </c>
      <c r="K1322" t="s">
        <v>20</v>
      </c>
      <c r="L1322">
        <v>38</v>
      </c>
      <c r="M1322" t="s">
        <v>21</v>
      </c>
      <c r="N1322">
        <f>COUNTIF(order_data[Order_ID],order_data[[#This Row],[Order_ID]])</f>
        <v>1</v>
      </c>
      <c r="O1322">
        <f>order_data[[#This Row],[Order_Value]]-order_data[[#This Row],[Discount]]</f>
        <v>329</v>
      </c>
      <c r="P1322">
        <f>order_data[[#This Row],[Order_Value]]+order_data[[#This Row],[Delivery_Fee]]-order_data[[#This Row],[Discount]]</f>
        <v>349</v>
      </c>
      <c r="Q1322" t="str">
        <f>TEXT(order_data[[#This Row],[Order_Date]],"mmm")</f>
        <v>Mar</v>
      </c>
      <c r="R1322">
        <f>MONTH(order_data[[#This Row],[Order_Date]])</f>
        <v>3</v>
      </c>
    </row>
    <row r="1323" spans="1:18" x14ac:dyDescent="0.35">
      <c r="A1323" t="s">
        <v>2040</v>
      </c>
      <c r="B1323" t="s">
        <v>583</v>
      </c>
      <c r="C1323" t="s">
        <v>1907</v>
      </c>
      <c r="D1323" t="s">
        <v>40</v>
      </c>
      <c r="E1323" t="s">
        <v>67</v>
      </c>
      <c r="F1323" t="s">
        <v>48</v>
      </c>
      <c r="G1323" t="s">
        <v>176</v>
      </c>
      <c r="H1323">
        <v>620</v>
      </c>
      <c r="I1323">
        <v>40</v>
      </c>
      <c r="J1323">
        <v>50</v>
      </c>
      <c r="K1323" t="s">
        <v>20</v>
      </c>
      <c r="L1323">
        <v>31</v>
      </c>
      <c r="M1323" t="s">
        <v>21</v>
      </c>
      <c r="N1323">
        <f>COUNTIF(order_data[Order_ID],order_data[[#This Row],[Order_ID]])</f>
        <v>1</v>
      </c>
      <c r="O1323">
        <f>order_data[[#This Row],[Order_Value]]-order_data[[#This Row],[Discount]]</f>
        <v>570</v>
      </c>
      <c r="P1323">
        <f>order_data[[#This Row],[Order_Value]]+order_data[[#This Row],[Delivery_Fee]]-order_data[[#This Row],[Discount]]</f>
        <v>610</v>
      </c>
      <c r="Q1323" t="str">
        <f>TEXT(order_data[[#This Row],[Order_Date]],"mmm")</f>
        <v>Jan</v>
      </c>
      <c r="R1323">
        <f>MONTH(order_data[[#This Row],[Order_Date]])</f>
        <v>1</v>
      </c>
    </row>
    <row r="1324" spans="1:18" x14ac:dyDescent="0.35">
      <c r="A1324" t="s">
        <v>2041</v>
      </c>
      <c r="B1324" t="s">
        <v>61</v>
      </c>
      <c r="C1324" t="s">
        <v>964</v>
      </c>
      <c r="D1324" t="s">
        <v>53</v>
      </c>
      <c r="E1324" t="s">
        <v>152</v>
      </c>
      <c r="F1324" t="s">
        <v>18</v>
      </c>
      <c r="G1324" t="s">
        <v>28</v>
      </c>
      <c r="H1324">
        <v>187</v>
      </c>
      <c r="I1324">
        <v>40</v>
      </c>
      <c r="J1324">
        <v>20</v>
      </c>
      <c r="K1324" t="s">
        <v>20</v>
      </c>
      <c r="L1324">
        <v>48</v>
      </c>
      <c r="M1324" t="s">
        <v>21</v>
      </c>
      <c r="N1324">
        <f>COUNTIF(order_data[Order_ID],order_data[[#This Row],[Order_ID]])</f>
        <v>1</v>
      </c>
      <c r="O1324">
        <f>order_data[[#This Row],[Order_Value]]-order_data[[#This Row],[Discount]]</f>
        <v>167</v>
      </c>
      <c r="P1324">
        <f>order_data[[#This Row],[Order_Value]]+order_data[[#This Row],[Delivery_Fee]]-order_data[[#This Row],[Discount]]</f>
        <v>207</v>
      </c>
      <c r="Q1324" t="str">
        <f>TEXT(order_data[[#This Row],[Order_Date]],"mmm")</f>
        <v>Jan</v>
      </c>
      <c r="R1324">
        <f>MONTH(order_data[[#This Row],[Order_Date]])</f>
        <v>1</v>
      </c>
    </row>
    <row r="1325" spans="1:18" x14ac:dyDescent="0.35">
      <c r="A1325" t="s">
        <v>2042</v>
      </c>
      <c r="B1325" t="s">
        <v>109</v>
      </c>
      <c r="C1325" t="s">
        <v>159</v>
      </c>
      <c r="D1325" t="s">
        <v>46</v>
      </c>
      <c r="E1325" t="s">
        <v>148</v>
      </c>
      <c r="F1325" t="s">
        <v>27</v>
      </c>
      <c r="G1325" t="s">
        <v>49</v>
      </c>
      <c r="H1325">
        <v>641</v>
      </c>
      <c r="I1325">
        <v>20</v>
      </c>
      <c r="J1325">
        <v>30</v>
      </c>
      <c r="K1325" t="s">
        <v>29</v>
      </c>
      <c r="L1325">
        <v>31</v>
      </c>
      <c r="M1325" t="s">
        <v>21</v>
      </c>
      <c r="N1325">
        <f>COUNTIF(order_data[Order_ID],order_data[[#This Row],[Order_ID]])</f>
        <v>1</v>
      </c>
      <c r="O1325">
        <f>order_data[[#This Row],[Order_Value]]-order_data[[#This Row],[Discount]]</f>
        <v>611</v>
      </c>
      <c r="P1325">
        <f>order_data[[#This Row],[Order_Value]]+order_data[[#This Row],[Delivery_Fee]]-order_data[[#This Row],[Discount]]</f>
        <v>631</v>
      </c>
      <c r="Q1325" t="str">
        <f>TEXT(order_data[[#This Row],[Order_Date]],"mmm")</f>
        <v>Jan</v>
      </c>
      <c r="R1325">
        <f>MONTH(order_data[[#This Row],[Order_Date]])</f>
        <v>1</v>
      </c>
    </row>
    <row r="1326" spans="1:18" x14ac:dyDescent="0.35">
      <c r="A1326" t="s">
        <v>2043</v>
      </c>
      <c r="B1326" t="s">
        <v>413</v>
      </c>
      <c r="C1326" t="s">
        <v>585</v>
      </c>
      <c r="D1326" t="s">
        <v>46</v>
      </c>
      <c r="E1326" t="s">
        <v>70</v>
      </c>
      <c r="F1326" t="s">
        <v>18</v>
      </c>
      <c r="G1326" t="s">
        <v>107</v>
      </c>
      <c r="H1326">
        <v>696</v>
      </c>
      <c r="I1326">
        <v>20</v>
      </c>
      <c r="J1326">
        <v>50</v>
      </c>
      <c r="K1326" t="s">
        <v>36</v>
      </c>
      <c r="L1326">
        <v>50</v>
      </c>
      <c r="M1326" t="s">
        <v>21</v>
      </c>
      <c r="N1326">
        <f>COUNTIF(order_data[Order_ID],order_data[[#This Row],[Order_ID]])</f>
        <v>1</v>
      </c>
      <c r="O1326">
        <f>order_data[[#This Row],[Order_Value]]-order_data[[#This Row],[Discount]]</f>
        <v>646</v>
      </c>
      <c r="P1326">
        <f>order_data[[#This Row],[Order_Value]]+order_data[[#This Row],[Delivery_Fee]]-order_data[[#This Row],[Discount]]</f>
        <v>666</v>
      </c>
      <c r="Q1326" t="str">
        <f>TEXT(order_data[[#This Row],[Order_Date]],"mmm")</f>
        <v>Mar</v>
      </c>
      <c r="R1326">
        <f>MONTH(order_data[[#This Row],[Order_Date]])</f>
        <v>3</v>
      </c>
    </row>
    <row r="1327" spans="1:18" x14ac:dyDescent="0.35">
      <c r="A1327" t="s">
        <v>2044</v>
      </c>
      <c r="B1327" t="s">
        <v>99</v>
      </c>
      <c r="C1327" t="s">
        <v>66</v>
      </c>
      <c r="D1327" t="s">
        <v>53</v>
      </c>
      <c r="E1327" t="s">
        <v>54</v>
      </c>
      <c r="F1327" t="s">
        <v>55</v>
      </c>
      <c r="G1327" t="s">
        <v>35</v>
      </c>
      <c r="H1327">
        <v>401</v>
      </c>
      <c r="I1327">
        <v>40</v>
      </c>
      <c r="J1327">
        <v>30</v>
      </c>
      <c r="K1327" t="s">
        <v>36</v>
      </c>
      <c r="L1327">
        <v>43</v>
      </c>
      <c r="M1327" t="s">
        <v>21</v>
      </c>
      <c r="N1327">
        <f>COUNTIF(order_data[Order_ID],order_data[[#This Row],[Order_ID]])</f>
        <v>1</v>
      </c>
      <c r="O1327">
        <f>order_data[[#This Row],[Order_Value]]-order_data[[#This Row],[Discount]]</f>
        <v>371</v>
      </c>
      <c r="P1327">
        <f>order_data[[#This Row],[Order_Value]]+order_data[[#This Row],[Delivery_Fee]]-order_data[[#This Row],[Discount]]</f>
        <v>411</v>
      </c>
      <c r="Q1327" t="str">
        <f>TEXT(order_data[[#This Row],[Order_Date]],"mmm")</f>
        <v>Mar</v>
      </c>
      <c r="R1327">
        <f>MONTH(order_data[[#This Row],[Order_Date]])</f>
        <v>3</v>
      </c>
    </row>
    <row r="1328" spans="1:18" x14ac:dyDescent="0.35">
      <c r="A1328" t="s">
        <v>2045</v>
      </c>
      <c r="B1328" t="s">
        <v>413</v>
      </c>
      <c r="C1328" t="s">
        <v>1495</v>
      </c>
      <c r="D1328" t="s">
        <v>53</v>
      </c>
      <c r="E1328" t="s">
        <v>54</v>
      </c>
      <c r="F1328" t="s">
        <v>55</v>
      </c>
      <c r="G1328" t="s">
        <v>74</v>
      </c>
      <c r="H1328">
        <v>270</v>
      </c>
      <c r="I1328">
        <v>40</v>
      </c>
      <c r="J1328">
        <v>100</v>
      </c>
      <c r="K1328" t="s">
        <v>36</v>
      </c>
      <c r="L1328">
        <v>60</v>
      </c>
      <c r="M1328" t="s">
        <v>21</v>
      </c>
      <c r="N1328">
        <f>COUNTIF(order_data[Order_ID],order_data[[#This Row],[Order_ID]])</f>
        <v>1</v>
      </c>
      <c r="O1328">
        <f>order_data[[#This Row],[Order_Value]]-order_data[[#This Row],[Discount]]</f>
        <v>170</v>
      </c>
      <c r="P1328">
        <f>order_data[[#This Row],[Order_Value]]+order_data[[#This Row],[Delivery_Fee]]-order_data[[#This Row],[Discount]]</f>
        <v>210</v>
      </c>
      <c r="Q1328" t="str">
        <f>TEXT(order_data[[#This Row],[Order_Date]],"mmm")</f>
        <v>Mar</v>
      </c>
      <c r="R1328">
        <f>MONTH(order_data[[#This Row],[Order_Date]])</f>
        <v>3</v>
      </c>
    </row>
    <row r="1329" spans="1:18" x14ac:dyDescent="0.35">
      <c r="A1329" t="s">
        <v>2046</v>
      </c>
      <c r="B1329" t="s">
        <v>476</v>
      </c>
      <c r="C1329" t="s">
        <v>2047</v>
      </c>
      <c r="D1329" t="s">
        <v>46</v>
      </c>
      <c r="E1329" t="s">
        <v>148</v>
      </c>
      <c r="F1329" t="s">
        <v>27</v>
      </c>
      <c r="G1329" t="s">
        <v>35</v>
      </c>
      <c r="H1329">
        <v>343</v>
      </c>
      <c r="I1329">
        <v>30</v>
      </c>
      <c r="J1329">
        <v>100</v>
      </c>
      <c r="K1329" t="s">
        <v>29</v>
      </c>
      <c r="L1329">
        <v>27</v>
      </c>
      <c r="M1329" t="s">
        <v>21</v>
      </c>
      <c r="N1329">
        <f>COUNTIF(order_data[Order_ID],order_data[[#This Row],[Order_ID]])</f>
        <v>1</v>
      </c>
      <c r="O1329">
        <f>order_data[[#This Row],[Order_Value]]-order_data[[#This Row],[Discount]]</f>
        <v>243</v>
      </c>
      <c r="P1329">
        <f>order_data[[#This Row],[Order_Value]]+order_data[[#This Row],[Delivery_Fee]]-order_data[[#This Row],[Discount]]</f>
        <v>273</v>
      </c>
      <c r="Q1329" t="str">
        <f>TEXT(order_data[[#This Row],[Order_Date]],"mmm")</f>
        <v>Jan</v>
      </c>
      <c r="R1329">
        <f>MONTH(order_data[[#This Row],[Order_Date]])</f>
        <v>1</v>
      </c>
    </row>
    <row r="1330" spans="1:18" x14ac:dyDescent="0.35">
      <c r="A1330" t="s">
        <v>2048</v>
      </c>
      <c r="B1330" t="s">
        <v>297</v>
      </c>
      <c r="C1330" t="s">
        <v>382</v>
      </c>
      <c r="D1330" t="s">
        <v>16</v>
      </c>
      <c r="E1330" t="s">
        <v>17</v>
      </c>
      <c r="F1330" t="s">
        <v>18</v>
      </c>
      <c r="G1330" t="s">
        <v>35</v>
      </c>
      <c r="H1330">
        <v>392</v>
      </c>
      <c r="I1330">
        <v>40</v>
      </c>
      <c r="J1330">
        <v>30</v>
      </c>
      <c r="K1330" t="s">
        <v>29</v>
      </c>
      <c r="L1330">
        <v>29</v>
      </c>
      <c r="M1330" t="s">
        <v>21</v>
      </c>
      <c r="N1330">
        <f>COUNTIF(order_data[Order_ID],order_data[[#This Row],[Order_ID]])</f>
        <v>1</v>
      </c>
      <c r="O1330">
        <f>order_data[[#This Row],[Order_Value]]-order_data[[#This Row],[Discount]]</f>
        <v>362</v>
      </c>
      <c r="P1330">
        <f>order_data[[#This Row],[Order_Value]]+order_data[[#This Row],[Delivery_Fee]]-order_data[[#This Row],[Discount]]</f>
        <v>402</v>
      </c>
      <c r="Q1330" t="str">
        <f>TEXT(order_data[[#This Row],[Order_Date]],"mmm")</f>
        <v>Feb</v>
      </c>
      <c r="R1330">
        <f>MONTH(order_data[[#This Row],[Order_Date]])</f>
        <v>2</v>
      </c>
    </row>
    <row r="1331" spans="1:18" x14ac:dyDescent="0.35">
      <c r="A1331" t="s">
        <v>2049</v>
      </c>
      <c r="B1331" t="s">
        <v>121</v>
      </c>
      <c r="C1331" t="s">
        <v>2050</v>
      </c>
      <c r="D1331" t="s">
        <v>40</v>
      </c>
      <c r="E1331" t="s">
        <v>111</v>
      </c>
      <c r="F1331" t="s">
        <v>18</v>
      </c>
      <c r="G1331" t="s">
        <v>74</v>
      </c>
      <c r="H1331">
        <v>275</v>
      </c>
      <c r="I1331">
        <v>50</v>
      </c>
      <c r="J1331">
        <v>50</v>
      </c>
      <c r="K1331" t="s">
        <v>29</v>
      </c>
      <c r="L1331">
        <v>23</v>
      </c>
      <c r="M1331" t="s">
        <v>21</v>
      </c>
      <c r="N1331">
        <f>COUNTIF(order_data[Order_ID],order_data[[#This Row],[Order_ID]])</f>
        <v>1</v>
      </c>
      <c r="O1331">
        <f>order_data[[#This Row],[Order_Value]]-order_data[[#This Row],[Discount]]</f>
        <v>225</v>
      </c>
      <c r="P1331">
        <f>order_data[[#This Row],[Order_Value]]+order_data[[#This Row],[Delivery_Fee]]-order_data[[#This Row],[Discount]]</f>
        <v>275</v>
      </c>
      <c r="Q1331" t="str">
        <f>TEXT(order_data[[#This Row],[Order_Date]],"mmm")</f>
        <v>Feb</v>
      </c>
      <c r="R1331">
        <f>MONTH(order_data[[#This Row],[Order_Date]])</f>
        <v>2</v>
      </c>
    </row>
    <row r="1332" spans="1:18" x14ac:dyDescent="0.35">
      <c r="A1332" t="s">
        <v>2051</v>
      </c>
      <c r="B1332" t="s">
        <v>526</v>
      </c>
      <c r="C1332" t="s">
        <v>914</v>
      </c>
      <c r="D1332" t="s">
        <v>40</v>
      </c>
      <c r="E1332" t="s">
        <v>111</v>
      </c>
      <c r="F1332" t="s">
        <v>18</v>
      </c>
      <c r="G1332" t="s">
        <v>63</v>
      </c>
      <c r="H1332">
        <v>503</v>
      </c>
      <c r="I1332">
        <v>20</v>
      </c>
      <c r="J1332">
        <v>100</v>
      </c>
      <c r="K1332" t="s">
        <v>20</v>
      </c>
      <c r="L1332">
        <v>48</v>
      </c>
      <c r="M1332" t="s">
        <v>21</v>
      </c>
      <c r="N1332">
        <f>COUNTIF(order_data[Order_ID],order_data[[#This Row],[Order_ID]])</f>
        <v>1</v>
      </c>
      <c r="O1332">
        <f>order_data[[#This Row],[Order_Value]]-order_data[[#This Row],[Discount]]</f>
        <v>403</v>
      </c>
      <c r="P1332">
        <f>order_data[[#This Row],[Order_Value]]+order_data[[#This Row],[Delivery_Fee]]-order_data[[#This Row],[Discount]]</f>
        <v>423</v>
      </c>
      <c r="Q1332" t="str">
        <f>TEXT(order_data[[#This Row],[Order_Date]],"mmm")</f>
        <v>Jan</v>
      </c>
      <c r="R1332">
        <f>MONTH(order_data[[#This Row],[Order_Date]])</f>
        <v>1</v>
      </c>
    </row>
    <row r="1333" spans="1:18" x14ac:dyDescent="0.35">
      <c r="A1333" t="s">
        <v>2052</v>
      </c>
      <c r="B1333" t="s">
        <v>126</v>
      </c>
      <c r="C1333" t="s">
        <v>749</v>
      </c>
      <c r="D1333" t="s">
        <v>25</v>
      </c>
      <c r="E1333" t="s">
        <v>78</v>
      </c>
      <c r="F1333" t="s">
        <v>48</v>
      </c>
      <c r="G1333" t="s">
        <v>35</v>
      </c>
      <c r="H1333">
        <v>575</v>
      </c>
      <c r="I1333">
        <v>20</v>
      </c>
      <c r="J1333">
        <v>50</v>
      </c>
      <c r="K1333" t="s">
        <v>20</v>
      </c>
      <c r="L1333">
        <v>21</v>
      </c>
      <c r="M1333" t="s">
        <v>30</v>
      </c>
      <c r="N1333">
        <f>COUNTIF(order_data[Order_ID],order_data[[#This Row],[Order_ID]])</f>
        <v>1</v>
      </c>
      <c r="O1333">
        <f>order_data[[#This Row],[Order_Value]]-order_data[[#This Row],[Discount]]</f>
        <v>525</v>
      </c>
      <c r="P1333">
        <f>order_data[[#This Row],[Order_Value]]+order_data[[#This Row],[Delivery_Fee]]-order_data[[#This Row],[Discount]]</f>
        <v>545</v>
      </c>
      <c r="Q1333" t="str">
        <f>TEXT(order_data[[#This Row],[Order_Date]],"mmm")</f>
        <v>Mar</v>
      </c>
      <c r="R1333">
        <f>MONTH(order_data[[#This Row],[Order_Date]])</f>
        <v>3</v>
      </c>
    </row>
    <row r="1334" spans="1:18" x14ac:dyDescent="0.35">
      <c r="A1334" t="s">
        <v>2053</v>
      </c>
      <c r="B1334" t="s">
        <v>486</v>
      </c>
      <c r="C1334" t="s">
        <v>1935</v>
      </c>
      <c r="D1334" t="s">
        <v>40</v>
      </c>
      <c r="E1334" t="s">
        <v>41</v>
      </c>
      <c r="F1334" t="s">
        <v>27</v>
      </c>
      <c r="G1334" t="s">
        <v>176</v>
      </c>
      <c r="H1334">
        <v>472</v>
      </c>
      <c r="I1334">
        <v>20</v>
      </c>
      <c r="J1334">
        <v>0</v>
      </c>
      <c r="K1334" t="s">
        <v>36</v>
      </c>
      <c r="L1334">
        <v>58</v>
      </c>
      <c r="M1334" t="s">
        <v>21</v>
      </c>
      <c r="N1334">
        <f>COUNTIF(order_data[Order_ID],order_data[[#This Row],[Order_ID]])</f>
        <v>1</v>
      </c>
      <c r="O1334">
        <f>order_data[[#This Row],[Order_Value]]-order_data[[#This Row],[Discount]]</f>
        <v>472</v>
      </c>
      <c r="P1334">
        <f>order_data[[#This Row],[Order_Value]]+order_data[[#This Row],[Delivery_Fee]]-order_data[[#This Row],[Discount]]</f>
        <v>492</v>
      </c>
      <c r="Q1334" t="str">
        <f>TEXT(order_data[[#This Row],[Order_Date]],"mmm")</f>
        <v>Jan</v>
      </c>
      <c r="R1334">
        <f>MONTH(order_data[[#This Row],[Order_Date]])</f>
        <v>1</v>
      </c>
    </row>
    <row r="1335" spans="1:18" x14ac:dyDescent="0.35">
      <c r="A1335" t="s">
        <v>2054</v>
      </c>
      <c r="B1335" t="s">
        <v>273</v>
      </c>
      <c r="C1335" t="s">
        <v>469</v>
      </c>
      <c r="D1335" t="s">
        <v>16</v>
      </c>
      <c r="E1335" t="s">
        <v>89</v>
      </c>
      <c r="F1335" t="s">
        <v>18</v>
      </c>
      <c r="G1335" t="s">
        <v>42</v>
      </c>
      <c r="H1335">
        <v>292</v>
      </c>
      <c r="I1335">
        <v>50</v>
      </c>
      <c r="J1335">
        <v>50</v>
      </c>
      <c r="K1335" t="s">
        <v>36</v>
      </c>
      <c r="L1335">
        <v>25</v>
      </c>
      <c r="M1335" t="s">
        <v>21</v>
      </c>
      <c r="N1335">
        <f>COUNTIF(order_data[Order_ID],order_data[[#This Row],[Order_ID]])</f>
        <v>1</v>
      </c>
      <c r="O1335">
        <f>order_data[[#This Row],[Order_Value]]-order_data[[#This Row],[Discount]]</f>
        <v>242</v>
      </c>
      <c r="P1335">
        <f>order_data[[#This Row],[Order_Value]]+order_data[[#This Row],[Delivery_Fee]]-order_data[[#This Row],[Discount]]</f>
        <v>292</v>
      </c>
      <c r="Q1335" t="str">
        <f>TEXT(order_data[[#This Row],[Order_Date]],"mmm")</f>
        <v>Mar</v>
      </c>
      <c r="R1335">
        <f>MONTH(order_data[[#This Row],[Order_Date]])</f>
        <v>3</v>
      </c>
    </row>
    <row r="1336" spans="1:18" x14ac:dyDescent="0.35">
      <c r="A1336" t="s">
        <v>2055</v>
      </c>
      <c r="B1336" t="s">
        <v>365</v>
      </c>
      <c r="C1336" t="s">
        <v>719</v>
      </c>
      <c r="D1336" t="s">
        <v>16</v>
      </c>
      <c r="E1336" t="s">
        <v>89</v>
      </c>
      <c r="F1336" t="s">
        <v>18</v>
      </c>
      <c r="G1336" t="s">
        <v>74</v>
      </c>
      <c r="H1336">
        <v>526</v>
      </c>
      <c r="I1336">
        <v>30</v>
      </c>
      <c r="J1336">
        <v>50</v>
      </c>
      <c r="K1336" t="s">
        <v>29</v>
      </c>
      <c r="L1336">
        <v>26</v>
      </c>
      <c r="M1336" t="s">
        <v>30</v>
      </c>
      <c r="N1336">
        <f>COUNTIF(order_data[Order_ID],order_data[[#This Row],[Order_ID]])</f>
        <v>1</v>
      </c>
      <c r="O1336">
        <f>order_data[[#This Row],[Order_Value]]-order_data[[#This Row],[Discount]]</f>
        <v>476</v>
      </c>
      <c r="P1336">
        <f>order_data[[#This Row],[Order_Value]]+order_data[[#This Row],[Delivery_Fee]]-order_data[[#This Row],[Discount]]</f>
        <v>506</v>
      </c>
      <c r="Q1336" t="str">
        <f>TEXT(order_data[[#This Row],[Order_Date]],"mmm")</f>
        <v>Jan</v>
      </c>
      <c r="R1336">
        <f>MONTH(order_data[[#This Row],[Order_Date]])</f>
        <v>1</v>
      </c>
    </row>
    <row r="1337" spans="1:18" x14ac:dyDescent="0.35">
      <c r="A1337" t="s">
        <v>2056</v>
      </c>
      <c r="B1337" t="s">
        <v>167</v>
      </c>
      <c r="C1337" t="s">
        <v>1913</v>
      </c>
      <c r="D1337" t="s">
        <v>25</v>
      </c>
      <c r="E1337" t="s">
        <v>78</v>
      </c>
      <c r="F1337" t="s">
        <v>48</v>
      </c>
      <c r="G1337" t="s">
        <v>19</v>
      </c>
      <c r="H1337">
        <v>745</v>
      </c>
      <c r="I1337">
        <v>20</v>
      </c>
      <c r="J1337">
        <v>30</v>
      </c>
      <c r="K1337" t="s">
        <v>20</v>
      </c>
      <c r="L1337">
        <v>29</v>
      </c>
      <c r="M1337" t="s">
        <v>21</v>
      </c>
      <c r="N1337">
        <f>COUNTIF(order_data[Order_ID],order_data[[#This Row],[Order_ID]])</f>
        <v>1</v>
      </c>
      <c r="O1337">
        <f>order_data[[#This Row],[Order_Value]]-order_data[[#This Row],[Discount]]</f>
        <v>715</v>
      </c>
      <c r="P1337">
        <f>order_data[[#This Row],[Order_Value]]+order_data[[#This Row],[Delivery_Fee]]-order_data[[#This Row],[Discount]]</f>
        <v>735</v>
      </c>
      <c r="Q1337" t="str">
        <f>TEXT(order_data[[#This Row],[Order_Date]],"mmm")</f>
        <v>Feb</v>
      </c>
      <c r="R1337">
        <f>MONTH(order_data[[#This Row],[Order_Date]])</f>
        <v>2</v>
      </c>
    </row>
    <row r="1338" spans="1:18" x14ac:dyDescent="0.35">
      <c r="A1338" t="s">
        <v>2057</v>
      </c>
      <c r="B1338" t="s">
        <v>322</v>
      </c>
      <c r="C1338" t="s">
        <v>237</v>
      </c>
      <c r="D1338" t="s">
        <v>25</v>
      </c>
      <c r="E1338" t="s">
        <v>34</v>
      </c>
      <c r="F1338" t="s">
        <v>27</v>
      </c>
      <c r="G1338" t="s">
        <v>49</v>
      </c>
      <c r="H1338">
        <v>276</v>
      </c>
      <c r="I1338">
        <v>20</v>
      </c>
      <c r="J1338">
        <v>100</v>
      </c>
      <c r="K1338" t="s">
        <v>36</v>
      </c>
      <c r="L1338">
        <v>28</v>
      </c>
      <c r="M1338" t="s">
        <v>21</v>
      </c>
      <c r="N1338">
        <f>COUNTIF(order_data[Order_ID],order_data[[#This Row],[Order_ID]])</f>
        <v>1</v>
      </c>
      <c r="O1338">
        <f>order_data[[#This Row],[Order_Value]]-order_data[[#This Row],[Discount]]</f>
        <v>176</v>
      </c>
      <c r="P1338">
        <f>order_data[[#This Row],[Order_Value]]+order_data[[#This Row],[Delivery_Fee]]-order_data[[#This Row],[Discount]]</f>
        <v>196</v>
      </c>
      <c r="Q1338" t="str">
        <f>TEXT(order_data[[#This Row],[Order_Date]],"mmm")</f>
        <v>Jan</v>
      </c>
      <c r="R1338">
        <f>MONTH(order_data[[#This Row],[Order_Date]])</f>
        <v>1</v>
      </c>
    </row>
    <row r="1339" spans="1:18" x14ac:dyDescent="0.35">
      <c r="A1339" t="s">
        <v>2058</v>
      </c>
      <c r="B1339" t="s">
        <v>280</v>
      </c>
      <c r="C1339" t="s">
        <v>480</v>
      </c>
      <c r="D1339" t="s">
        <v>40</v>
      </c>
      <c r="E1339" t="s">
        <v>111</v>
      </c>
      <c r="F1339" t="s">
        <v>18</v>
      </c>
      <c r="G1339" t="s">
        <v>63</v>
      </c>
      <c r="H1339">
        <v>246</v>
      </c>
      <c r="I1339">
        <v>50</v>
      </c>
      <c r="J1339">
        <v>100</v>
      </c>
      <c r="K1339" t="s">
        <v>29</v>
      </c>
      <c r="L1339">
        <v>24</v>
      </c>
      <c r="M1339" t="s">
        <v>21</v>
      </c>
      <c r="N1339">
        <f>COUNTIF(order_data[Order_ID],order_data[[#This Row],[Order_ID]])</f>
        <v>1</v>
      </c>
      <c r="O1339">
        <f>order_data[[#This Row],[Order_Value]]-order_data[[#This Row],[Discount]]</f>
        <v>146</v>
      </c>
      <c r="P1339">
        <f>order_data[[#This Row],[Order_Value]]+order_data[[#This Row],[Delivery_Fee]]-order_data[[#This Row],[Discount]]</f>
        <v>196</v>
      </c>
      <c r="Q1339" t="str">
        <f>TEXT(order_data[[#This Row],[Order_Date]],"mmm")</f>
        <v>Jan</v>
      </c>
      <c r="R1339">
        <f>MONTH(order_data[[#This Row],[Order_Date]])</f>
        <v>1</v>
      </c>
    </row>
    <row r="1340" spans="1:18" x14ac:dyDescent="0.35">
      <c r="A1340" t="s">
        <v>2059</v>
      </c>
      <c r="B1340" t="s">
        <v>454</v>
      </c>
      <c r="C1340" t="s">
        <v>1318</v>
      </c>
      <c r="D1340" t="s">
        <v>40</v>
      </c>
      <c r="E1340" t="s">
        <v>67</v>
      </c>
      <c r="F1340" t="s">
        <v>48</v>
      </c>
      <c r="G1340" t="s">
        <v>107</v>
      </c>
      <c r="H1340">
        <v>529</v>
      </c>
      <c r="I1340">
        <v>30</v>
      </c>
      <c r="J1340">
        <v>30</v>
      </c>
      <c r="K1340" t="s">
        <v>36</v>
      </c>
      <c r="L1340">
        <v>33</v>
      </c>
      <c r="M1340" t="s">
        <v>21</v>
      </c>
      <c r="N1340">
        <f>COUNTIF(order_data[Order_ID],order_data[[#This Row],[Order_ID]])</f>
        <v>1</v>
      </c>
      <c r="O1340">
        <f>order_data[[#This Row],[Order_Value]]-order_data[[#This Row],[Discount]]</f>
        <v>499</v>
      </c>
      <c r="P1340">
        <f>order_data[[#This Row],[Order_Value]]+order_data[[#This Row],[Delivery_Fee]]-order_data[[#This Row],[Discount]]</f>
        <v>529</v>
      </c>
      <c r="Q1340" t="str">
        <f>TEXT(order_data[[#This Row],[Order_Date]],"mmm")</f>
        <v>Jan</v>
      </c>
      <c r="R1340">
        <f>MONTH(order_data[[#This Row],[Order_Date]])</f>
        <v>1</v>
      </c>
    </row>
    <row r="1341" spans="1:18" x14ac:dyDescent="0.35">
      <c r="A1341" t="s">
        <v>2060</v>
      </c>
      <c r="B1341" t="s">
        <v>342</v>
      </c>
      <c r="C1341" t="s">
        <v>501</v>
      </c>
      <c r="D1341" t="s">
        <v>46</v>
      </c>
      <c r="E1341" t="s">
        <v>148</v>
      </c>
      <c r="F1341" t="s">
        <v>27</v>
      </c>
      <c r="G1341" t="s">
        <v>59</v>
      </c>
      <c r="H1341">
        <v>426</v>
      </c>
      <c r="I1341">
        <v>40</v>
      </c>
      <c r="J1341">
        <v>20</v>
      </c>
      <c r="K1341" t="s">
        <v>29</v>
      </c>
      <c r="L1341">
        <v>32</v>
      </c>
      <c r="M1341" t="s">
        <v>21</v>
      </c>
      <c r="N1341">
        <f>COUNTIF(order_data[Order_ID],order_data[[#This Row],[Order_ID]])</f>
        <v>1</v>
      </c>
      <c r="O1341">
        <f>order_data[[#This Row],[Order_Value]]-order_data[[#This Row],[Discount]]</f>
        <v>406</v>
      </c>
      <c r="P1341">
        <f>order_data[[#This Row],[Order_Value]]+order_data[[#This Row],[Delivery_Fee]]-order_data[[#This Row],[Discount]]</f>
        <v>446</v>
      </c>
      <c r="Q1341" t="str">
        <f>TEXT(order_data[[#This Row],[Order_Date]],"mmm")</f>
        <v>Jan</v>
      </c>
      <c r="R1341">
        <f>MONTH(order_data[[#This Row],[Order_Date]])</f>
        <v>1</v>
      </c>
    </row>
    <row r="1342" spans="1:18" x14ac:dyDescent="0.35">
      <c r="A1342" t="s">
        <v>2061</v>
      </c>
      <c r="B1342" t="s">
        <v>113</v>
      </c>
      <c r="C1342" t="s">
        <v>2062</v>
      </c>
      <c r="D1342" t="s">
        <v>46</v>
      </c>
      <c r="E1342" t="s">
        <v>47</v>
      </c>
      <c r="F1342" t="s">
        <v>48</v>
      </c>
      <c r="G1342" t="s">
        <v>28</v>
      </c>
      <c r="H1342">
        <v>611</v>
      </c>
      <c r="I1342">
        <v>30</v>
      </c>
      <c r="J1342">
        <v>0</v>
      </c>
      <c r="K1342" t="s">
        <v>29</v>
      </c>
      <c r="L1342">
        <v>43</v>
      </c>
      <c r="M1342" t="s">
        <v>21</v>
      </c>
      <c r="N1342">
        <f>COUNTIF(order_data[Order_ID],order_data[[#This Row],[Order_ID]])</f>
        <v>1</v>
      </c>
      <c r="O1342">
        <f>order_data[[#This Row],[Order_Value]]-order_data[[#This Row],[Discount]]</f>
        <v>611</v>
      </c>
      <c r="P1342">
        <f>order_data[[#This Row],[Order_Value]]+order_data[[#This Row],[Delivery_Fee]]-order_data[[#This Row],[Discount]]</f>
        <v>641</v>
      </c>
      <c r="Q1342" t="str">
        <f>TEXT(order_data[[#This Row],[Order_Date]],"mmm")</f>
        <v>Mar</v>
      </c>
      <c r="R1342">
        <f>MONTH(order_data[[#This Row],[Order_Date]])</f>
        <v>3</v>
      </c>
    </row>
    <row r="1343" spans="1:18" x14ac:dyDescent="0.35">
      <c r="A1343" t="s">
        <v>2063</v>
      </c>
      <c r="B1343" t="s">
        <v>14</v>
      </c>
      <c r="C1343" t="s">
        <v>127</v>
      </c>
      <c r="D1343" t="s">
        <v>16</v>
      </c>
      <c r="E1343" t="s">
        <v>89</v>
      </c>
      <c r="F1343" t="s">
        <v>18</v>
      </c>
      <c r="G1343" t="s">
        <v>19</v>
      </c>
      <c r="H1343">
        <v>644</v>
      </c>
      <c r="I1343">
        <v>50</v>
      </c>
      <c r="J1343">
        <v>30</v>
      </c>
      <c r="K1343" t="s">
        <v>29</v>
      </c>
      <c r="L1343">
        <v>27</v>
      </c>
      <c r="M1343" t="s">
        <v>21</v>
      </c>
      <c r="N1343">
        <f>COUNTIF(order_data[Order_ID],order_data[[#This Row],[Order_ID]])</f>
        <v>1</v>
      </c>
      <c r="O1343">
        <f>order_data[[#This Row],[Order_Value]]-order_data[[#This Row],[Discount]]</f>
        <v>614</v>
      </c>
      <c r="P1343">
        <f>order_data[[#This Row],[Order_Value]]+order_data[[#This Row],[Delivery_Fee]]-order_data[[#This Row],[Discount]]</f>
        <v>664</v>
      </c>
      <c r="Q1343" t="str">
        <f>TEXT(order_data[[#This Row],[Order_Date]],"mmm")</f>
        <v>Mar</v>
      </c>
      <c r="R1343">
        <f>MONTH(order_data[[#This Row],[Order_Date]])</f>
        <v>3</v>
      </c>
    </row>
    <row r="1344" spans="1:18" x14ac:dyDescent="0.35">
      <c r="A1344" t="s">
        <v>2064</v>
      </c>
      <c r="B1344" t="s">
        <v>273</v>
      </c>
      <c r="C1344" t="s">
        <v>816</v>
      </c>
      <c r="D1344" t="s">
        <v>40</v>
      </c>
      <c r="E1344" t="s">
        <v>67</v>
      </c>
      <c r="F1344" t="s">
        <v>48</v>
      </c>
      <c r="G1344" t="s">
        <v>74</v>
      </c>
      <c r="H1344">
        <v>340</v>
      </c>
      <c r="I1344">
        <v>30</v>
      </c>
      <c r="J1344">
        <v>100</v>
      </c>
      <c r="K1344" t="s">
        <v>29</v>
      </c>
      <c r="L1344">
        <v>29</v>
      </c>
      <c r="M1344" t="s">
        <v>21</v>
      </c>
      <c r="N1344">
        <f>COUNTIF(order_data[Order_ID],order_data[[#This Row],[Order_ID]])</f>
        <v>1</v>
      </c>
      <c r="O1344">
        <f>order_data[[#This Row],[Order_Value]]-order_data[[#This Row],[Discount]]</f>
        <v>240</v>
      </c>
      <c r="P1344">
        <f>order_data[[#This Row],[Order_Value]]+order_data[[#This Row],[Delivery_Fee]]-order_data[[#This Row],[Discount]]</f>
        <v>270</v>
      </c>
      <c r="Q1344" t="str">
        <f>TEXT(order_data[[#This Row],[Order_Date]],"mmm")</f>
        <v>Mar</v>
      </c>
      <c r="R1344">
        <f>MONTH(order_data[[#This Row],[Order_Date]])</f>
        <v>3</v>
      </c>
    </row>
    <row r="1345" spans="1:18" x14ac:dyDescent="0.35">
      <c r="A1345" t="s">
        <v>2065</v>
      </c>
      <c r="B1345" t="s">
        <v>580</v>
      </c>
      <c r="C1345" t="s">
        <v>842</v>
      </c>
      <c r="D1345" t="s">
        <v>53</v>
      </c>
      <c r="E1345" t="s">
        <v>152</v>
      </c>
      <c r="F1345" t="s">
        <v>18</v>
      </c>
      <c r="G1345" t="s">
        <v>28</v>
      </c>
      <c r="H1345">
        <v>217</v>
      </c>
      <c r="I1345">
        <v>40</v>
      </c>
      <c r="J1345">
        <v>50</v>
      </c>
      <c r="K1345" t="s">
        <v>29</v>
      </c>
      <c r="L1345">
        <v>35</v>
      </c>
      <c r="M1345" t="s">
        <v>21</v>
      </c>
      <c r="N1345">
        <f>COUNTIF(order_data[Order_ID],order_data[[#This Row],[Order_ID]])</f>
        <v>1</v>
      </c>
      <c r="O1345">
        <f>order_data[[#This Row],[Order_Value]]-order_data[[#This Row],[Discount]]</f>
        <v>167</v>
      </c>
      <c r="P1345">
        <f>order_data[[#This Row],[Order_Value]]+order_data[[#This Row],[Delivery_Fee]]-order_data[[#This Row],[Discount]]</f>
        <v>207</v>
      </c>
      <c r="Q1345" t="str">
        <f>TEXT(order_data[[#This Row],[Order_Date]],"mmm")</f>
        <v>Mar</v>
      </c>
      <c r="R1345">
        <f>MONTH(order_data[[#This Row],[Order_Date]])</f>
        <v>3</v>
      </c>
    </row>
    <row r="1346" spans="1:18" x14ac:dyDescent="0.35">
      <c r="A1346" t="s">
        <v>2066</v>
      </c>
      <c r="B1346" t="s">
        <v>65</v>
      </c>
      <c r="C1346" t="s">
        <v>612</v>
      </c>
      <c r="D1346" t="s">
        <v>25</v>
      </c>
      <c r="E1346" t="s">
        <v>26</v>
      </c>
      <c r="F1346" t="s">
        <v>27</v>
      </c>
      <c r="G1346" t="s">
        <v>63</v>
      </c>
      <c r="H1346">
        <v>290</v>
      </c>
      <c r="I1346">
        <v>20</v>
      </c>
      <c r="J1346">
        <v>30</v>
      </c>
      <c r="K1346" t="s">
        <v>36</v>
      </c>
      <c r="L1346">
        <v>49</v>
      </c>
      <c r="M1346" t="s">
        <v>30</v>
      </c>
      <c r="N1346">
        <f>COUNTIF(order_data[Order_ID],order_data[[#This Row],[Order_ID]])</f>
        <v>1</v>
      </c>
      <c r="O1346">
        <f>order_data[[#This Row],[Order_Value]]-order_data[[#This Row],[Discount]]</f>
        <v>260</v>
      </c>
      <c r="P1346">
        <f>order_data[[#This Row],[Order_Value]]+order_data[[#This Row],[Delivery_Fee]]-order_data[[#This Row],[Discount]]</f>
        <v>280</v>
      </c>
      <c r="Q1346" t="str">
        <f>TEXT(order_data[[#This Row],[Order_Date]],"mmm")</f>
        <v>Mar</v>
      </c>
      <c r="R1346">
        <f>MONTH(order_data[[#This Row],[Order_Date]])</f>
        <v>3</v>
      </c>
    </row>
    <row r="1347" spans="1:18" x14ac:dyDescent="0.35">
      <c r="A1347" t="s">
        <v>2067</v>
      </c>
      <c r="B1347" t="s">
        <v>167</v>
      </c>
      <c r="C1347" t="s">
        <v>2068</v>
      </c>
      <c r="D1347" t="s">
        <v>46</v>
      </c>
      <c r="E1347" t="s">
        <v>47</v>
      </c>
      <c r="F1347" t="s">
        <v>48</v>
      </c>
      <c r="G1347" t="s">
        <v>35</v>
      </c>
      <c r="H1347">
        <v>309</v>
      </c>
      <c r="I1347">
        <v>20</v>
      </c>
      <c r="J1347">
        <v>20</v>
      </c>
      <c r="K1347" t="s">
        <v>29</v>
      </c>
      <c r="L1347">
        <v>53</v>
      </c>
      <c r="M1347" t="s">
        <v>21</v>
      </c>
      <c r="N1347">
        <f>COUNTIF(order_data[Order_ID],order_data[[#This Row],[Order_ID]])</f>
        <v>1</v>
      </c>
      <c r="O1347">
        <f>order_data[[#This Row],[Order_Value]]-order_data[[#This Row],[Discount]]</f>
        <v>289</v>
      </c>
      <c r="P1347">
        <f>order_data[[#This Row],[Order_Value]]+order_data[[#This Row],[Delivery_Fee]]-order_data[[#This Row],[Discount]]</f>
        <v>309</v>
      </c>
      <c r="Q1347" t="str">
        <f>TEXT(order_data[[#This Row],[Order_Date]],"mmm")</f>
        <v>Feb</v>
      </c>
      <c r="R1347">
        <f>MONTH(order_data[[#This Row],[Order_Date]])</f>
        <v>2</v>
      </c>
    </row>
    <row r="1348" spans="1:18" x14ac:dyDescent="0.35">
      <c r="A1348" t="s">
        <v>2069</v>
      </c>
      <c r="B1348" t="s">
        <v>69</v>
      </c>
      <c r="C1348" t="s">
        <v>391</v>
      </c>
      <c r="D1348" t="s">
        <v>53</v>
      </c>
      <c r="E1348" t="s">
        <v>84</v>
      </c>
      <c r="F1348" t="s">
        <v>85</v>
      </c>
      <c r="G1348" t="s">
        <v>19</v>
      </c>
      <c r="H1348">
        <v>245</v>
      </c>
      <c r="I1348">
        <v>40</v>
      </c>
      <c r="J1348">
        <v>0</v>
      </c>
      <c r="K1348" t="s">
        <v>36</v>
      </c>
      <c r="L1348">
        <v>32</v>
      </c>
      <c r="M1348" t="s">
        <v>21</v>
      </c>
      <c r="N1348">
        <f>COUNTIF(order_data[Order_ID],order_data[[#This Row],[Order_ID]])</f>
        <v>1</v>
      </c>
      <c r="O1348">
        <f>order_data[[#This Row],[Order_Value]]-order_data[[#This Row],[Discount]]</f>
        <v>245</v>
      </c>
      <c r="P1348">
        <f>order_data[[#This Row],[Order_Value]]+order_data[[#This Row],[Delivery_Fee]]-order_data[[#This Row],[Discount]]</f>
        <v>285</v>
      </c>
      <c r="Q1348" t="str">
        <f>TEXT(order_data[[#This Row],[Order_Date]],"mmm")</f>
        <v>Feb</v>
      </c>
      <c r="R1348">
        <f>MONTH(order_data[[#This Row],[Order_Date]])</f>
        <v>2</v>
      </c>
    </row>
    <row r="1349" spans="1:18" x14ac:dyDescent="0.35">
      <c r="A1349" t="s">
        <v>2070</v>
      </c>
      <c r="B1349" t="s">
        <v>568</v>
      </c>
      <c r="C1349" t="s">
        <v>474</v>
      </c>
      <c r="D1349" t="s">
        <v>40</v>
      </c>
      <c r="E1349" t="s">
        <v>111</v>
      </c>
      <c r="F1349" t="s">
        <v>18</v>
      </c>
      <c r="G1349" t="s">
        <v>63</v>
      </c>
      <c r="H1349">
        <v>390</v>
      </c>
      <c r="I1349">
        <v>40</v>
      </c>
      <c r="J1349">
        <v>0</v>
      </c>
      <c r="K1349" t="s">
        <v>29</v>
      </c>
      <c r="L1349">
        <v>33</v>
      </c>
      <c r="M1349" t="s">
        <v>21</v>
      </c>
      <c r="N1349">
        <f>COUNTIF(order_data[Order_ID],order_data[[#This Row],[Order_ID]])</f>
        <v>1</v>
      </c>
      <c r="O1349">
        <f>order_data[[#This Row],[Order_Value]]-order_data[[#This Row],[Discount]]</f>
        <v>390</v>
      </c>
      <c r="P1349">
        <f>order_data[[#This Row],[Order_Value]]+order_data[[#This Row],[Delivery_Fee]]-order_data[[#This Row],[Discount]]</f>
        <v>430</v>
      </c>
      <c r="Q1349" t="str">
        <f>TEXT(order_data[[#This Row],[Order_Date]],"mmm")</f>
        <v>Mar</v>
      </c>
      <c r="R1349">
        <f>MONTH(order_data[[#This Row],[Order_Date]])</f>
        <v>3</v>
      </c>
    </row>
    <row r="1350" spans="1:18" x14ac:dyDescent="0.35">
      <c r="A1350" t="s">
        <v>2071</v>
      </c>
      <c r="B1350" t="s">
        <v>271</v>
      </c>
      <c r="C1350" t="s">
        <v>2072</v>
      </c>
      <c r="D1350" t="s">
        <v>25</v>
      </c>
      <c r="E1350" t="s">
        <v>34</v>
      </c>
      <c r="F1350" t="s">
        <v>27</v>
      </c>
      <c r="G1350" t="s">
        <v>49</v>
      </c>
      <c r="H1350">
        <v>193</v>
      </c>
      <c r="I1350">
        <v>50</v>
      </c>
      <c r="J1350">
        <v>0</v>
      </c>
      <c r="K1350" t="s">
        <v>36</v>
      </c>
      <c r="L1350">
        <v>31</v>
      </c>
      <c r="M1350" t="s">
        <v>21</v>
      </c>
      <c r="N1350">
        <f>COUNTIF(order_data[Order_ID],order_data[[#This Row],[Order_ID]])</f>
        <v>1</v>
      </c>
      <c r="O1350">
        <f>order_data[[#This Row],[Order_Value]]-order_data[[#This Row],[Discount]]</f>
        <v>193</v>
      </c>
      <c r="P1350">
        <f>order_data[[#This Row],[Order_Value]]+order_data[[#This Row],[Delivery_Fee]]-order_data[[#This Row],[Discount]]</f>
        <v>243</v>
      </c>
      <c r="Q1350" t="str">
        <f>TEXT(order_data[[#This Row],[Order_Date]],"mmm")</f>
        <v>Jan</v>
      </c>
      <c r="R1350">
        <f>MONTH(order_data[[#This Row],[Order_Date]])</f>
        <v>1</v>
      </c>
    </row>
    <row r="1351" spans="1:18" x14ac:dyDescent="0.35">
      <c r="A1351" t="s">
        <v>2073</v>
      </c>
      <c r="B1351" t="s">
        <v>432</v>
      </c>
      <c r="C1351" t="s">
        <v>197</v>
      </c>
      <c r="D1351" t="s">
        <v>46</v>
      </c>
      <c r="E1351" t="s">
        <v>70</v>
      </c>
      <c r="F1351" t="s">
        <v>18</v>
      </c>
      <c r="G1351" t="s">
        <v>42</v>
      </c>
      <c r="H1351">
        <v>187</v>
      </c>
      <c r="I1351">
        <v>30</v>
      </c>
      <c r="J1351">
        <v>0</v>
      </c>
      <c r="K1351" t="s">
        <v>29</v>
      </c>
      <c r="L1351">
        <v>52</v>
      </c>
      <c r="M1351" t="s">
        <v>21</v>
      </c>
      <c r="N1351">
        <f>COUNTIF(order_data[Order_ID],order_data[[#This Row],[Order_ID]])</f>
        <v>1</v>
      </c>
      <c r="O1351">
        <f>order_data[[#This Row],[Order_Value]]-order_data[[#This Row],[Discount]]</f>
        <v>187</v>
      </c>
      <c r="P1351">
        <f>order_data[[#This Row],[Order_Value]]+order_data[[#This Row],[Delivery_Fee]]-order_data[[#This Row],[Discount]]</f>
        <v>217</v>
      </c>
      <c r="Q1351" t="str">
        <f>TEXT(order_data[[#This Row],[Order_Date]],"mmm")</f>
        <v>Feb</v>
      </c>
      <c r="R1351">
        <f>MONTH(order_data[[#This Row],[Order_Date]])</f>
        <v>2</v>
      </c>
    </row>
    <row r="1352" spans="1:18" x14ac:dyDescent="0.35">
      <c r="A1352" t="s">
        <v>2074</v>
      </c>
      <c r="B1352" t="s">
        <v>205</v>
      </c>
      <c r="C1352" t="s">
        <v>954</v>
      </c>
      <c r="D1352" t="s">
        <v>53</v>
      </c>
      <c r="E1352" t="s">
        <v>84</v>
      </c>
      <c r="F1352" t="s">
        <v>85</v>
      </c>
      <c r="G1352" t="s">
        <v>107</v>
      </c>
      <c r="H1352">
        <v>201</v>
      </c>
      <c r="I1352">
        <v>30</v>
      </c>
      <c r="J1352">
        <v>30</v>
      </c>
      <c r="K1352" t="s">
        <v>29</v>
      </c>
      <c r="L1352">
        <v>55</v>
      </c>
      <c r="M1352" t="s">
        <v>21</v>
      </c>
      <c r="N1352">
        <f>COUNTIF(order_data[Order_ID],order_data[[#This Row],[Order_ID]])</f>
        <v>1</v>
      </c>
      <c r="O1352">
        <f>order_data[[#This Row],[Order_Value]]-order_data[[#This Row],[Discount]]</f>
        <v>171</v>
      </c>
      <c r="P1352">
        <f>order_data[[#This Row],[Order_Value]]+order_data[[#This Row],[Delivery_Fee]]-order_data[[#This Row],[Discount]]</f>
        <v>201</v>
      </c>
      <c r="Q1352" t="str">
        <f>TEXT(order_data[[#This Row],[Order_Date]],"mmm")</f>
        <v>Jan</v>
      </c>
      <c r="R1352">
        <f>MONTH(order_data[[#This Row],[Order_Date]])</f>
        <v>1</v>
      </c>
    </row>
    <row r="1353" spans="1:18" x14ac:dyDescent="0.35">
      <c r="A1353" t="s">
        <v>2075</v>
      </c>
      <c r="B1353" t="s">
        <v>121</v>
      </c>
      <c r="C1353" t="s">
        <v>976</v>
      </c>
      <c r="D1353" t="s">
        <v>53</v>
      </c>
      <c r="E1353" t="s">
        <v>152</v>
      </c>
      <c r="F1353" t="s">
        <v>18</v>
      </c>
      <c r="G1353" t="s">
        <v>19</v>
      </c>
      <c r="H1353">
        <v>787</v>
      </c>
      <c r="I1353">
        <v>50</v>
      </c>
      <c r="J1353">
        <v>20</v>
      </c>
      <c r="K1353" t="s">
        <v>20</v>
      </c>
      <c r="L1353">
        <v>31</v>
      </c>
      <c r="M1353" t="s">
        <v>21</v>
      </c>
      <c r="N1353">
        <f>COUNTIF(order_data[Order_ID],order_data[[#This Row],[Order_ID]])</f>
        <v>1</v>
      </c>
      <c r="O1353">
        <f>order_data[[#This Row],[Order_Value]]-order_data[[#This Row],[Discount]]</f>
        <v>767</v>
      </c>
      <c r="P1353">
        <f>order_data[[#This Row],[Order_Value]]+order_data[[#This Row],[Delivery_Fee]]-order_data[[#This Row],[Discount]]</f>
        <v>817</v>
      </c>
      <c r="Q1353" t="str">
        <f>TEXT(order_data[[#This Row],[Order_Date]],"mmm")</f>
        <v>Feb</v>
      </c>
      <c r="R1353">
        <f>MONTH(order_data[[#This Row],[Order_Date]])</f>
        <v>2</v>
      </c>
    </row>
    <row r="1354" spans="1:18" x14ac:dyDescent="0.35">
      <c r="A1354" t="s">
        <v>2076</v>
      </c>
      <c r="B1354" t="s">
        <v>329</v>
      </c>
      <c r="C1354" t="s">
        <v>1589</v>
      </c>
      <c r="D1354" t="s">
        <v>53</v>
      </c>
      <c r="E1354" t="s">
        <v>54</v>
      </c>
      <c r="F1354" t="s">
        <v>55</v>
      </c>
      <c r="G1354" t="s">
        <v>176</v>
      </c>
      <c r="H1354">
        <v>479</v>
      </c>
      <c r="I1354">
        <v>50</v>
      </c>
      <c r="J1354">
        <v>50</v>
      </c>
      <c r="K1354" t="s">
        <v>29</v>
      </c>
      <c r="L1354">
        <v>32</v>
      </c>
      <c r="M1354" t="s">
        <v>21</v>
      </c>
      <c r="N1354">
        <f>COUNTIF(order_data[Order_ID],order_data[[#This Row],[Order_ID]])</f>
        <v>1</v>
      </c>
      <c r="O1354">
        <f>order_data[[#This Row],[Order_Value]]-order_data[[#This Row],[Discount]]</f>
        <v>429</v>
      </c>
      <c r="P1354">
        <f>order_data[[#This Row],[Order_Value]]+order_data[[#This Row],[Delivery_Fee]]-order_data[[#This Row],[Discount]]</f>
        <v>479</v>
      </c>
      <c r="Q1354" t="str">
        <f>TEXT(order_data[[#This Row],[Order_Date]],"mmm")</f>
        <v>Mar</v>
      </c>
      <c r="R1354">
        <f>MONTH(order_data[[#This Row],[Order_Date]])</f>
        <v>3</v>
      </c>
    </row>
    <row r="1355" spans="1:18" x14ac:dyDescent="0.35">
      <c r="A1355" t="s">
        <v>2077</v>
      </c>
      <c r="B1355" t="s">
        <v>473</v>
      </c>
      <c r="C1355" t="s">
        <v>2078</v>
      </c>
      <c r="D1355" t="s">
        <v>40</v>
      </c>
      <c r="E1355" t="s">
        <v>41</v>
      </c>
      <c r="F1355" t="s">
        <v>27</v>
      </c>
      <c r="G1355" t="s">
        <v>42</v>
      </c>
      <c r="H1355">
        <v>332</v>
      </c>
      <c r="I1355">
        <v>20</v>
      </c>
      <c r="J1355">
        <v>0</v>
      </c>
      <c r="K1355" t="s">
        <v>36</v>
      </c>
      <c r="L1355">
        <v>54</v>
      </c>
      <c r="M1355" t="s">
        <v>21</v>
      </c>
      <c r="N1355">
        <f>COUNTIF(order_data[Order_ID],order_data[[#This Row],[Order_ID]])</f>
        <v>1</v>
      </c>
      <c r="O1355">
        <f>order_data[[#This Row],[Order_Value]]-order_data[[#This Row],[Discount]]</f>
        <v>332</v>
      </c>
      <c r="P1355">
        <f>order_data[[#This Row],[Order_Value]]+order_data[[#This Row],[Delivery_Fee]]-order_data[[#This Row],[Discount]]</f>
        <v>352</v>
      </c>
      <c r="Q1355" t="str">
        <f>TEXT(order_data[[#This Row],[Order_Date]],"mmm")</f>
        <v>Mar</v>
      </c>
      <c r="R1355">
        <f>MONTH(order_data[[#This Row],[Order_Date]])</f>
        <v>3</v>
      </c>
    </row>
    <row r="1356" spans="1:18" x14ac:dyDescent="0.35">
      <c r="A1356" t="s">
        <v>2079</v>
      </c>
      <c r="B1356" t="s">
        <v>291</v>
      </c>
      <c r="C1356" t="s">
        <v>585</v>
      </c>
      <c r="D1356" t="s">
        <v>25</v>
      </c>
      <c r="E1356" t="s">
        <v>78</v>
      </c>
      <c r="F1356" t="s">
        <v>48</v>
      </c>
      <c r="G1356" t="s">
        <v>19</v>
      </c>
      <c r="H1356">
        <v>486</v>
      </c>
      <c r="I1356">
        <v>50</v>
      </c>
      <c r="J1356">
        <v>50</v>
      </c>
      <c r="K1356" t="s">
        <v>36</v>
      </c>
      <c r="L1356">
        <v>54</v>
      </c>
      <c r="M1356" t="s">
        <v>21</v>
      </c>
      <c r="N1356">
        <f>COUNTIF(order_data[Order_ID],order_data[[#This Row],[Order_ID]])</f>
        <v>1</v>
      </c>
      <c r="O1356">
        <f>order_data[[#This Row],[Order_Value]]-order_data[[#This Row],[Discount]]</f>
        <v>436</v>
      </c>
      <c r="P1356">
        <f>order_data[[#This Row],[Order_Value]]+order_data[[#This Row],[Delivery_Fee]]-order_data[[#This Row],[Discount]]</f>
        <v>486</v>
      </c>
      <c r="Q1356" t="str">
        <f>TEXT(order_data[[#This Row],[Order_Date]],"mmm")</f>
        <v>Feb</v>
      </c>
      <c r="R1356">
        <f>MONTH(order_data[[#This Row],[Order_Date]])</f>
        <v>2</v>
      </c>
    </row>
    <row r="1357" spans="1:18" x14ac:dyDescent="0.35">
      <c r="A1357" t="s">
        <v>2080</v>
      </c>
      <c r="B1357" t="s">
        <v>146</v>
      </c>
      <c r="C1357" t="s">
        <v>1649</v>
      </c>
      <c r="D1357" t="s">
        <v>46</v>
      </c>
      <c r="E1357" t="s">
        <v>47</v>
      </c>
      <c r="F1357" t="s">
        <v>48</v>
      </c>
      <c r="G1357" t="s">
        <v>74</v>
      </c>
      <c r="H1357">
        <v>391</v>
      </c>
      <c r="I1357">
        <v>40</v>
      </c>
      <c r="J1357">
        <v>50</v>
      </c>
      <c r="K1357" t="s">
        <v>29</v>
      </c>
      <c r="L1357">
        <v>36</v>
      </c>
      <c r="M1357" t="s">
        <v>21</v>
      </c>
      <c r="N1357">
        <f>COUNTIF(order_data[Order_ID],order_data[[#This Row],[Order_ID]])</f>
        <v>1</v>
      </c>
      <c r="O1357">
        <f>order_data[[#This Row],[Order_Value]]-order_data[[#This Row],[Discount]]</f>
        <v>341</v>
      </c>
      <c r="P1357">
        <f>order_data[[#This Row],[Order_Value]]+order_data[[#This Row],[Delivery_Fee]]-order_data[[#This Row],[Discount]]</f>
        <v>381</v>
      </c>
      <c r="Q1357" t="str">
        <f>TEXT(order_data[[#This Row],[Order_Date]],"mmm")</f>
        <v>Feb</v>
      </c>
      <c r="R1357">
        <f>MONTH(order_data[[#This Row],[Order_Date]])</f>
        <v>2</v>
      </c>
    </row>
    <row r="1358" spans="1:18" x14ac:dyDescent="0.35">
      <c r="A1358" t="s">
        <v>2081</v>
      </c>
      <c r="B1358" t="s">
        <v>280</v>
      </c>
      <c r="C1358" t="s">
        <v>1649</v>
      </c>
      <c r="D1358" t="s">
        <v>25</v>
      </c>
      <c r="E1358" t="s">
        <v>78</v>
      </c>
      <c r="F1358" t="s">
        <v>48</v>
      </c>
      <c r="G1358" t="s">
        <v>176</v>
      </c>
      <c r="H1358">
        <v>701</v>
      </c>
      <c r="I1358">
        <v>20</v>
      </c>
      <c r="J1358">
        <v>0</v>
      </c>
      <c r="K1358" t="s">
        <v>36</v>
      </c>
      <c r="L1358">
        <v>23</v>
      </c>
      <c r="M1358" t="s">
        <v>21</v>
      </c>
      <c r="N1358">
        <f>COUNTIF(order_data[Order_ID],order_data[[#This Row],[Order_ID]])</f>
        <v>1</v>
      </c>
      <c r="O1358">
        <f>order_data[[#This Row],[Order_Value]]-order_data[[#This Row],[Discount]]</f>
        <v>701</v>
      </c>
      <c r="P1358">
        <f>order_data[[#This Row],[Order_Value]]+order_data[[#This Row],[Delivery_Fee]]-order_data[[#This Row],[Discount]]</f>
        <v>721</v>
      </c>
      <c r="Q1358" t="str">
        <f>TEXT(order_data[[#This Row],[Order_Date]],"mmm")</f>
        <v>Jan</v>
      </c>
      <c r="R1358">
        <f>MONTH(order_data[[#This Row],[Order_Date]])</f>
        <v>1</v>
      </c>
    </row>
    <row r="1359" spans="1:18" x14ac:dyDescent="0.35">
      <c r="A1359" t="s">
        <v>2082</v>
      </c>
      <c r="B1359" t="s">
        <v>76</v>
      </c>
      <c r="C1359" t="s">
        <v>2083</v>
      </c>
      <c r="D1359" t="s">
        <v>40</v>
      </c>
      <c r="E1359" t="s">
        <v>111</v>
      </c>
      <c r="F1359" t="s">
        <v>18</v>
      </c>
      <c r="G1359" t="s">
        <v>49</v>
      </c>
      <c r="H1359">
        <v>174</v>
      </c>
      <c r="I1359">
        <v>20</v>
      </c>
      <c r="J1359">
        <v>30</v>
      </c>
      <c r="K1359" t="s">
        <v>20</v>
      </c>
      <c r="L1359">
        <v>48</v>
      </c>
      <c r="M1359" t="s">
        <v>21</v>
      </c>
      <c r="N1359">
        <f>COUNTIF(order_data[Order_ID],order_data[[#This Row],[Order_ID]])</f>
        <v>1</v>
      </c>
      <c r="O1359">
        <f>order_data[[#This Row],[Order_Value]]-order_data[[#This Row],[Discount]]</f>
        <v>144</v>
      </c>
      <c r="P1359">
        <f>order_data[[#This Row],[Order_Value]]+order_data[[#This Row],[Delivery_Fee]]-order_data[[#This Row],[Discount]]</f>
        <v>164</v>
      </c>
      <c r="Q1359" t="str">
        <f>TEXT(order_data[[#This Row],[Order_Date]],"mmm")</f>
        <v>Feb</v>
      </c>
      <c r="R1359">
        <f>MONTH(order_data[[#This Row],[Order_Date]])</f>
        <v>2</v>
      </c>
    </row>
    <row r="1360" spans="1:18" x14ac:dyDescent="0.35">
      <c r="A1360" t="s">
        <v>2084</v>
      </c>
      <c r="B1360" t="s">
        <v>23</v>
      </c>
      <c r="C1360" t="s">
        <v>1430</v>
      </c>
      <c r="D1360" t="s">
        <v>53</v>
      </c>
      <c r="E1360" t="s">
        <v>152</v>
      </c>
      <c r="F1360" t="s">
        <v>18</v>
      </c>
      <c r="G1360" t="s">
        <v>63</v>
      </c>
      <c r="H1360">
        <v>779</v>
      </c>
      <c r="I1360">
        <v>40</v>
      </c>
      <c r="J1360">
        <v>0</v>
      </c>
      <c r="K1360" t="s">
        <v>20</v>
      </c>
      <c r="L1360">
        <v>33</v>
      </c>
      <c r="M1360" t="s">
        <v>21</v>
      </c>
      <c r="N1360">
        <f>COUNTIF(order_data[Order_ID],order_data[[#This Row],[Order_ID]])</f>
        <v>1</v>
      </c>
      <c r="O1360">
        <f>order_data[[#This Row],[Order_Value]]-order_data[[#This Row],[Discount]]</f>
        <v>779</v>
      </c>
      <c r="P1360">
        <f>order_data[[#This Row],[Order_Value]]+order_data[[#This Row],[Delivery_Fee]]-order_data[[#This Row],[Discount]]</f>
        <v>819</v>
      </c>
      <c r="Q1360" t="str">
        <f>TEXT(order_data[[#This Row],[Order_Date]],"mmm")</f>
        <v>Mar</v>
      </c>
      <c r="R1360">
        <f>MONTH(order_data[[#This Row],[Order_Date]])</f>
        <v>3</v>
      </c>
    </row>
    <row r="1361" spans="1:18" x14ac:dyDescent="0.35">
      <c r="A1361" t="s">
        <v>2085</v>
      </c>
      <c r="B1361" t="s">
        <v>226</v>
      </c>
      <c r="C1361" t="s">
        <v>916</v>
      </c>
      <c r="D1361" t="s">
        <v>46</v>
      </c>
      <c r="E1361" t="s">
        <v>70</v>
      </c>
      <c r="F1361" t="s">
        <v>18</v>
      </c>
      <c r="G1361" t="s">
        <v>19</v>
      </c>
      <c r="H1361">
        <v>458</v>
      </c>
      <c r="I1361">
        <v>40</v>
      </c>
      <c r="J1361">
        <v>0</v>
      </c>
      <c r="K1361" t="s">
        <v>29</v>
      </c>
      <c r="L1361">
        <v>35</v>
      </c>
      <c r="M1361" t="s">
        <v>21</v>
      </c>
      <c r="N1361">
        <f>COUNTIF(order_data[Order_ID],order_data[[#This Row],[Order_ID]])</f>
        <v>1</v>
      </c>
      <c r="O1361">
        <f>order_data[[#This Row],[Order_Value]]-order_data[[#This Row],[Discount]]</f>
        <v>458</v>
      </c>
      <c r="P1361">
        <f>order_data[[#This Row],[Order_Value]]+order_data[[#This Row],[Delivery_Fee]]-order_data[[#This Row],[Discount]]</f>
        <v>498</v>
      </c>
      <c r="Q1361" t="str">
        <f>TEXT(order_data[[#This Row],[Order_Date]],"mmm")</f>
        <v>Jan</v>
      </c>
      <c r="R1361">
        <f>MONTH(order_data[[#This Row],[Order_Date]])</f>
        <v>1</v>
      </c>
    </row>
    <row r="1362" spans="1:18" x14ac:dyDescent="0.35">
      <c r="A1362" t="s">
        <v>2086</v>
      </c>
      <c r="B1362" t="s">
        <v>192</v>
      </c>
      <c r="C1362" t="s">
        <v>1085</v>
      </c>
      <c r="D1362" t="s">
        <v>25</v>
      </c>
      <c r="E1362" t="s">
        <v>26</v>
      </c>
      <c r="F1362" t="s">
        <v>27</v>
      </c>
      <c r="G1362" t="s">
        <v>49</v>
      </c>
      <c r="H1362">
        <v>219</v>
      </c>
      <c r="I1362">
        <v>40</v>
      </c>
      <c r="J1362">
        <v>30</v>
      </c>
      <c r="K1362" t="s">
        <v>29</v>
      </c>
      <c r="L1362">
        <v>36</v>
      </c>
      <c r="M1362" t="s">
        <v>21</v>
      </c>
      <c r="N1362">
        <f>COUNTIF(order_data[Order_ID],order_data[[#This Row],[Order_ID]])</f>
        <v>1</v>
      </c>
      <c r="O1362">
        <f>order_data[[#This Row],[Order_Value]]-order_data[[#This Row],[Discount]]</f>
        <v>189</v>
      </c>
      <c r="P1362">
        <f>order_data[[#This Row],[Order_Value]]+order_data[[#This Row],[Delivery_Fee]]-order_data[[#This Row],[Discount]]</f>
        <v>229</v>
      </c>
      <c r="Q1362" t="str">
        <f>TEXT(order_data[[#This Row],[Order_Date]],"mmm")</f>
        <v>Mar</v>
      </c>
      <c r="R1362">
        <f>MONTH(order_data[[#This Row],[Order_Date]])</f>
        <v>3</v>
      </c>
    </row>
    <row r="1363" spans="1:18" x14ac:dyDescent="0.35">
      <c r="A1363" t="s">
        <v>2087</v>
      </c>
      <c r="B1363" t="s">
        <v>174</v>
      </c>
      <c r="C1363" t="s">
        <v>670</v>
      </c>
      <c r="D1363" t="s">
        <v>16</v>
      </c>
      <c r="E1363" t="s">
        <v>89</v>
      </c>
      <c r="F1363" t="s">
        <v>18</v>
      </c>
      <c r="G1363" t="s">
        <v>35</v>
      </c>
      <c r="H1363">
        <v>661</v>
      </c>
      <c r="I1363">
        <v>40</v>
      </c>
      <c r="J1363">
        <v>30</v>
      </c>
      <c r="K1363" t="s">
        <v>29</v>
      </c>
      <c r="L1363">
        <v>21</v>
      </c>
      <c r="M1363" t="s">
        <v>21</v>
      </c>
      <c r="N1363">
        <f>COUNTIF(order_data[Order_ID],order_data[[#This Row],[Order_ID]])</f>
        <v>1</v>
      </c>
      <c r="O1363">
        <f>order_data[[#This Row],[Order_Value]]-order_data[[#This Row],[Discount]]</f>
        <v>631</v>
      </c>
      <c r="P1363">
        <f>order_data[[#This Row],[Order_Value]]+order_data[[#This Row],[Delivery_Fee]]-order_data[[#This Row],[Discount]]</f>
        <v>671</v>
      </c>
      <c r="Q1363" t="str">
        <f>TEXT(order_data[[#This Row],[Order_Date]],"mmm")</f>
        <v>Feb</v>
      </c>
      <c r="R1363">
        <f>MONTH(order_data[[#This Row],[Order_Date]])</f>
        <v>2</v>
      </c>
    </row>
    <row r="1364" spans="1:18" x14ac:dyDescent="0.35">
      <c r="A1364" t="s">
        <v>2088</v>
      </c>
      <c r="B1364" t="s">
        <v>205</v>
      </c>
      <c r="C1364" t="s">
        <v>2089</v>
      </c>
      <c r="D1364" t="s">
        <v>40</v>
      </c>
      <c r="E1364" t="s">
        <v>67</v>
      </c>
      <c r="F1364" t="s">
        <v>48</v>
      </c>
      <c r="G1364" t="s">
        <v>42</v>
      </c>
      <c r="H1364">
        <v>695</v>
      </c>
      <c r="I1364">
        <v>50</v>
      </c>
      <c r="J1364">
        <v>50</v>
      </c>
      <c r="K1364" t="s">
        <v>20</v>
      </c>
      <c r="L1364">
        <v>53</v>
      </c>
      <c r="M1364" t="s">
        <v>21</v>
      </c>
      <c r="N1364">
        <f>COUNTIF(order_data[Order_ID],order_data[[#This Row],[Order_ID]])</f>
        <v>1</v>
      </c>
      <c r="O1364">
        <f>order_data[[#This Row],[Order_Value]]-order_data[[#This Row],[Discount]]</f>
        <v>645</v>
      </c>
      <c r="P1364">
        <f>order_data[[#This Row],[Order_Value]]+order_data[[#This Row],[Delivery_Fee]]-order_data[[#This Row],[Discount]]</f>
        <v>695</v>
      </c>
      <c r="Q1364" t="str">
        <f>TEXT(order_data[[#This Row],[Order_Date]],"mmm")</f>
        <v>Jan</v>
      </c>
      <c r="R1364">
        <f>MONTH(order_data[[#This Row],[Order_Date]])</f>
        <v>1</v>
      </c>
    </row>
    <row r="1365" spans="1:18" x14ac:dyDescent="0.35">
      <c r="A1365" t="s">
        <v>2090</v>
      </c>
      <c r="B1365" t="s">
        <v>398</v>
      </c>
      <c r="C1365" t="s">
        <v>672</v>
      </c>
      <c r="D1365" t="s">
        <v>53</v>
      </c>
      <c r="E1365" t="s">
        <v>84</v>
      </c>
      <c r="F1365" t="s">
        <v>85</v>
      </c>
      <c r="G1365" t="s">
        <v>49</v>
      </c>
      <c r="H1365">
        <v>407</v>
      </c>
      <c r="I1365">
        <v>50</v>
      </c>
      <c r="J1365">
        <v>30</v>
      </c>
      <c r="K1365" t="s">
        <v>20</v>
      </c>
      <c r="L1365">
        <v>36</v>
      </c>
      <c r="M1365" t="s">
        <v>21</v>
      </c>
      <c r="N1365">
        <f>COUNTIF(order_data[Order_ID],order_data[[#This Row],[Order_ID]])</f>
        <v>1</v>
      </c>
      <c r="O1365">
        <f>order_data[[#This Row],[Order_Value]]-order_data[[#This Row],[Discount]]</f>
        <v>377</v>
      </c>
      <c r="P1365">
        <f>order_data[[#This Row],[Order_Value]]+order_data[[#This Row],[Delivery_Fee]]-order_data[[#This Row],[Discount]]</f>
        <v>427</v>
      </c>
      <c r="Q1365" t="str">
        <f>TEXT(order_data[[#This Row],[Order_Date]],"mmm")</f>
        <v>Feb</v>
      </c>
      <c r="R1365">
        <f>MONTH(order_data[[#This Row],[Order_Date]])</f>
        <v>2</v>
      </c>
    </row>
    <row r="1366" spans="1:18" x14ac:dyDescent="0.35">
      <c r="A1366" t="s">
        <v>2091</v>
      </c>
      <c r="B1366" t="s">
        <v>336</v>
      </c>
      <c r="C1366" t="s">
        <v>1322</v>
      </c>
      <c r="D1366" t="s">
        <v>40</v>
      </c>
      <c r="E1366" t="s">
        <v>111</v>
      </c>
      <c r="F1366" t="s">
        <v>18</v>
      </c>
      <c r="G1366" t="s">
        <v>28</v>
      </c>
      <c r="H1366">
        <v>301</v>
      </c>
      <c r="I1366">
        <v>40</v>
      </c>
      <c r="J1366">
        <v>50</v>
      </c>
      <c r="K1366" t="s">
        <v>36</v>
      </c>
      <c r="L1366">
        <v>44</v>
      </c>
      <c r="M1366" t="s">
        <v>21</v>
      </c>
      <c r="N1366">
        <f>COUNTIF(order_data[Order_ID],order_data[[#This Row],[Order_ID]])</f>
        <v>1</v>
      </c>
      <c r="O1366">
        <f>order_data[[#This Row],[Order_Value]]-order_data[[#This Row],[Discount]]</f>
        <v>251</v>
      </c>
      <c r="P1366">
        <f>order_data[[#This Row],[Order_Value]]+order_data[[#This Row],[Delivery_Fee]]-order_data[[#This Row],[Discount]]</f>
        <v>291</v>
      </c>
      <c r="Q1366" t="str">
        <f>TEXT(order_data[[#This Row],[Order_Date]],"mmm")</f>
        <v>Feb</v>
      </c>
      <c r="R1366">
        <f>MONTH(order_data[[#This Row],[Order_Date]])</f>
        <v>2</v>
      </c>
    </row>
    <row r="1367" spans="1:18" x14ac:dyDescent="0.35">
      <c r="A1367" t="s">
        <v>2092</v>
      </c>
      <c r="B1367" t="s">
        <v>223</v>
      </c>
      <c r="C1367" t="s">
        <v>1907</v>
      </c>
      <c r="D1367" t="s">
        <v>25</v>
      </c>
      <c r="E1367" t="s">
        <v>26</v>
      </c>
      <c r="F1367" t="s">
        <v>27</v>
      </c>
      <c r="G1367" t="s">
        <v>63</v>
      </c>
      <c r="H1367">
        <v>196</v>
      </c>
      <c r="I1367">
        <v>40</v>
      </c>
      <c r="J1367">
        <v>30</v>
      </c>
      <c r="K1367" t="s">
        <v>20</v>
      </c>
      <c r="L1367">
        <v>26</v>
      </c>
      <c r="M1367" t="s">
        <v>21</v>
      </c>
      <c r="N1367">
        <f>COUNTIF(order_data[Order_ID],order_data[[#This Row],[Order_ID]])</f>
        <v>1</v>
      </c>
      <c r="O1367">
        <f>order_data[[#This Row],[Order_Value]]-order_data[[#This Row],[Discount]]</f>
        <v>166</v>
      </c>
      <c r="P1367">
        <f>order_data[[#This Row],[Order_Value]]+order_data[[#This Row],[Delivery_Fee]]-order_data[[#This Row],[Discount]]</f>
        <v>206</v>
      </c>
      <c r="Q1367" t="str">
        <f>TEXT(order_data[[#This Row],[Order_Date]],"mmm")</f>
        <v>Mar</v>
      </c>
      <c r="R1367">
        <f>MONTH(order_data[[#This Row],[Order_Date]])</f>
        <v>3</v>
      </c>
    </row>
    <row r="1368" spans="1:18" x14ac:dyDescent="0.35">
      <c r="A1368" t="s">
        <v>2093</v>
      </c>
      <c r="B1368" t="s">
        <v>583</v>
      </c>
      <c r="C1368" t="s">
        <v>2094</v>
      </c>
      <c r="D1368" t="s">
        <v>25</v>
      </c>
      <c r="E1368" t="s">
        <v>34</v>
      </c>
      <c r="F1368" t="s">
        <v>27</v>
      </c>
      <c r="G1368" t="s">
        <v>42</v>
      </c>
      <c r="H1368">
        <v>278</v>
      </c>
      <c r="I1368">
        <v>50</v>
      </c>
      <c r="J1368">
        <v>30</v>
      </c>
      <c r="K1368" t="s">
        <v>36</v>
      </c>
      <c r="L1368">
        <v>49</v>
      </c>
      <c r="M1368" t="s">
        <v>21</v>
      </c>
      <c r="N1368">
        <f>COUNTIF(order_data[Order_ID],order_data[[#This Row],[Order_ID]])</f>
        <v>1</v>
      </c>
      <c r="O1368">
        <f>order_data[[#This Row],[Order_Value]]-order_data[[#This Row],[Discount]]</f>
        <v>248</v>
      </c>
      <c r="P1368">
        <f>order_data[[#This Row],[Order_Value]]+order_data[[#This Row],[Delivery_Fee]]-order_data[[#This Row],[Discount]]</f>
        <v>298</v>
      </c>
      <c r="Q1368" t="str">
        <f>TEXT(order_data[[#This Row],[Order_Date]],"mmm")</f>
        <v>Jan</v>
      </c>
      <c r="R1368">
        <f>MONTH(order_data[[#This Row],[Order_Date]])</f>
        <v>1</v>
      </c>
    </row>
    <row r="1369" spans="1:18" x14ac:dyDescent="0.35">
      <c r="A1369" t="s">
        <v>2095</v>
      </c>
      <c r="B1369" t="s">
        <v>305</v>
      </c>
      <c r="C1369" t="s">
        <v>585</v>
      </c>
      <c r="D1369" t="s">
        <v>25</v>
      </c>
      <c r="E1369" t="s">
        <v>34</v>
      </c>
      <c r="F1369" t="s">
        <v>27</v>
      </c>
      <c r="G1369" t="s">
        <v>59</v>
      </c>
      <c r="H1369">
        <v>268</v>
      </c>
      <c r="I1369">
        <v>50</v>
      </c>
      <c r="J1369">
        <v>50</v>
      </c>
      <c r="K1369" t="s">
        <v>29</v>
      </c>
      <c r="L1369">
        <v>46</v>
      </c>
      <c r="M1369" t="s">
        <v>21</v>
      </c>
      <c r="N1369">
        <f>COUNTIF(order_data[Order_ID],order_data[[#This Row],[Order_ID]])</f>
        <v>1</v>
      </c>
      <c r="O1369">
        <f>order_data[[#This Row],[Order_Value]]-order_data[[#This Row],[Discount]]</f>
        <v>218</v>
      </c>
      <c r="P1369">
        <f>order_data[[#This Row],[Order_Value]]+order_data[[#This Row],[Delivery_Fee]]-order_data[[#This Row],[Discount]]</f>
        <v>268</v>
      </c>
      <c r="Q1369" t="str">
        <f>TEXT(order_data[[#This Row],[Order_Date]],"mmm")</f>
        <v>Jan</v>
      </c>
      <c r="R1369">
        <f>MONTH(order_data[[#This Row],[Order_Date]])</f>
        <v>1</v>
      </c>
    </row>
    <row r="1370" spans="1:18" x14ac:dyDescent="0.35">
      <c r="A1370" t="s">
        <v>2096</v>
      </c>
      <c r="B1370" t="s">
        <v>476</v>
      </c>
      <c r="C1370" t="s">
        <v>237</v>
      </c>
      <c r="D1370" t="s">
        <v>25</v>
      </c>
      <c r="E1370" t="s">
        <v>34</v>
      </c>
      <c r="F1370" t="s">
        <v>27</v>
      </c>
      <c r="G1370" t="s">
        <v>107</v>
      </c>
      <c r="H1370">
        <v>314</v>
      </c>
      <c r="I1370">
        <v>30</v>
      </c>
      <c r="J1370">
        <v>30</v>
      </c>
      <c r="K1370" t="s">
        <v>29</v>
      </c>
      <c r="L1370">
        <v>31</v>
      </c>
      <c r="M1370" t="s">
        <v>21</v>
      </c>
      <c r="N1370">
        <f>COUNTIF(order_data[Order_ID],order_data[[#This Row],[Order_ID]])</f>
        <v>1</v>
      </c>
      <c r="O1370">
        <f>order_data[[#This Row],[Order_Value]]-order_data[[#This Row],[Discount]]</f>
        <v>284</v>
      </c>
      <c r="P1370">
        <f>order_data[[#This Row],[Order_Value]]+order_data[[#This Row],[Delivery_Fee]]-order_data[[#This Row],[Discount]]</f>
        <v>314</v>
      </c>
      <c r="Q1370" t="str">
        <f>TEXT(order_data[[#This Row],[Order_Date]],"mmm")</f>
        <v>Jan</v>
      </c>
      <c r="R1370">
        <f>MONTH(order_data[[#This Row],[Order_Date]])</f>
        <v>1</v>
      </c>
    </row>
    <row r="1371" spans="1:18" x14ac:dyDescent="0.35">
      <c r="A1371" t="s">
        <v>2097</v>
      </c>
      <c r="B1371" t="s">
        <v>91</v>
      </c>
      <c r="C1371" t="s">
        <v>235</v>
      </c>
      <c r="D1371" t="s">
        <v>46</v>
      </c>
      <c r="E1371" t="s">
        <v>70</v>
      </c>
      <c r="F1371" t="s">
        <v>18</v>
      </c>
      <c r="G1371" t="s">
        <v>19</v>
      </c>
      <c r="H1371">
        <v>260</v>
      </c>
      <c r="I1371">
        <v>40</v>
      </c>
      <c r="J1371">
        <v>20</v>
      </c>
      <c r="K1371" t="s">
        <v>29</v>
      </c>
      <c r="L1371">
        <v>45</v>
      </c>
      <c r="M1371" t="s">
        <v>30</v>
      </c>
      <c r="N1371">
        <f>COUNTIF(order_data[Order_ID],order_data[[#This Row],[Order_ID]])</f>
        <v>1</v>
      </c>
      <c r="O1371">
        <f>order_data[[#This Row],[Order_Value]]-order_data[[#This Row],[Discount]]</f>
        <v>240</v>
      </c>
      <c r="P1371">
        <f>order_data[[#This Row],[Order_Value]]+order_data[[#This Row],[Delivery_Fee]]-order_data[[#This Row],[Discount]]</f>
        <v>280</v>
      </c>
      <c r="Q1371" t="str">
        <f>TEXT(order_data[[#This Row],[Order_Date]],"mmm")</f>
        <v>Mar</v>
      </c>
      <c r="R1371">
        <f>MONTH(order_data[[#This Row],[Order_Date]])</f>
        <v>3</v>
      </c>
    </row>
    <row r="1372" spans="1:18" x14ac:dyDescent="0.35">
      <c r="A1372" t="s">
        <v>2098</v>
      </c>
      <c r="B1372" t="s">
        <v>322</v>
      </c>
      <c r="C1372" t="s">
        <v>1855</v>
      </c>
      <c r="D1372" t="s">
        <v>16</v>
      </c>
      <c r="E1372" t="s">
        <v>17</v>
      </c>
      <c r="F1372" t="s">
        <v>18</v>
      </c>
      <c r="G1372" t="s">
        <v>42</v>
      </c>
      <c r="H1372">
        <v>496</v>
      </c>
      <c r="I1372">
        <v>40</v>
      </c>
      <c r="J1372">
        <v>100</v>
      </c>
      <c r="K1372" t="s">
        <v>36</v>
      </c>
      <c r="L1372">
        <v>38</v>
      </c>
      <c r="M1372" t="s">
        <v>21</v>
      </c>
      <c r="N1372">
        <f>COUNTIF(order_data[Order_ID],order_data[[#This Row],[Order_ID]])</f>
        <v>1</v>
      </c>
      <c r="O1372">
        <f>order_data[[#This Row],[Order_Value]]-order_data[[#This Row],[Discount]]</f>
        <v>396</v>
      </c>
      <c r="P1372">
        <f>order_data[[#This Row],[Order_Value]]+order_data[[#This Row],[Delivery_Fee]]-order_data[[#This Row],[Discount]]</f>
        <v>436</v>
      </c>
      <c r="Q1372" t="str">
        <f>TEXT(order_data[[#This Row],[Order_Date]],"mmm")</f>
        <v>Jan</v>
      </c>
      <c r="R1372">
        <f>MONTH(order_data[[#This Row],[Order_Date]])</f>
        <v>1</v>
      </c>
    </row>
    <row r="1373" spans="1:18" x14ac:dyDescent="0.35">
      <c r="A1373" t="s">
        <v>2099</v>
      </c>
      <c r="B1373" t="s">
        <v>388</v>
      </c>
      <c r="C1373" t="s">
        <v>1528</v>
      </c>
      <c r="D1373" t="s">
        <v>25</v>
      </c>
      <c r="E1373" t="s">
        <v>26</v>
      </c>
      <c r="F1373" t="s">
        <v>27</v>
      </c>
      <c r="G1373" t="s">
        <v>49</v>
      </c>
      <c r="H1373">
        <v>151</v>
      </c>
      <c r="I1373">
        <v>20</v>
      </c>
      <c r="J1373">
        <v>50</v>
      </c>
      <c r="K1373" t="s">
        <v>20</v>
      </c>
      <c r="L1373">
        <v>31</v>
      </c>
      <c r="M1373" t="s">
        <v>21</v>
      </c>
      <c r="N1373">
        <f>COUNTIF(order_data[Order_ID],order_data[[#This Row],[Order_ID]])</f>
        <v>1</v>
      </c>
      <c r="O1373">
        <f>order_data[[#This Row],[Order_Value]]-order_data[[#This Row],[Discount]]</f>
        <v>101</v>
      </c>
      <c r="P1373">
        <f>order_data[[#This Row],[Order_Value]]+order_data[[#This Row],[Delivery_Fee]]-order_data[[#This Row],[Discount]]</f>
        <v>121</v>
      </c>
      <c r="Q1373" t="str">
        <f>TEXT(order_data[[#This Row],[Order_Date]],"mmm")</f>
        <v>Mar</v>
      </c>
      <c r="R1373">
        <f>MONTH(order_data[[#This Row],[Order_Date]])</f>
        <v>3</v>
      </c>
    </row>
    <row r="1374" spans="1:18" x14ac:dyDescent="0.35">
      <c r="A1374" t="s">
        <v>2100</v>
      </c>
      <c r="B1374" t="s">
        <v>150</v>
      </c>
      <c r="C1374" t="s">
        <v>45</v>
      </c>
      <c r="D1374" t="s">
        <v>46</v>
      </c>
      <c r="E1374" t="s">
        <v>47</v>
      </c>
      <c r="F1374" t="s">
        <v>48</v>
      </c>
      <c r="G1374" t="s">
        <v>28</v>
      </c>
      <c r="H1374">
        <v>518</v>
      </c>
      <c r="I1374">
        <v>40</v>
      </c>
      <c r="J1374">
        <v>0</v>
      </c>
      <c r="K1374" t="s">
        <v>20</v>
      </c>
      <c r="L1374">
        <v>22</v>
      </c>
      <c r="M1374" t="s">
        <v>21</v>
      </c>
      <c r="N1374">
        <f>COUNTIF(order_data[Order_ID],order_data[[#This Row],[Order_ID]])</f>
        <v>1</v>
      </c>
      <c r="O1374">
        <f>order_data[[#This Row],[Order_Value]]-order_data[[#This Row],[Discount]]</f>
        <v>518</v>
      </c>
      <c r="P1374">
        <f>order_data[[#This Row],[Order_Value]]+order_data[[#This Row],[Delivery_Fee]]-order_data[[#This Row],[Discount]]</f>
        <v>558</v>
      </c>
      <c r="Q1374" t="str">
        <f>TEXT(order_data[[#This Row],[Order_Date]],"mmm")</f>
        <v>Feb</v>
      </c>
      <c r="R1374">
        <f>MONTH(order_data[[#This Row],[Order_Date]])</f>
        <v>2</v>
      </c>
    </row>
    <row r="1375" spans="1:18" x14ac:dyDescent="0.35">
      <c r="A1375" t="s">
        <v>2101</v>
      </c>
      <c r="B1375" t="s">
        <v>121</v>
      </c>
      <c r="C1375" t="s">
        <v>2102</v>
      </c>
      <c r="D1375" t="s">
        <v>53</v>
      </c>
      <c r="E1375" t="s">
        <v>84</v>
      </c>
      <c r="F1375" t="s">
        <v>85</v>
      </c>
      <c r="G1375" t="s">
        <v>176</v>
      </c>
      <c r="H1375">
        <v>544</v>
      </c>
      <c r="I1375">
        <v>50</v>
      </c>
      <c r="J1375">
        <v>50</v>
      </c>
      <c r="K1375" t="s">
        <v>20</v>
      </c>
      <c r="L1375">
        <v>56</v>
      </c>
      <c r="M1375" t="s">
        <v>21</v>
      </c>
      <c r="N1375">
        <f>COUNTIF(order_data[Order_ID],order_data[[#This Row],[Order_ID]])</f>
        <v>1</v>
      </c>
      <c r="O1375">
        <f>order_data[[#This Row],[Order_Value]]-order_data[[#This Row],[Discount]]</f>
        <v>494</v>
      </c>
      <c r="P1375">
        <f>order_data[[#This Row],[Order_Value]]+order_data[[#This Row],[Delivery_Fee]]-order_data[[#This Row],[Discount]]</f>
        <v>544</v>
      </c>
      <c r="Q1375" t="str">
        <f>TEXT(order_data[[#This Row],[Order_Date]],"mmm")</f>
        <v>Feb</v>
      </c>
      <c r="R1375">
        <f>MONTH(order_data[[#This Row],[Order_Date]])</f>
        <v>2</v>
      </c>
    </row>
    <row r="1376" spans="1:18" x14ac:dyDescent="0.35">
      <c r="A1376" t="s">
        <v>2103</v>
      </c>
      <c r="B1376" t="s">
        <v>339</v>
      </c>
      <c r="C1376" t="s">
        <v>1370</v>
      </c>
      <c r="D1376" t="s">
        <v>40</v>
      </c>
      <c r="E1376" t="s">
        <v>41</v>
      </c>
      <c r="F1376" t="s">
        <v>27</v>
      </c>
      <c r="G1376" t="s">
        <v>107</v>
      </c>
      <c r="H1376">
        <v>221</v>
      </c>
      <c r="I1376">
        <v>50</v>
      </c>
      <c r="J1376">
        <v>100</v>
      </c>
      <c r="K1376" t="s">
        <v>36</v>
      </c>
      <c r="L1376">
        <v>21</v>
      </c>
      <c r="M1376" t="s">
        <v>21</v>
      </c>
      <c r="N1376">
        <f>COUNTIF(order_data[Order_ID],order_data[[#This Row],[Order_ID]])</f>
        <v>1</v>
      </c>
      <c r="O1376">
        <f>order_data[[#This Row],[Order_Value]]-order_data[[#This Row],[Discount]]</f>
        <v>121</v>
      </c>
      <c r="P1376">
        <f>order_data[[#This Row],[Order_Value]]+order_data[[#This Row],[Delivery_Fee]]-order_data[[#This Row],[Discount]]</f>
        <v>171</v>
      </c>
      <c r="Q1376" t="str">
        <f>TEXT(order_data[[#This Row],[Order_Date]],"mmm")</f>
        <v>Jan</v>
      </c>
      <c r="R1376">
        <f>MONTH(order_data[[#This Row],[Order_Date]])</f>
        <v>1</v>
      </c>
    </row>
    <row r="1377" spans="1:18" x14ac:dyDescent="0.35">
      <c r="A1377" t="s">
        <v>2104</v>
      </c>
      <c r="B1377" t="s">
        <v>61</v>
      </c>
      <c r="C1377" t="s">
        <v>2094</v>
      </c>
      <c r="D1377" t="s">
        <v>40</v>
      </c>
      <c r="E1377" t="s">
        <v>67</v>
      </c>
      <c r="F1377" t="s">
        <v>48</v>
      </c>
      <c r="G1377" t="s">
        <v>28</v>
      </c>
      <c r="H1377">
        <v>442</v>
      </c>
      <c r="I1377">
        <v>50</v>
      </c>
      <c r="J1377">
        <v>30</v>
      </c>
      <c r="K1377" t="s">
        <v>29</v>
      </c>
      <c r="L1377">
        <v>54</v>
      </c>
      <c r="M1377" t="s">
        <v>21</v>
      </c>
      <c r="N1377">
        <f>COUNTIF(order_data[Order_ID],order_data[[#This Row],[Order_ID]])</f>
        <v>1</v>
      </c>
      <c r="O1377">
        <f>order_data[[#This Row],[Order_Value]]-order_data[[#This Row],[Discount]]</f>
        <v>412</v>
      </c>
      <c r="P1377">
        <f>order_data[[#This Row],[Order_Value]]+order_data[[#This Row],[Delivery_Fee]]-order_data[[#This Row],[Discount]]</f>
        <v>462</v>
      </c>
      <c r="Q1377" t="str">
        <f>TEXT(order_data[[#This Row],[Order_Date]],"mmm")</f>
        <v>Jan</v>
      </c>
      <c r="R1377">
        <f>MONTH(order_data[[#This Row],[Order_Date]])</f>
        <v>1</v>
      </c>
    </row>
    <row r="1378" spans="1:18" x14ac:dyDescent="0.35">
      <c r="A1378" t="s">
        <v>2105</v>
      </c>
      <c r="B1378" t="s">
        <v>226</v>
      </c>
      <c r="C1378" t="s">
        <v>545</v>
      </c>
      <c r="D1378" t="s">
        <v>25</v>
      </c>
      <c r="E1378" t="s">
        <v>34</v>
      </c>
      <c r="F1378" t="s">
        <v>27</v>
      </c>
      <c r="G1378" t="s">
        <v>35</v>
      </c>
      <c r="H1378">
        <v>355</v>
      </c>
      <c r="I1378">
        <v>50</v>
      </c>
      <c r="J1378">
        <v>20</v>
      </c>
      <c r="K1378" t="s">
        <v>29</v>
      </c>
      <c r="L1378">
        <v>25</v>
      </c>
      <c r="M1378" t="s">
        <v>30</v>
      </c>
      <c r="N1378">
        <f>COUNTIF(order_data[Order_ID],order_data[[#This Row],[Order_ID]])</f>
        <v>1</v>
      </c>
      <c r="O1378">
        <f>order_data[[#This Row],[Order_Value]]-order_data[[#This Row],[Discount]]</f>
        <v>335</v>
      </c>
      <c r="P1378">
        <f>order_data[[#This Row],[Order_Value]]+order_data[[#This Row],[Delivery_Fee]]-order_data[[#This Row],[Discount]]</f>
        <v>385</v>
      </c>
      <c r="Q1378" t="str">
        <f>TEXT(order_data[[#This Row],[Order_Date]],"mmm")</f>
        <v>Jan</v>
      </c>
      <c r="R1378">
        <f>MONTH(order_data[[#This Row],[Order_Date]])</f>
        <v>1</v>
      </c>
    </row>
    <row r="1379" spans="1:18" x14ac:dyDescent="0.35">
      <c r="A1379" t="s">
        <v>2106</v>
      </c>
      <c r="B1379" t="s">
        <v>583</v>
      </c>
      <c r="C1379" t="s">
        <v>2107</v>
      </c>
      <c r="D1379" t="s">
        <v>25</v>
      </c>
      <c r="E1379" t="s">
        <v>78</v>
      </c>
      <c r="F1379" t="s">
        <v>48</v>
      </c>
      <c r="G1379" t="s">
        <v>59</v>
      </c>
      <c r="H1379">
        <v>297</v>
      </c>
      <c r="I1379">
        <v>50</v>
      </c>
      <c r="J1379">
        <v>20</v>
      </c>
      <c r="K1379" t="s">
        <v>20</v>
      </c>
      <c r="L1379">
        <v>41</v>
      </c>
      <c r="M1379" t="s">
        <v>30</v>
      </c>
      <c r="N1379">
        <f>COUNTIF(order_data[Order_ID],order_data[[#This Row],[Order_ID]])</f>
        <v>1</v>
      </c>
      <c r="O1379">
        <f>order_data[[#This Row],[Order_Value]]-order_data[[#This Row],[Discount]]</f>
        <v>277</v>
      </c>
      <c r="P1379">
        <f>order_data[[#This Row],[Order_Value]]+order_data[[#This Row],[Delivery_Fee]]-order_data[[#This Row],[Discount]]</f>
        <v>327</v>
      </c>
      <c r="Q1379" t="str">
        <f>TEXT(order_data[[#This Row],[Order_Date]],"mmm")</f>
        <v>Jan</v>
      </c>
      <c r="R1379">
        <f>MONTH(order_data[[#This Row],[Order_Date]])</f>
        <v>1</v>
      </c>
    </row>
    <row r="1380" spans="1:18" x14ac:dyDescent="0.35">
      <c r="A1380" t="s">
        <v>2108</v>
      </c>
      <c r="B1380" t="s">
        <v>326</v>
      </c>
      <c r="C1380" t="s">
        <v>842</v>
      </c>
      <c r="D1380" t="s">
        <v>46</v>
      </c>
      <c r="E1380" t="s">
        <v>70</v>
      </c>
      <c r="F1380" t="s">
        <v>18</v>
      </c>
      <c r="G1380" t="s">
        <v>74</v>
      </c>
      <c r="H1380">
        <v>280</v>
      </c>
      <c r="I1380">
        <v>40</v>
      </c>
      <c r="J1380">
        <v>30</v>
      </c>
      <c r="K1380" t="s">
        <v>20</v>
      </c>
      <c r="L1380">
        <v>52</v>
      </c>
      <c r="M1380" t="s">
        <v>21</v>
      </c>
      <c r="N1380">
        <f>COUNTIF(order_data[Order_ID],order_data[[#This Row],[Order_ID]])</f>
        <v>1</v>
      </c>
      <c r="O1380">
        <f>order_data[[#This Row],[Order_Value]]-order_data[[#This Row],[Discount]]</f>
        <v>250</v>
      </c>
      <c r="P1380">
        <f>order_data[[#This Row],[Order_Value]]+order_data[[#This Row],[Delivery_Fee]]-order_data[[#This Row],[Discount]]</f>
        <v>290</v>
      </c>
      <c r="Q1380" t="str">
        <f>TEXT(order_data[[#This Row],[Order_Date]],"mmm")</f>
        <v>Mar</v>
      </c>
      <c r="R1380">
        <f>MONTH(order_data[[#This Row],[Order_Date]])</f>
        <v>3</v>
      </c>
    </row>
    <row r="1381" spans="1:18" x14ac:dyDescent="0.35">
      <c r="A1381" t="s">
        <v>2109</v>
      </c>
      <c r="B1381" t="s">
        <v>87</v>
      </c>
      <c r="C1381" t="s">
        <v>967</v>
      </c>
      <c r="D1381" t="s">
        <v>25</v>
      </c>
      <c r="E1381" t="s">
        <v>78</v>
      </c>
      <c r="F1381" t="s">
        <v>48</v>
      </c>
      <c r="G1381" t="s">
        <v>74</v>
      </c>
      <c r="H1381">
        <v>363</v>
      </c>
      <c r="I1381">
        <v>30</v>
      </c>
      <c r="J1381">
        <v>50</v>
      </c>
      <c r="K1381" t="s">
        <v>20</v>
      </c>
      <c r="L1381">
        <v>30</v>
      </c>
      <c r="M1381" t="s">
        <v>21</v>
      </c>
      <c r="N1381">
        <f>COUNTIF(order_data[Order_ID],order_data[[#This Row],[Order_ID]])</f>
        <v>1</v>
      </c>
      <c r="O1381">
        <f>order_data[[#This Row],[Order_Value]]-order_data[[#This Row],[Discount]]</f>
        <v>313</v>
      </c>
      <c r="P1381">
        <f>order_data[[#This Row],[Order_Value]]+order_data[[#This Row],[Delivery_Fee]]-order_data[[#This Row],[Discount]]</f>
        <v>343</v>
      </c>
      <c r="Q1381" t="str">
        <f>TEXT(order_data[[#This Row],[Order_Date]],"mmm")</f>
        <v>Jan</v>
      </c>
      <c r="R1381">
        <f>MONTH(order_data[[#This Row],[Order_Date]])</f>
        <v>1</v>
      </c>
    </row>
    <row r="1382" spans="1:18" x14ac:dyDescent="0.35">
      <c r="A1382" t="s">
        <v>2110</v>
      </c>
      <c r="B1382" t="s">
        <v>205</v>
      </c>
      <c r="C1382" t="s">
        <v>1931</v>
      </c>
      <c r="D1382" t="s">
        <v>53</v>
      </c>
      <c r="E1382" t="s">
        <v>54</v>
      </c>
      <c r="F1382" t="s">
        <v>55</v>
      </c>
      <c r="G1382" t="s">
        <v>59</v>
      </c>
      <c r="H1382">
        <v>316</v>
      </c>
      <c r="I1382">
        <v>40</v>
      </c>
      <c r="J1382">
        <v>0</v>
      </c>
      <c r="K1382" t="s">
        <v>36</v>
      </c>
      <c r="L1382">
        <v>36</v>
      </c>
      <c r="M1382" t="s">
        <v>21</v>
      </c>
      <c r="N1382">
        <f>COUNTIF(order_data[Order_ID],order_data[[#This Row],[Order_ID]])</f>
        <v>1</v>
      </c>
      <c r="O1382">
        <f>order_data[[#This Row],[Order_Value]]-order_data[[#This Row],[Discount]]</f>
        <v>316</v>
      </c>
      <c r="P1382">
        <f>order_data[[#This Row],[Order_Value]]+order_data[[#This Row],[Delivery_Fee]]-order_data[[#This Row],[Discount]]</f>
        <v>356</v>
      </c>
      <c r="Q1382" t="str">
        <f>TEXT(order_data[[#This Row],[Order_Date]],"mmm")</f>
        <v>Jan</v>
      </c>
      <c r="R1382">
        <f>MONTH(order_data[[#This Row],[Order_Date]])</f>
        <v>1</v>
      </c>
    </row>
    <row r="1383" spans="1:18" x14ac:dyDescent="0.35">
      <c r="A1383" t="s">
        <v>2111</v>
      </c>
      <c r="B1383" t="s">
        <v>413</v>
      </c>
      <c r="C1383" t="s">
        <v>2062</v>
      </c>
      <c r="D1383" t="s">
        <v>53</v>
      </c>
      <c r="E1383" t="s">
        <v>84</v>
      </c>
      <c r="F1383" t="s">
        <v>85</v>
      </c>
      <c r="G1383" t="s">
        <v>42</v>
      </c>
      <c r="H1383">
        <v>507</v>
      </c>
      <c r="I1383">
        <v>40</v>
      </c>
      <c r="J1383">
        <v>50</v>
      </c>
      <c r="K1383" t="s">
        <v>36</v>
      </c>
      <c r="L1383">
        <v>53</v>
      </c>
      <c r="M1383" t="s">
        <v>21</v>
      </c>
      <c r="N1383">
        <f>COUNTIF(order_data[Order_ID],order_data[[#This Row],[Order_ID]])</f>
        <v>1</v>
      </c>
      <c r="O1383">
        <f>order_data[[#This Row],[Order_Value]]-order_data[[#This Row],[Discount]]</f>
        <v>457</v>
      </c>
      <c r="P1383">
        <f>order_data[[#This Row],[Order_Value]]+order_data[[#This Row],[Delivery_Fee]]-order_data[[#This Row],[Discount]]</f>
        <v>497</v>
      </c>
      <c r="Q1383" t="str">
        <f>TEXT(order_data[[#This Row],[Order_Date]],"mmm")</f>
        <v>Mar</v>
      </c>
      <c r="R1383">
        <f>MONTH(order_data[[#This Row],[Order_Date]])</f>
        <v>3</v>
      </c>
    </row>
    <row r="1384" spans="1:18" x14ac:dyDescent="0.35">
      <c r="A1384" t="s">
        <v>2112</v>
      </c>
      <c r="B1384" t="s">
        <v>69</v>
      </c>
      <c r="C1384" t="s">
        <v>1218</v>
      </c>
      <c r="D1384" t="s">
        <v>40</v>
      </c>
      <c r="E1384" t="s">
        <v>41</v>
      </c>
      <c r="F1384" t="s">
        <v>27</v>
      </c>
      <c r="G1384" t="s">
        <v>59</v>
      </c>
      <c r="H1384">
        <v>318</v>
      </c>
      <c r="I1384">
        <v>50</v>
      </c>
      <c r="J1384">
        <v>30</v>
      </c>
      <c r="K1384" t="s">
        <v>29</v>
      </c>
      <c r="L1384">
        <v>25</v>
      </c>
      <c r="M1384" t="s">
        <v>21</v>
      </c>
      <c r="N1384">
        <f>COUNTIF(order_data[Order_ID],order_data[[#This Row],[Order_ID]])</f>
        <v>1</v>
      </c>
      <c r="O1384">
        <f>order_data[[#This Row],[Order_Value]]-order_data[[#This Row],[Discount]]</f>
        <v>288</v>
      </c>
      <c r="P1384">
        <f>order_data[[#This Row],[Order_Value]]+order_data[[#This Row],[Delivery_Fee]]-order_data[[#This Row],[Discount]]</f>
        <v>338</v>
      </c>
      <c r="Q1384" t="str">
        <f>TEXT(order_data[[#This Row],[Order_Date]],"mmm")</f>
        <v>Feb</v>
      </c>
      <c r="R1384">
        <f>MONTH(order_data[[#This Row],[Order_Date]])</f>
        <v>2</v>
      </c>
    </row>
    <row r="1385" spans="1:18" x14ac:dyDescent="0.35">
      <c r="A1385" t="s">
        <v>2113</v>
      </c>
      <c r="B1385" t="s">
        <v>189</v>
      </c>
      <c r="C1385" t="s">
        <v>474</v>
      </c>
      <c r="D1385" t="s">
        <v>25</v>
      </c>
      <c r="E1385" t="s">
        <v>26</v>
      </c>
      <c r="F1385" t="s">
        <v>27</v>
      </c>
      <c r="G1385" t="s">
        <v>59</v>
      </c>
      <c r="H1385">
        <v>434</v>
      </c>
      <c r="I1385">
        <v>50</v>
      </c>
      <c r="J1385">
        <v>0</v>
      </c>
      <c r="K1385" t="s">
        <v>36</v>
      </c>
      <c r="L1385">
        <v>23</v>
      </c>
      <c r="M1385" t="s">
        <v>30</v>
      </c>
      <c r="N1385">
        <f>COUNTIF(order_data[Order_ID],order_data[[#This Row],[Order_ID]])</f>
        <v>1</v>
      </c>
      <c r="O1385">
        <f>order_data[[#This Row],[Order_Value]]-order_data[[#This Row],[Discount]]</f>
        <v>434</v>
      </c>
      <c r="P1385">
        <f>order_data[[#This Row],[Order_Value]]+order_data[[#This Row],[Delivery_Fee]]-order_data[[#This Row],[Discount]]</f>
        <v>484</v>
      </c>
      <c r="Q1385" t="str">
        <f>TEXT(order_data[[#This Row],[Order_Date]],"mmm")</f>
        <v>Feb</v>
      </c>
      <c r="R1385">
        <f>MONTH(order_data[[#This Row],[Order_Date]])</f>
        <v>2</v>
      </c>
    </row>
    <row r="1386" spans="1:18" x14ac:dyDescent="0.35">
      <c r="A1386" t="s">
        <v>2114</v>
      </c>
      <c r="B1386" t="s">
        <v>326</v>
      </c>
      <c r="C1386" t="s">
        <v>820</v>
      </c>
      <c r="D1386" t="s">
        <v>16</v>
      </c>
      <c r="E1386" t="s">
        <v>89</v>
      </c>
      <c r="F1386" t="s">
        <v>18</v>
      </c>
      <c r="G1386" t="s">
        <v>42</v>
      </c>
      <c r="H1386">
        <v>277</v>
      </c>
      <c r="I1386">
        <v>50</v>
      </c>
      <c r="J1386">
        <v>0</v>
      </c>
      <c r="K1386" t="s">
        <v>20</v>
      </c>
      <c r="L1386">
        <v>51</v>
      </c>
      <c r="M1386" t="s">
        <v>21</v>
      </c>
      <c r="N1386">
        <f>COUNTIF(order_data[Order_ID],order_data[[#This Row],[Order_ID]])</f>
        <v>1</v>
      </c>
      <c r="O1386">
        <f>order_data[[#This Row],[Order_Value]]-order_data[[#This Row],[Discount]]</f>
        <v>277</v>
      </c>
      <c r="P1386">
        <f>order_data[[#This Row],[Order_Value]]+order_data[[#This Row],[Delivery_Fee]]-order_data[[#This Row],[Discount]]</f>
        <v>327</v>
      </c>
      <c r="Q1386" t="str">
        <f>TEXT(order_data[[#This Row],[Order_Date]],"mmm")</f>
        <v>Mar</v>
      </c>
      <c r="R1386">
        <f>MONTH(order_data[[#This Row],[Order_Date]])</f>
        <v>3</v>
      </c>
    </row>
    <row r="1387" spans="1:18" x14ac:dyDescent="0.35">
      <c r="A1387" t="s">
        <v>2115</v>
      </c>
      <c r="B1387" t="s">
        <v>273</v>
      </c>
      <c r="C1387" t="s">
        <v>1693</v>
      </c>
      <c r="D1387" t="s">
        <v>25</v>
      </c>
      <c r="E1387" t="s">
        <v>26</v>
      </c>
      <c r="F1387" t="s">
        <v>27</v>
      </c>
      <c r="G1387" t="s">
        <v>35</v>
      </c>
      <c r="H1387">
        <v>490</v>
      </c>
      <c r="I1387">
        <v>50</v>
      </c>
      <c r="J1387">
        <v>100</v>
      </c>
      <c r="K1387" t="s">
        <v>20</v>
      </c>
      <c r="L1387">
        <v>32</v>
      </c>
      <c r="M1387" t="s">
        <v>21</v>
      </c>
      <c r="N1387">
        <f>COUNTIF(order_data[Order_ID],order_data[[#This Row],[Order_ID]])</f>
        <v>1</v>
      </c>
      <c r="O1387">
        <f>order_data[[#This Row],[Order_Value]]-order_data[[#This Row],[Discount]]</f>
        <v>390</v>
      </c>
      <c r="P1387">
        <f>order_data[[#This Row],[Order_Value]]+order_data[[#This Row],[Delivery_Fee]]-order_data[[#This Row],[Discount]]</f>
        <v>440</v>
      </c>
      <c r="Q1387" t="str">
        <f>TEXT(order_data[[#This Row],[Order_Date]],"mmm")</f>
        <v>Mar</v>
      </c>
      <c r="R1387">
        <f>MONTH(order_data[[#This Row],[Order_Date]])</f>
        <v>3</v>
      </c>
    </row>
    <row r="1388" spans="1:18" x14ac:dyDescent="0.35">
      <c r="A1388" t="s">
        <v>2116</v>
      </c>
      <c r="B1388" t="s">
        <v>476</v>
      </c>
      <c r="C1388" t="s">
        <v>993</v>
      </c>
      <c r="D1388" t="s">
        <v>40</v>
      </c>
      <c r="E1388" t="s">
        <v>41</v>
      </c>
      <c r="F1388" t="s">
        <v>27</v>
      </c>
      <c r="G1388" t="s">
        <v>59</v>
      </c>
      <c r="H1388">
        <v>173</v>
      </c>
      <c r="I1388">
        <v>20</v>
      </c>
      <c r="J1388">
        <v>50</v>
      </c>
      <c r="K1388" t="s">
        <v>29</v>
      </c>
      <c r="L1388">
        <v>26</v>
      </c>
      <c r="M1388" t="s">
        <v>21</v>
      </c>
      <c r="N1388">
        <f>COUNTIF(order_data[Order_ID],order_data[[#This Row],[Order_ID]])</f>
        <v>1</v>
      </c>
      <c r="O1388">
        <f>order_data[[#This Row],[Order_Value]]-order_data[[#This Row],[Discount]]</f>
        <v>123</v>
      </c>
      <c r="P1388">
        <f>order_data[[#This Row],[Order_Value]]+order_data[[#This Row],[Delivery_Fee]]-order_data[[#This Row],[Discount]]</f>
        <v>143</v>
      </c>
      <c r="Q1388" t="str">
        <f>TEXT(order_data[[#This Row],[Order_Date]],"mmm")</f>
        <v>Jan</v>
      </c>
      <c r="R1388">
        <f>MONTH(order_data[[#This Row],[Order_Date]])</f>
        <v>1</v>
      </c>
    </row>
    <row r="1389" spans="1:18" x14ac:dyDescent="0.35">
      <c r="A1389" t="s">
        <v>2117</v>
      </c>
      <c r="B1389" t="s">
        <v>133</v>
      </c>
      <c r="C1389" t="s">
        <v>170</v>
      </c>
      <c r="D1389" t="s">
        <v>53</v>
      </c>
      <c r="E1389" t="s">
        <v>84</v>
      </c>
      <c r="F1389" t="s">
        <v>85</v>
      </c>
      <c r="G1389" t="s">
        <v>74</v>
      </c>
      <c r="H1389">
        <v>580</v>
      </c>
      <c r="I1389">
        <v>20</v>
      </c>
      <c r="J1389">
        <v>20</v>
      </c>
      <c r="K1389" t="s">
        <v>20</v>
      </c>
      <c r="L1389">
        <v>20</v>
      </c>
      <c r="M1389" t="s">
        <v>21</v>
      </c>
      <c r="N1389">
        <f>COUNTIF(order_data[Order_ID],order_data[[#This Row],[Order_ID]])</f>
        <v>1</v>
      </c>
      <c r="O1389">
        <f>order_data[[#This Row],[Order_Value]]-order_data[[#This Row],[Discount]]</f>
        <v>560</v>
      </c>
      <c r="P1389">
        <f>order_data[[#This Row],[Order_Value]]+order_data[[#This Row],[Delivery_Fee]]-order_data[[#This Row],[Discount]]</f>
        <v>580</v>
      </c>
      <c r="Q1389" t="str">
        <f>TEXT(order_data[[#This Row],[Order_Date]],"mmm")</f>
        <v>Mar</v>
      </c>
      <c r="R1389">
        <f>MONTH(order_data[[#This Row],[Order_Date]])</f>
        <v>3</v>
      </c>
    </row>
    <row r="1390" spans="1:18" x14ac:dyDescent="0.35">
      <c r="A1390" t="s">
        <v>2118</v>
      </c>
      <c r="B1390" t="s">
        <v>473</v>
      </c>
      <c r="C1390" t="s">
        <v>1681</v>
      </c>
      <c r="D1390" t="s">
        <v>16</v>
      </c>
      <c r="E1390" t="s">
        <v>131</v>
      </c>
      <c r="F1390" t="s">
        <v>55</v>
      </c>
      <c r="G1390" t="s">
        <v>59</v>
      </c>
      <c r="H1390">
        <v>725</v>
      </c>
      <c r="I1390">
        <v>50</v>
      </c>
      <c r="J1390">
        <v>20</v>
      </c>
      <c r="K1390" t="s">
        <v>29</v>
      </c>
      <c r="L1390">
        <v>50</v>
      </c>
      <c r="M1390" t="s">
        <v>30</v>
      </c>
      <c r="N1390">
        <f>COUNTIF(order_data[Order_ID],order_data[[#This Row],[Order_ID]])</f>
        <v>1</v>
      </c>
      <c r="O1390">
        <f>order_data[[#This Row],[Order_Value]]-order_data[[#This Row],[Discount]]</f>
        <v>705</v>
      </c>
      <c r="P1390">
        <f>order_data[[#This Row],[Order_Value]]+order_data[[#This Row],[Delivery_Fee]]-order_data[[#This Row],[Discount]]</f>
        <v>755</v>
      </c>
      <c r="Q1390" t="str">
        <f>TEXT(order_data[[#This Row],[Order_Date]],"mmm")</f>
        <v>Mar</v>
      </c>
      <c r="R1390">
        <f>MONTH(order_data[[#This Row],[Order_Date]])</f>
        <v>3</v>
      </c>
    </row>
    <row r="1391" spans="1:18" x14ac:dyDescent="0.35">
      <c r="A1391" t="s">
        <v>2119</v>
      </c>
      <c r="B1391" t="s">
        <v>280</v>
      </c>
      <c r="C1391" t="s">
        <v>1233</v>
      </c>
      <c r="D1391" t="s">
        <v>16</v>
      </c>
      <c r="E1391" t="s">
        <v>131</v>
      </c>
      <c r="F1391" t="s">
        <v>55</v>
      </c>
      <c r="G1391" t="s">
        <v>28</v>
      </c>
      <c r="H1391">
        <v>214</v>
      </c>
      <c r="I1391">
        <v>20</v>
      </c>
      <c r="J1391">
        <v>0</v>
      </c>
      <c r="K1391" t="s">
        <v>36</v>
      </c>
      <c r="L1391">
        <v>49</v>
      </c>
      <c r="M1391" t="s">
        <v>21</v>
      </c>
      <c r="N1391">
        <f>COUNTIF(order_data[Order_ID],order_data[[#This Row],[Order_ID]])</f>
        <v>1</v>
      </c>
      <c r="O1391">
        <f>order_data[[#This Row],[Order_Value]]-order_data[[#This Row],[Discount]]</f>
        <v>214</v>
      </c>
      <c r="P1391">
        <f>order_data[[#This Row],[Order_Value]]+order_data[[#This Row],[Delivery_Fee]]-order_data[[#This Row],[Discount]]</f>
        <v>234</v>
      </c>
      <c r="Q1391" t="str">
        <f>TEXT(order_data[[#This Row],[Order_Date]],"mmm")</f>
        <v>Jan</v>
      </c>
      <c r="R1391">
        <f>MONTH(order_data[[#This Row],[Order_Date]])</f>
        <v>1</v>
      </c>
    </row>
    <row r="1392" spans="1:18" x14ac:dyDescent="0.35">
      <c r="A1392" t="s">
        <v>2120</v>
      </c>
      <c r="B1392" t="s">
        <v>226</v>
      </c>
      <c r="C1392" t="s">
        <v>496</v>
      </c>
      <c r="D1392" t="s">
        <v>16</v>
      </c>
      <c r="E1392" t="s">
        <v>17</v>
      </c>
      <c r="F1392" t="s">
        <v>18</v>
      </c>
      <c r="G1392" t="s">
        <v>49</v>
      </c>
      <c r="H1392">
        <v>650</v>
      </c>
      <c r="I1392">
        <v>30</v>
      </c>
      <c r="J1392">
        <v>100</v>
      </c>
      <c r="K1392" t="s">
        <v>36</v>
      </c>
      <c r="L1392">
        <v>53</v>
      </c>
      <c r="M1392" t="s">
        <v>21</v>
      </c>
      <c r="N1392">
        <f>COUNTIF(order_data[Order_ID],order_data[[#This Row],[Order_ID]])</f>
        <v>1</v>
      </c>
      <c r="O1392">
        <f>order_data[[#This Row],[Order_Value]]-order_data[[#This Row],[Discount]]</f>
        <v>550</v>
      </c>
      <c r="P1392">
        <f>order_data[[#This Row],[Order_Value]]+order_data[[#This Row],[Delivery_Fee]]-order_data[[#This Row],[Discount]]</f>
        <v>580</v>
      </c>
      <c r="Q1392" t="str">
        <f>TEXT(order_data[[#This Row],[Order_Date]],"mmm")</f>
        <v>Jan</v>
      </c>
      <c r="R1392">
        <f>MONTH(order_data[[#This Row],[Order_Date]])</f>
        <v>1</v>
      </c>
    </row>
    <row r="1393" spans="1:18" x14ac:dyDescent="0.35">
      <c r="A1393" t="s">
        <v>2121</v>
      </c>
      <c r="B1393" t="s">
        <v>32</v>
      </c>
      <c r="C1393" t="s">
        <v>2122</v>
      </c>
      <c r="D1393" t="s">
        <v>53</v>
      </c>
      <c r="E1393" t="s">
        <v>54</v>
      </c>
      <c r="F1393" t="s">
        <v>55</v>
      </c>
      <c r="G1393" t="s">
        <v>63</v>
      </c>
      <c r="H1393">
        <v>274</v>
      </c>
      <c r="I1393">
        <v>50</v>
      </c>
      <c r="J1393">
        <v>100</v>
      </c>
      <c r="K1393" t="s">
        <v>36</v>
      </c>
      <c r="L1393">
        <v>57</v>
      </c>
      <c r="M1393" t="s">
        <v>21</v>
      </c>
      <c r="N1393">
        <f>COUNTIF(order_data[Order_ID],order_data[[#This Row],[Order_ID]])</f>
        <v>1</v>
      </c>
      <c r="O1393">
        <f>order_data[[#This Row],[Order_Value]]-order_data[[#This Row],[Discount]]</f>
        <v>174</v>
      </c>
      <c r="P1393">
        <f>order_data[[#This Row],[Order_Value]]+order_data[[#This Row],[Delivery_Fee]]-order_data[[#This Row],[Discount]]</f>
        <v>224</v>
      </c>
      <c r="Q1393" t="str">
        <f>TEXT(order_data[[#This Row],[Order_Date]],"mmm")</f>
        <v>Jan</v>
      </c>
      <c r="R1393">
        <f>MONTH(order_data[[#This Row],[Order_Date]])</f>
        <v>1</v>
      </c>
    </row>
    <row r="1394" spans="1:18" x14ac:dyDescent="0.35">
      <c r="A1394" t="s">
        <v>2123</v>
      </c>
      <c r="B1394" t="s">
        <v>91</v>
      </c>
      <c r="C1394" t="s">
        <v>2124</v>
      </c>
      <c r="D1394" t="s">
        <v>25</v>
      </c>
      <c r="E1394" t="s">
        <v>78</v>
      </c>
      <c r="F1394" t="s">
        <v>48</v>
      </c>
      <c r="G1394" t="s">
        <v>63</v>
      </c>
      <c r="H1394">
        <v>659</v>
      </c>
      <c r="I1394">
        <v>40</v>
      </c>
      <c r="J1394">
        <v>20</v>
      </c>
      <c r="K1394" t="s">
        <v>29</v>
      </c>
      <c r="L1394">
        <v>33</v>
      </c>
      <c r="M1394" t="s">
        <v>21</v>
      </c>
      <c r="N1394">
        <f>COUNTIF(order_data[Order_ID],order_data[[#This Row],[Order_ID]])</f>
        <v>1</v>
      </c>
      <c r="O1394">
        <f>order_data[[#This Row],[Order_Value]]-order_data[[#This Row],[Discount]]</f>
        <v>639</v>
      </c>
      <c r="P1394">
        <f>order_data[[#This Row],[Order_Value]]+order_data[[#This Row],[Delivery_Fee]]-order_data[[#This Row],[Discount]]</f>
        <v>679</v>
      </c>
      <c r="Q1394" t="str">
        <f>TEXT(order_data[[#This Row],[Order_Date]],"mmm")</f>
        <v>Mar</v>
      </c>
      <c r="R1394">
        <f>MONTH(order_data[[#This Row],[Order_Date]])</f>
        <v>3</v>
      </c>
    </row>
    <row r="1395" spans="1:18" x14ac:dyDescent="0.35">
      <c r="A1395" t="s">
        <v>2125</v>
      </c>
      <c r="B1395" t="s">
        <v>136</v>
      </c>
      <c r="C1395" t="s">
        <v>1275</v>
      </c>
      <c r="D1395" t="s">
        <v>53</v>
      </c>
      <c r="E1395" t="s">
        <v>152</v>
      </c>
      <c r="F1395" t="s">
        <v>18</v>
      </c>
      <c r="G1395" t="s">
        <v>63</v>
      </c>
      <c r="H1395">
        <v>303</v>
      </c>
      <c r="I1395">
        <v>30</v>
      </c>
      <c r="J1395">
        <v>0</v>
      </c>
      <c r="K1395" t="s">
        <v>29</v>
      </c>
      <c r="L1395">
        <v>57</v>
      </c>
      <c r="M1395" t="s">
        <v>21</v>
      </c>
      <c r="N1395">
        <f>COUNTIF(order_data[Order_ID],order_data[[#This Row],[Order_ID]])</f>
        <v>1</v>
      </c>
      <c r="O1395">
        <f>order_data[[#This Row],[Order_Value]]-order_data[[#This Row],[Discount]]</f>
        <v>303</v>
      </c>
      <c r="P1395">
        <f>order_data[[#This Row],[Order_Value]]+order_data[[#This Row],[Delivery_Fee]]-order_data[[#This Row],[Discount]]</f>
        <v>333</v>
      </c>
      <c r="Q1395" t="str">
        <f>TEXT(order_data[[#This Row],[Order_Date]],"mmm")</f>
        <v>Feb</v>
      </c>
      <c r="R1395">
        <f>MONTH(order_data[[#This Row],[Order_Date]])</f>
        <v>2</v>
      </c>
    </row>
    <row r="1396" spans="1:18" x14ac:dyDescent="0.35">
      <c r="A1396" t="s">
        <v>2126</v>
      </c>
      <c r="B1396" t="s">
        <v>413</v>
      </c>
      <c r="C1396" t="s">
        <v>2127</v>
      </c>
      <c r="D1396" t="s">
        <v>16</v>
      </c>
      <c r="E1396" t="s">
        <v>89</v>
      </c>
      <c r="F1396" t="s">
        <v>18</v>
      </c>
      <c r="G1396" t="s">
        <v>35</v>
      </c>
      <c r="H1396">
        <v>750</v>
      </c>
      <c r="I1396">
        <v>20</v>
      </c>
      <c r="J1396">
        <v>0</v>
      </c>
      <c r="K1396" t="s">
        <v>20</v>
      </c>
      <c r="L1396">
        <v>43</v>
      </c>
      <c r="M1396" t="s">
        <v>30</v>
      </c>
      <c r="N1396">
        <f>COUNTIF(order_data[Order_ID],order_data[[#This Row],[Order_ID]])</f>
        <v>1</v>
      </c>
      <c r="O1396">
        <f>order_data[[#This Row],[Order_Value]]-order_data[[#This Row],[Discount]]</f>
        <v>750</v>
      </c>
      <c r="P1396">
        <f>order_data[[#This Row],[Order_Value]]+order_data[[#This Row],[Delivery_Fee]]-order_data[[#This Row],[Discount]]</f>
        <v>770</v>
      </c>
      <c r="Q1396" t="str">
        <f>TEXT(order_data[[#This Row],[Order_Date]],"mmm")</f>
        <v>Mar</v>
      </c>
      <c r="R1396">
        <f>MONTH(order_data[[#This Row],[Order_Date]])</f>
        <v>3</v>
      </c>
    </row>
    <row r="1397" spans="1:18" x14ac:dyDescent="0.35">
      <c r="A1397" t="s">
        <v>2128</v>
      </c>
      <c r="B1397" t="s">
        <v>329</v>
      </c>
      <c r="C1397" t="s">
        <v>2129</v>
      </c>
      <c r="D1397" t="s">
        <v>53</v>
      </c>
      <c r="E1397" t="s">
        <v>84</v>
      </c>
      <c r="F1397" t="s">
        <v>85</v>
      </c>
      <c r="G1397" t="s">
        <v>74</v>
      </c>
      <c r="H1397">
        <v>703</v>
      </c>
      <c r="I1397">
        <v>50</v>
      </c>
      <c r="J1397">
        <v>0</v>
      </c>
      <c r="K1397" t="s">
        <v>20</v>
      </c>
      <c r="L1397">
        <v>59</v>
      </c>
      <c r="M1397" t="s">
        <v>21</v>
      </c>
      <c r="N1397">
        <f>COUNTIF(order_data[Order_ID],order_data[[#This Row],[Order_ID]])</f>
        <v>1</v>
      </c>
      <c r="O1397">
        <f>order_data[[#This Row],[Order_Value]]-order_data[[#This Row],[Discount]]</f>
        <v>703</v>
      </c>
      <c r="P1397">
        <f>order_data[[#This Row],[Order_Value]]+order_data[[#This Row],[Delivery_Fee]]-order_data[[#This Row],[Discount]]</f>
        <v>753</v>
      </c>
      <c r="Q1397" t="str">
        <f>TEXT(order_data[[#This Row],[Order_Date]],"mmm")</f>
        <v>Mar</v>
      </c>
      <c r="R1397">
        <f>MONTH(order_data[[#This Row],[Order_Date]])</f>
        <v>3</v>
      </c>
    </row>
    <row r="1398" spans="1:18" x14ac:dyDescent="0.35">
      <c r="A1398" t="s">
        <v>2130</v>
      </c>
      <c r="B1398" t="s">
        <v>154</v>
      </c>
      <c r="C1398" t="s">
        <v>437</v>
      </c>
      <c r="D1398" t="s">
        <v>40</v>
      </c>
      <c r="E1398" t="s">
        <v>111</v>
      </c>
      <c r="F1398" t="s">
        <v>18</v>
      </c>
      <c r="G1398" t="s">
        <v>42</v>
      </c>
      <c r="H1398">
        <v>263</v>
      </c>
      <c r="I1398">
        <v>20</v>
      </c>
      <c r="J1398">
        <v>30</v>
      </c>
      <c r="K1398" t="s">
        <v>36</v>
      </c>
      <c r="L1398">
        <v>46</v>
      </c>
      <c r="M1398" t="s">
        <v>21</v>
      </c>
      <c r="N1398">
        <f>COUNTIF(order_data[Order_ID],order_data[[#This Row],[Order_ID]])</f>
        <v>1</v>
      </c>
      <c r="O1398">
        <f>order_data[[#This Row],[Order_Value]]-order_data[[#This Row],[Discount]]</f>
        <v>233</v>
      </c>
      <c r="P1398">
        <f>order_data[[#This Row],[Order_Value]]+order_data[[#This Row],[Delivery_Fee]]-order_data[[#This Row],[Discount]]</f>
        <v>253</v>
      </c>
      <c r="Q1398" t="str">
        <f>TEXT(order_data[[#This Row],[Order_Date]],"mmm")</f>
        <v>Jan</v>
      </c>
      <c r="R1398">
        <f>MONTH(order_data[[#This Row],[Order_Date]])</f>
        <v>1</v>
      </c>
    </row>
    <row r="1399" spans="1:18" x14ac:dyDescent="0.35">
      <c r="A1399" t="s">
        <v>2131</v>
      </c>
      <c r="B1399" t="s">
        <v>416</v>
      </c>
      <c r="C1399" t="s">
        <v>1532</v>
      </c>
      <c r="D1399" t="s">
        <v>16</v>
      </c>
      <c r="E1399" t="s">
        <v>131</v>
      </c>
      <c r="F1399" t="s">
        <v>55</v>
      </c>
      <c r="G1399" t="s">
        <v>28</v>
      </c>
      <c r="H1399">
        <v>719</v>
      </c>
      <c r="I1399">
        <v>50</v>
      </c>
      <c r="J1399">
        <v>0</v>
      </c>
      <c r="K1399" t="s">
        <v>29</v>
      </c>
      <c r="L1399">
        <v>39</v>
      </c>
      <c r="M1399" t="s">
        <v>21</v>
      </c>
      <c r="N1399">
        <f>COUNTIF(order_data[Order_ID],order_data[[#This Row],[Order_ID]])</f>
        <v>1</v>
      </c>
      <c r="O1399">
        <f>order_data[[#This Row],[Order_Value]]-order_data[[#This Row],[Discount]]</f>
        <v>719</v>
      </c>
      <c r="P1399">
        <f>order_data[[#This Row],[Order_Value]]+order_data[[#This Row],[Delivery_Fee]]-order_data[[#This Row],[Discount]]</f>
        <v>769</v>
      </c>
      <c r="Q1399" t="str">
        <f>TEXT(order_data[[#This Row],[Order_Date]],"mmm")</f>
        <v>Mar</v>
      </c>
      <c r="R1399">
        <f>MONTH(order_data[[#This Row],[Order_Date]])</f>
        <v>3</v>
      </c>
    </row>
    <row r="1400" spans="1:18" x14ac:dyDescent="0.35">
      <c r="A1400" t="s">
        <v>2132</v>
      </c>
      <c r="B1400" t="s">
        <v>189</v>
      </c>
      <c r="C1400" t="s">
        <v>484</v>
      </c>
      <c r="D1400" t="s">
        <v>40</v>
      </c>
      <c r="E1400" t="s">
        <v>111</v>
      </c>
      <c r="F1400" t="s">
        <v>18</v>
      </c>
      <c r="G1400" t="s">
        <v>107</v>
      </c>
      <c r="H1400">
        <v>715</v>
      </c>
      <c r="I1400">
        <v>40</v>
      </c>
      <c r="J1400">
        <v>20</v>
      </c>
      <c r="K1400" t="s">
        <v>20</v>
      </c>
      <c r="L1400">
        <v>26</v>
      </c>
      <c r="M1400" t="s">
        <v>21</v>
      </c>
      <c r="N1400">
        <f>COUNTIF(order_data[Order_ID],order_data[[#This Row],[Order_ID]])</f>
        <v>1</v>
      </c>
      <c r="O1400">
        <f>order_data[[#This Row],[Order_Value]]-order_data[[#This Row],[Discount]]</f>
        <v>695</v>
      </c>
      <c r="P1400">
        <f>order_data[[#This Row],[Order_Value]]+order_data[[#This Row],[Delivery_Fee]]-order_data[[#This Row],[Discount]]</f>
        <v>735</v>
      </c>
      <c r="Q1400" t="str">
        <f>TEXT(order_data[[#This Row],[Order_Date]],"mmm")</f>
        <v>Feb</v>
      </c>
      <c r="R1400">
        <f>MONTH(order_data[[#This Row],[Order_Date]])</f>
        <v>2</v>
      </c>
    </row>
    <row r="1401" spans="1:18" x14ac:dyDescent="0.35">
      <c r="A1401" t="s">
        <v>2133</v>
      </c>
      <c r="B1401" t="s">
        <v>329</v>
      </c>
      <c r="C1401" t="s">
        <v>840</v>
      </c>
      <c r="D1401" t="s">
        <v>53</v>
      </c>
      <c r="E1401" t="s">
        <v>54</v>
      </c>
      <c r="F1401" t="s">
        <v>55</v>
      </c>
      <c r="G1401" t="s">
        <v>59</v>
      </c>
      <c r="H1401">
        <v>489</v>
      </c>
      <c r="I1401">
        <v>50</v>
      </c>
      <c r="J1401">
        <v>50</v>
      </c>
      <c r="K1401" t="s">
        <v>36</v>
      </c>
      <c r="L1401">
        <v>58</v>
      </c>
      <c r="M1401" t="s">
        <v>21</v>
      </c>
      <c r="N1401">
        <f>COUNTIF(order_data[Order_ID],order_data[[#This Row],[Order_ID]])</f>
        <v>1</v>
      </c>
      <c r="O1401">
        <f>order_data[[#This Row],[Order_Value]]-order_data[[#This Row],[Discount]]</f>
        <v>439</v>
      </c>
      <c r="P1401">
        <f>order_data[[#This Row],[Order_Value]]+order_data[[#This Row],[Delivery_Fee]]-order_data[[#This Row],[Discount]]</f>
        <v>489</v>
      </c>
      <c r="Q1401" t="str">
        <f>TEXT(order_data[[#This Row],[Order_Date]],"mmm")</f>
        <v>Mar</v>
      </c>
      <c r="R1401">
        <f>MONTH(order_data[[#This Row],[Order_Date]])</f>
        <v>3</v>
      </c>
    </row>
    <row r="1402" spans="1:18" x14ac:dyDescent="0.35">
      <c r="A1402" t="s">
        <v>2134</v>
      </c>
      <c r="B1402" t="s">
        <v>291</v>
      </c>
      <c r="C1402" t="s">
        <v>1147</v>
      </c>
      <c r="D1402" t="s">
        <v>16</v>
      </c>
      <c r="E1402" t="s">
        <v>131</v>
      </c>
      <c r="F1402" t="s">
        <v>55</v>
      </c>
      <c r="G1402" t="s">
        <v>49</v>
      </c>
      <c r="H1402">
        <v>331</v>
      </c>
      <c r="I1402">
        <v>50</v>
      </c>
      <c r="J1402">
        <v>20</v>
      </c>
      <c r="K1402" t="s">
        <v>36</v>
      </c>
      <c r="L1402">
        <v>29</v>
      </c>
      <c r="M1402" t="s">
        <v>21</v>
      </c>
      <c r="N1402">
        <f>COUNTIF(order_data[Order_ID],order_data[[#This Row],[Order_ID]])</f>
        <v>1</v>
      </c>
      <c r="O1402">
        <f>order_data[[#This Row],[Order_Value]]-order_data[[#This Row],[Discount]]</f>
        <v>311</v>
      </c>
      <c r="P1402">
        <f>order_data[[#This Row],[Order_Value]]+order_data[[#This Row],[Delivery_Fee]]-order_data[[#This Row],[Discount]]</f>
        <v>361</v>
      </c>
      <c r="Q1402" t="str">
        <f>TEXT(order_data[[#This Row],[Order_Date]],"mmm")</f>
        <v>Feb</v>
      </c>
      <c r="R1402">
        <f>MONTH(order_data[[#This Row],[Order_Date]])</f>
        <v>2</v>
      </c>
    </row>
    <row r="1403" spans="1:18" x14ac:dyDescent="0.35">
      <c r="A1403" t="s">
        <v>2135</v>
      </c>
      <c r="B1403" t="s">
        <v>213</v>
      </c>
      <c r="C1403" t="s">
        <v>1490</v>
      </c>
      <c r="D1403" t="s">
        <v>16</v>
      </c>
      <c r="E1403" t="s">
        <v>17</v>
      </c>
      <c r="F1403" t="s">
        <v>18</v>
      </c>
      <c r="G1403" t="s">
        <v>42</v>
      </c>
      <c r="H1403">
        <v>477</v>
      </c>
      <c r="I1403">
        <v>50</v>
      </c>
      <c r="J1403">
        <v>20</v>
      </c>
      <c r="K1403" t="s">
        <v>29</v>
      </c>
      <c r="L1403">
        <v>58</v>
      </c>
      <c r="M1403" t="s">
        <v>21</v>
      </c>
      <c r="N1403">
        <f>COUNTIF(order_data[Order_ID],order_data[[#This Row],[Order_ID]])</f>
        <v>1</v>
      </c>
      <c r="O1403">
        <f>order_data[[#This Row],[Order_Value]]-order_data[[#This Row],[Discount]]</f>
        <v>457</v>
      </c>
      <c r="P1403">
        <f>order_data[[#This Row],[Order_Value]]+order_data[[#This Row],[Delivery_Fee]]-order_data[[#This Row],[Discount]]</f>
        <v>507</v>
      </c>
      <c r="Q1403" t="str">
        <f>TEXT(order_data[[#This Row],[Order_Date]],"mmm")</f>
        <v>Jan</v>
      </c>
      <c r="R1403">
        <f>MONTH(order_data[[#This Row],[Order_Date]])</f>
        <v>1</v>
      </c>
    </row>
    <row r="1404" spans="1:18" x14ac:dyDescent="0.35">
      <c r="A1404" t="s">
        <v>2136</v>
      </c>
      <c r="B1404" t="s">
        <v>416</v>
      </c>
      <c r="C1404" t="s">
        <v>103</v>
      </c>
      <c r="D1404" t="s">
        <v>25</v>
      </c>
      <c r="E1404" t="s">
        <v>34</v>
      </c>
      <c r="F1404" t="s">
        <v>27</v>
      </c>
      <c r="G1404" t="s">
        <v>59</v>
      </c>
      <c r="H1404">
        <v>413</v>
      </c>
      <c r="I1404">
        <v>50</v>
      </c>
      <c r="J1404">
        <v>30</v>
      </c>
      <c r="K1404" t="s">
        <v>36</v>
      </c>
      <c r="L1404">
        <v>29</v>
      </c>
      <c r="M1404" t="s">
        <v>21</v>
      </c>
      <c r="N1404">
        <f>COUNTIF(order_data[Order_ID],order_data[[#This Row],[Order_ID]])</f>
        <v>1</v>
      </c>
      <c r="O1404">
        <f>order_data[[#This Row],[Order_Value]]-order_data[[#This Row],[Discount]]</f>
        <v>383</v>
      </c>
      <c r="P1404">
        <f>order_data[[#This Row],[Order_Value]]+order_data[[#This Row],[Delivery_Fee]]-order_data[[#This Row],[Discount]]</f>
        <v>433</v>
      </c>
      <c r="Q1404" t="str">
        <f>TEXT(order_data[[#This Row],[Order_Date]],"mmm")</f>
        <v>Mar</v>
      </c>
      <c r="R1404">
        <f>MONTH(order_data[[#This Row],[Order_Date]])</f>
        <v>3</v>
      </c>
    </row>
    <row r="1405" spans="1:18" x14ac:dyDescent="0.35">
      <c r="A1405" t="s">
        <v>2137</v>
      </c>
      <c r="B1405" t="s">
        <v>218</v>
      </c>
      <c r="C1405" t="s">
        <v>745</v>
      </c>
      <c r="D1405" t="s">
        <v>40</v>
      </c>
      <c r="E1405" t="s">
        <v>111</v>
      </c>
      <c r="F1405" t="s">
        <v>18</v>
      </c>
      <c r="G1405" t="s">
        <v>35</v>
      </c>
      <c r="H1405">
        <v>327</v>
      </c>
      <c r="I1405">
        <v>30</v>
      </c>
      <c r="J1405">
        <v>30</v>
      </c>
      <c r="K1405" t="s">
        <v>29</v>
      </c>
      <c r="L1405">
        <v>56</v>
      </c>
      <c r="M1405" t="s">
        <v>21</v>
      </c>
      <c r="N1405">
        <f>COUNTIF(order_data[Order_ID],order_data[[#This Row],[Order_ID]])</f>
        <v>1</v>
      </c>
      <c r="O1405">
        <f>order_data[[#This Row],[Order_Value]]-order_data[[#This Row],[Discount]]</f>
        <v>297</v>
      </c>
      <c r="P1405">
        <f>order_data[[#This Row],[Order_Value]]+order_data[[#This Row],[Delivery_Fee]]-order_data[[#This Row],[Discount]]</f>
        <v>327</v>
      </c>
      <c r="Q1405" t="str">
        <f>TEXT(order_data[[#This Row],[Order_Date]],"mmm")</f>
        <v>Feb</v>
      </c>
      <c r="R1405">
        <f>MONTH(order_data[[#This Row],[Order_Date]])</f>
        <v>2</v>
      </c>
    </row>
    <row r="1406" spans="1:18" x14ac:dyDescent="0.35">
      <c r="A1406" t="s">
        <v>2138</v>
      </c>
      <c r="B1406" t="s">
        <v>286</v>
      </c>
      <c r="C1406" t="s">
        <v>2139</v>
      </c>
      <c r="D1406" t="s">
        <v>53</v>
      </c>
      <c r="E1406" t="s">
        <v>54</v>
      </c>
      <c r="F1406" t="s">
        <v>55</v>
      </c>
      <c r="G1406" t="s">
        <v>107</v>
      </c>
      <c r="H1406">
        <v>177</v>
      </c>
      <c r="I1406">
        <v>40</v>
      </c>
      <c r="J1406">
        <v>0</v>
      </c>
      <c r="K1406" t="s">
        <v>29</v>
      </c>
      <c r="L1406">
        <v>45</v>
      </c>
      <c r="M1406" t="s">
        <v>21</v>
      </c>
      <c r="N1406">
        <f>COUNTIF(order_data[Order_ID],order_data[[#This Row],[Order_ID]])</f>
        <v>1</v>
      </c>
      <c r="O1406">
        <f>order_data[[#This Row],[Order_Value]]-order_data[[#This Row],[Discount]]</f>
        <v>177</v>
      </c>
      <c r="P1406">
        <f>order_data[[#This Row],[Order_Value]]+order_data[[#This Row],[Delivery_Fee]]-order_data[[#This Row],[Discount]]</f>
        <v>217</v>
      </c>
      <c r="Q1406" t="str">
        <f>TEXT(order_data[[#This Row],[Order_Date]],"mmm")</f>
        <v>Mar</v>
      </c>
      <c r="R1406">
        <f>MONTH(order_data[[#This Row],[Order_Date]])</f>
        <v>3</v>
      </c>
    </row>
    <row r="1407" spans="1:18" x14ac:dyDescent="0.35">
      <c r="A1407" t="s">
        <v>2140</v>
      </c>
      <c r="B1407" t="s">
        <v>310</v>
      </c>
      <c r="C1407" t="s">
        <v>2141</v>
      </c>
      <c r="D1407" t="s">
        <v>40</v>
      </c>
      <c r="E1407" t="s">
        <v>111</v>
      </c>
      <c r="F1407" t="s">
        <v>18</v>
      </c>
      <c r="G1407" t="s">
        <v>176</v>
      </c>
      <c r="H1407">
        <v>335</v>
      </c>
      <c r="I1407">
        <v>20</v>
      </c>
      <c r="J1407">
        <v>30</v>
      </c>
      <c r="K1407" t="s">
        <v>20</v>
      </c>
      <c r="L1407">
        <v>37</v>
      </c>
      <c r="M1407" t="s">
        <v>21</v>
      </c>
      <c r="N1407">
        <f>COUNTIF(order_data[Order_ID],order_data[[#This Row],[Order_ID]])</f>
        <v>1</v>
      </c>
      <c r="O1407">
        <f>order_data[[#This Row],[Order_Value]]-order_data[[#This Row],[Discount]]</f>
        <v>305</v>
      </c>
      <c r="P1407">
        <f>order_data[[#This Row],[Order_Value]]+order_data[[#This Row],[Delivery_Fee]]-order_data[[#This Row],[Discount]]</f>
        <v>325</v>
      </c>
      <c r="Q1407" t="str">
        <f>TEXT(order_data[[#This Row],[Order_Date]],"mmm")</f>
        <v>Feb</v>
      </c>
      <c r="R1407">
        <f>MONTH(order_data[[#This Row],[Order_Date]])</f>
        <v>2</v>
      </c>
    </row>
    <row r="1408" spans="1:18" x14ac:dyDescent="0.35">
      <c r="A1408" t="s">
        <v>2142</v>
      </c>
      <c r="B1408" t="s">
        <v>286</v>
      </c>
      <c r="C1408" t="s">
        <v>1957</v>
      </c>
      <c r="D1408" t="s">
        <v>25</v>
      </c>
      <c r="E1408" t="s">
        <v>34</v>
      </c>
      <c r="F1408" t="s">
        <v>27</v>
      </c>
      <c r="G1408" t="s">
        <v>176</v>
      </c>
      <c r="H1408">
        <v>664</v>
      </c>
      <c r="I1408">
        <v>30</v>
      </c>
      <c r="J1408">
        <v>30</v>
      </c>
      <c r="K1408" t="s">
        <v>20</v>
      </c>
      <c r="L1408">
        <v>55</v>
      </c>
      <c r="M1408" t="s">
        <v>30</v>
      </c>
      <c r="N1408">
        <f>COUNTIF(order_data[Order_ID],order_data[[#This Row],[Order_ID]])</f>
        <v>1</v>
      </c>
      <c r="O1408">
        <f>order_data[[#This Row],[Order_Value]]-order_data[[#This Row],[Discount]]</f>
        <v>634</v>
      </c>
      <c r="P1408">
        <f>order_data[[#This Row],[Order_Value]]+order_data[[#This Row],[Delivery_Fee]]-order_data[[#This Row],[Discount]]</f>
        <v>664</v>
      </c>
      <c r="Q1408" t="str">
        <f>TEXT(order_data[[#This Row],[Order_Date]],"mmm")</f>
        <v>Mar</v>
      </c>
      <c r="R1408">
        <f>MONTH(order_data[[#This Row],[Order_Date]])</f>
        <v>3</v>
      </c>
    </row>
    <row r="1409" spans="1:18" x14ac:dyDescent="0.35">
      <c r="A1409" t="s">
        <v>2143</v>
      </c>
      <c r="B1409" t="s">
        <v>541</v>
      </c>
      <c r="C1409" t="s">
        <v>459</v>
      </c>
      <c r="D1409" t="s">
        <v>25</v>
      </c>
      <c r="E1409" t="s">
        <v>26</v>
      </c>
      <c r="F1409" t="s">
        <v>27</v>
      </c>
      <c r="G1409" t="s">
        <v>176</v>
      </c>
      <c r="H1409">
        <v>235</v>
      </c>
      <c r="I1409">
        <v>30</v>
      </c>
      <c r="J1409">
        <v>0</v>
      </c>
      <c r="K1409" t="s">
        <v>36</v>
      </c>
      <c r="L1409">
        <v>36</v>
      </c>
      <c r="M1409" t="s">
        <v>21</v>
      </c>
      <c r="N1409">
        <f>COUNTIF(order_data[Order_ID],order_data[[#This Row],[Order_ID]])</f>
        <v>1</v>
      </c>
      <c r="O1409">
        <f>order_data[[#This Row],[Order_Value]]-order_data[[#This Row],[Discount]]</f>
        <v>235</v>
      </c>
      <c r="P1409">
        <f>order_data[[#This Row],[Order_Value]]+order_data[[#This Row],[Delivery_Fee]]-order_data[[#This Row],[Discount]]</f>
        <v>265</v>
      </c>
      <c r="Q1409" t="str">
        <f>TEXT(order_data[[#This Row],[Order_Date]],"mmm")</f>
        <v>Jan</v>
      </c>
      <c r="R1409">
        <f>MONTH(order_data[[#This Row],[Order_Date]])</f>
        <v>1</v>
      </c>
    </row>
    <row r="1410" spans="1:18" x14ac:dyDescent="0.35">
      <c r="A1410" t="s">
        <v>2144</v>
      </c>
      <c r="B1410" t="s">
        <v>76</v>
      </c>
      <c r="C1410" t="s">
        <v>1396</v>
      </c>
      <c r="D1410" t="s">
        <v>16</v>
      </c>
      <c r="E1410" t="s">
        <v>89</v>
      </c>
      <c r="F1410" t="s">
        <v>18</v>
      </c>
      <c r="G1410" t="s">
        <v>35</v>
      </c>
      <c r="H1410">
        <v>612</v>
      </c>
      <c r="I1410">
        <v>50</v>
      </c>
      <c r="J1410">
        <v>50</v>
      </c>
      <c r="K1410" t="s">
        <v>29</v>
      </c>
      <c r="L1410">
        <v>33</v>
      </c>
      <c r="M1410" t="s">
        <v>21</v>
      </c>
      <c r="N1410">
        <f>COUNTIF(order_data[Order_ID],order_data[[#This Row],[Order_ID]])</f>
        <v>1</v>
      </c>
      <c r="O1410">
        <f>order_data[[#This Row],[Order_Value]]-order_data[[#This Row],[Discount]]</f>
        <v>562</v>
      </c>
      <c r="P1410">
        <f>order_data[[#This Row],[Order_Value]]+order_data[[#This Row],[Delivery_Fee]]-order_data[[#This Row],[Discount]]</f>
        <v>612</v>
      </c>
      <c r="Q1410" t="str">
        <f>TEXT(order_data[[#This Row],[Order_Date]],"mmm")</f>
        <v>Feb</v>
      </c>
      <c r="R1410">
        <f>MONTH(order_data[[#This Row],[Order_Date]])</f>
        <v>2</v>
      </c>
    </row>
    <row r="1411" spans="1:18" x14ac:dyDescent="0.35">
      <c r="A1411" t="s">
        <v>2145</v>
      </c>
      <c r="B1411" t="s">
        <v>178</v>
      </c>
      <c r="C1411" t="s">
        <v>2009</v>
      </c>
      <c r="D1411" t="s">
        <v>16</v>
      </c>
      <c r="E1411" t="s">
        <v>89</v>
      </c>
      <c r="F1411" t="s">
        <v>18</v>
      </c>
      <c r="G1411" t="s">
        <v>35</v>
      </c>
      <c r="H1411">
        <v>470</v>
      </c>
      <c r="I1411">
        <v>50</v>
      </c>
      <c r="J1411">
        <v>30</v>
      </c>
      <c r="K1411" t="s">
        <v>36</v>
      </c>
      <c r="L1411">
        <v>48</v>
      </c>
      <c r="M1411" t="s">
        <v>21</v>
      </c>
      <c r="N1411">
        <f>COUNTIF(order_data[Order_ID],order_data[[#This Row],[Order_ID]])</f>
        <v>1</v>
      </c>
      <c r="O1411">
        <f>order_data[[#This Row],[Order_Value]]-order_data[[#This Row],[Discount]]</f>
        <v>440</v>
      </c>
      <c r="P1411">
        <f>order_data[[#This Row],[Order_Value]]+order_data[[#This Row],[Delivery_Fee]]-order_data[[#This Row],[Discount]]</f>
        <v>490</v>
      </c>
      <c r="Q1411" t="str">
        <f>TEXT(order_data[[#This Row],[Order_Date]],"mmm")</f>
        <v>Feb</v>
      </c>
      <c r="R1411">
        <f>MONTH(order_data[[#This Row],[Order_Date]])</f>
        <v>2</v>
      </c>
    </row>
    <row r="1412" spans="1:18" x14ac:dyDescent="0.35">
      <c r="A1412" t="s">
        <v>2146</v>
      </c>
      <c r="B1412" t="s">
        <v>435</v>
      </c>
      <c r="C1412" t="s">
        <v>463</v>
      </c>
      <c r="D1412" t="s">
        <v>40</v>
      </c>
      <c r="E1412" t="s">
        <v>111</v>
      </c>
      <c r="F1412" t="s">
        <v>18</v>
      </c>
      <c r="G1412" t="s">
        <v>63</v>
      </c>
      <c r="H1412">
        <v>663</v>
      </c>
      <c r="I1412">
        <v>50</v>
      </c>
      <c r="J1412">
        <v>50</v>
      </c>
      <c r="K1412" t="s">
        <v>29</v>
      </c>
      <c r="L1412">
        <v>22</v>
      </c>
      <c r="M1412" t="s">
        <v>21</v>
      </c>
      <c r="N1412">
        <f>COUNTIF(order_data[Order_ID],order_data[[#This Row],[Order_ID]])</f>
        <v>1</v>
      </c>
      <c r="O1412">
        <f>order_data[[#This Row],[Order_Value]]-order_data[[#This Row],[Discount]]</f>
        <v>613</v>
      </c>
      <c r="P1412">
        <f>order_data[[#This Row],[Order_Value]]+order_data[[#This Row],[Delivery_Fee]]-order_data[[#This Row],[Discount]]</f>
        <v>663</v>
      </c>
      <c r="Q1412" t="str">
        <f>TEXT(order_data[[#This Row],[Order_Date]],"mmm")</f>
        <v>Feb</v>
      </c>
      <c r="R1412">
        <f>MONTH(order_data[[#This Row],[Order_Date]])</f>
        <v>2</v>
      </c>
    </row>
    <row r="1413" spans="1:18" x14ac:dyDescent="0.35">
      <c r="A1413" t="s">
        <v>2147</v>
      </c>
      <c r="B1413" t="s">
        <v>65</v>
      </c>
      <c r="C1413" t="s">
        <v>2148</v>
      </c>
      <c r="D1413" t="s">
        <v>40</v>
      </c>
      <c r="E1413" t="s">
        <v>111</v>
      </c>
      <c r="F1413" t="s">
        <v>18</v>
      </c>
      <c r="G1413" t="s">
        <v>107</v>
      </c>
      <c r="H1413">
        <v>292</v>
      </c>
      <c r="I1413">
        <v>20</v>
      </c>
      <c r="J1413">
        <v>30</v>
      </c>
      <c r="K1413" t="s">
        <v>29</v>
      </c>
      <c r="L1413">
        <v>35</v>
      </c>
      <c r="M1413" t="s">
        <v>21</v>
      </c>
      <c r="N1413">
        <f>COUNTIF(order_data[Order_ID],order_data[[#This Row],[Order_ID]])</f>
        <v>1</v>
      </c>
      <c r="O1413">
        <f>order_data[[#This Row],[Order_Value]]-order_data[[#This Row],[Discount]]</f>
        <v>262</v>
      </c>
      <c r="P1413">
        <f>order_data[[#This Row],[Order_Value]]+order_data[[#This Row],[Delivery_Fee]]-order_data[[#This Row],[Discount]]</f>
        <v>282</v>
      </c>
      <c r="Q1413" t="str">
        <f>TEXT(order_data[[#This Row],[Order_Date]],"mmm")</f>
        <v>Mar</v>
      </c>
      <c r="R1413">
        <f>MONTH(order_data[[#This Row],[Order_Date]])</f>
        <v>3</v>
      </c>
    </row>
    <row r="1414" spans="1:18" x14ac:dyDescent="0.35">
      <c r="A1414" t="s">
        <v>2149</v>
      </c>
      <c r="B1414" t="s">
        <v>526</v>
      </c>
      <c r="C1414" t="s">
        <v>425</v>
      </c>
      <c r="D1414" t="s">
        <v>16</v>
      </c>
      <c r="E1414" t="s">
        <v>89</v>
      </c>
      <c r="F1414" t="s">
        <v>18</v>
      </c>
      <c r="G1414" t="s">
        <v>107</v>
      </c>
      <c r="H1414">
        <v>257</v>
      </c>
      <c r="I1414">
        <v>30</v>
      </c>
      <c r="J1414">
        <v>100</v>
      </c>
      <c r="K1414" t="s">
        <v>36</v>
      </c>
      <c r="L1414">
        <v>53</v>
      </c>
      <c r="M1414" t="s">
        <v>21</v>
      </c>
      <c r="N1414">
        <f>COUNTIF(order_data[Order_ID],order_data[[#This Row],[Order_ID]])</f>
        <v>1</v>
      </c>
      <c r="O1414">
        <f>order_data[[#This Row],[Order_Value]]-order_data[[#This Row],[Discount]]</f>
        <v>157</v>
      </c>
      <c r="P1414">
        <f>order_data[[#This Row],[Order_Value]]+order_data[[#This Row],[Delivery_Fee]]-order_data[[#This Row],[Discount]]</f>
        <v>187</v>
      </c>
      <c r="Q1414" t="str">
        <f>TEXT(order_data[[#This Row],[Order_Date]],"mmm")</f>
        <v>Jan</v>
      </c>
      <c r="R1414">
        <f>MONTH(order_data[[#This Row],[Order_Date]])</f>
        <v>1</v>
      </c>
    </row>
    <row r="1415" spans="1:18" x14ac:dyDescent="0.35">
      <c r="A1415" t="s">
        <v>2150</v>
      </c>
      <c r="B1415" t="s">
        <v>213</v>
      </c>
      <c r="C1415" t="s">
        <v>1401</v>
      </c>
      <c r="D1415" t="s">
        <v>53</v>
      </c>
      <c r="E1415" t="s">
        <v>54</v>
      </c>
      <c r="F1415" t="s">
        <v>55</v>
      </c>
      <c r="G1415" t="s">
        <v>49</v>
      </c>
      <c r="H1415">
        <v>688</v>
      </c>
      <c r="I1415">
        <v>40</v>
      </c>
      <c r="J1415">
        <v>20</v>
      </c>
      <c r="K1415" t="s">
        <v>20</v>
      </c>
      <c r="L1415">
        <v>27</v>
      </c>
      <c r="M1415" t="s">
        <v>21</v>
      </c>
      <c r="N1415">
        <f>COUNTIF(order_data[Order_ID],order_data[[#This Row],[Order_ID]])</f>
        <v>1</v>
      </c>
      <c r="O1415">
        <f>order_data[[#This Row],[Order_Value]]-order_data[[#This Row],[Discount]]</f>
        <v>668</v>
      </c>
      <c r="P1415">
        <f>order_data[[#This Row],[Order_Value]]+order_data[[#This Row],[Delivery_Fee]]-order_data[[#This Row],[Discount]]</f>
        <v>708</v>
      </c>
      <c r="Q1415" t="str">
        <f>TEXT(order_data[[#This Row],[Order_Date]],"mmm")</f>
        <v>Jan</v>
      </c>
      <c r="R1415">
        <f>MONTH(order_data[[#This Row],[Order_Date]])</f>
        <v>1</v>
      </c>
    </row>
    <row r="1416" spans="1:18" x14ac:dyDescent="0.35">
      <c r="A1416" t="s">
        <v>2151</v>
      </c>
      <c r="B1416" t="s">
        <v>205</v>
      </c>
      <c r="C1416" t="s">
        <v>1434</v>
      </c>
      <c r="D1416" t="s">
        <v>53</v>
      </c>
      <c r="E1416" t="s">
        <v>152</v>
      </c>
      <c r="F1416" t="s">
        <v>18</v>
      </c>
      <c r="G1416" t="s">
        <v>49</v>
      </c>
      <c r="H1416">
        <v>256</v>
      </c>
      <c r="I1416">
        <v>50</v>
      </c>
      <c r="J1416">
        <v>30</v>
      </c>
      <c r="K1416" t="s">
        <v>36</v>
      </c>
      <c r="L1416">
        <v>35</v>
      </c>
      <c r="M1416" t="s">
        <v>21</v>
      </c>
      <c r="N1416">
        <f>COUNTIF(order_data[Order_ID],order_data[[#This Row],[Order_ID]])</f>
        <v>1</v>
      </c>
      <c r="O1416">
        <f>order_data[[#This Row],[Order_Value]]-order_data[[#This Row],[Discount]]</f>
        <v>226</v>
      </c>
      <c r="P1416">
        <f>order_data[[#This Row],[Order_Value]]+order_data[[#This Row],[Delivery_Fee]]-order_data[[#This Row],[Discount]]</f>
        <v>276</v>
      </c>
      <c r="Q1416" t="str">
        <f>TEXT(order_data[[#This Row],[Order_Date]],"mmm")</f>
        <v>Jan</v>
      </c>
      <c r="R1416">
        <f>MONTH(order_data[[#This Row],[Order_Date]])</f>
        <v>1</v>
      </c>
    </row>
    <row r="1417" spans="1:18" x14ac:dyDescent="0.35">
      <c r="A1417" t="s">
        <v>2152</v>
      </c>
      <c r="B1417" t="s">
        <v>91</v>
      </c>
      <c r="C1417" t="s">
        <v>1326</v>
      </c>
      <c r="D1417" t="s">
        <v>25</v>
      </c>
      <c r="E1417" t="s">
        <v>34</v>
      </c>
      <c r="F1417" t="s">
        <v>27</v>
      </c>
      <c r="G1417" t="s">
        <v>42</v>
      </c>
      <c r="H1417">
        <v>215</v>
      </c>
      <c r="I1417">
        <v>30</v>
      </c>
      <c r="J1417">
        <v>30</v>
      </c>
      <c r="K1417" t="s">
        <v>36</v>
      </c>
      <c r="L1417">
        <v>20</v>
      </c>
      <c r="M1417" t="s">
        <v>21</v>
      </c>
      <c r="N1417">
        <f>COUNTIF(order_data[Order_ID],order_data[[#This Row],[Order_ID]])</f>
        <v>1</v>
      </c>
      <c r="O1417">
        <f>order_data[[#This Row],[Order_Value]]-order_data[[#This Row],[Discount]]</f>
        <v>185</v>
      </c>
      <c r="P1417">
        <f>order_data[[#This Row],[Order_Value]]+order_data[[#This Row],[Delivery_Fee]]-order_data[[#This Row],[Discount]]</f>
        <v>215</v>
      </c>
      <c r="Q1417" t="str">
        <f>TEXT(order_data[[#This Row],[Order_Date]],"mmm")</f>
        <v>Mar</v>
      </c>
      <c r="R1417">
        <f>MONTH(order_data[[#This Row],[Order_Date]])</f>
        <v>3</v>
      </c>
    </row>
    <row r="1418" spans="1:18" x14ac:dyDescent="0.35">
      <c r="A1418" t="s">
        <v>2153</v>
      </c>
      <c r="B1418" t="s">
        <v>51</v>
      </c>
      <c r="C1418" t="s">
        <v>1767</v>
      </c>
      <c r="D1418" t="s">
        <v>25</v>
      </c>
      <c r="E1418" t="s">
        <v>34</v>
      </c>
      <c r="F1418" t="s">
        <v>27</v>
      </c>
      <c r="G1418" t="s">
        <v>19</v>
      </c>
      <c r="H1418">
        <v>671</v>
      </c>
      <c r="I1418">
        <v>40</v>
      </c>
      <c r="J1418">
        <v>50</v>
      </c>
      <c r="K1418" t="s">
        <v>29</v>
      </c>
      <c r="L1418">
        <v>32</v>
      </c>
      <c r="M1418" t="s">
        <v>21</v>
      </c>
      <c r="N1418">
        <f>COUNTIF(order_data[Order_ID],order_data[[#This Row],[Order_ID]])</f>
        <v>1</v>
      </c>
      <c r="O1418">
        <f>order_data[[#This Row],[Order_Value]]-order_data[[#This Row],[Discount]]</f>
        <v>621</v>
      </c>
      <c r="P1418">
        <f>order_data[[#This Row],[Order_Value]]+order_data[[#This Row],[Delivery_Fee]]-order_data[[#This Row],[Discount]]</f>
        <v>661</v>
      </c>
      <c r="Q1418" t="str">
        <f>TEXT(order_data[[#This Row],[Order_Date]],"mmm")</f>
        <v>Feb</v>
      </c>
      <c r="R1418">
        <f>MONTH(order_data[[#This Row],[Order_Date]])</f>
        <v>2</v>
      </c>
    </row>
    <row r="1419" spans="1:18" x14ac:dyDescent="0.35">
      <c r="A1419" t="s">
        <v>2154</v>
      </c>
      <c r="B1419" t="s">
        <v>432</v>
      </c>
      <c r="C1419" t="s">
        <v>1919</v>
      </c>
      <c r="D1419" t="s">
        <v>46</v>
      </c>
      <c r="E1419" t="s">
        <v>47</v>
      </c>
      <c r="F1419" t="s">
        <v>48</v>
      </c>
      <c r="G1419" t="s">
        <v>35</v>
      </c>
      <c r="H1419">
        <v>520</v>
      </c>
      <c r="I1419">
        <v>50</v>
      </c>
      <c r="J1419">
        <v>20</v>
      </c>
      <c r="K1419" t="s">
        <v>36</v>
      </c>
      <c r="L1419">
        <v>35</v>
      </c>
      <c r="M1419" t="s">
        <v>21</v>
      </c>
      <c r="N1419">
        <f>COUNTIF(order_data[Order_ID],order_data[[#This Row],[Order_ID]])</f>
        <v>1</v>
      </c>
      <c r="O1419">
        <f>order_data[[#This Row],[Order_Value]]-order_data[[#This Row],[Discount]]</f>
        <v>500</v>
      </c>
      <c r="P1419">
        <f>order_data[[#This Row],[Order_Value]]+order_data[[#This Row],[Delivery_Fee]]-order_data[[#This Row],[Discount]]</f>
        <v>550</v>
      </c>
      <c r="Q1419" t="str">
        <f>TEXT(order_data[[#This Row],[Order_Date]],"mmm")</f>
        <v>Feb</v>
      </c>
      <c r="R1419">
        <f>MONTH(order_data[[#This Row],[Order_Date]])</f>
        <v>2</v>
      </c>
    </row>
    <row r="1420" spans="1:18" x14ac:dyDescent="0.35">
      <c r="A1420" t="s">
        <v>2155</v>
      </c>
      <c r="B1420" t="s">
        <v>583</v>
      </c>
      <c r="C1420" t="s">
        <v>353</v>
      </c>
      <c r="D1420" t="s">
        <v>53</v>
      </c>
      <c r="E1420" t="s">
        <v>84</v>
      </c>
      <c r="F1420" t="s">
        <v>85</v>
      </c>
      <c r="G1420" t="s">
        <v>107</v>
      </c>
      <c r="H1420">
        <v>357</v>
      </c>
      <c r="I1420">
        <v>40</v>
      </c>
      <c r="J1420">
        <v>30</v>
      </c>
      <c r="K1420" t="s">
        <v>36</v>
      </c>
      <c r="L1420">
        <v>49</v>
      </c>
      <c r="M1420" t="s">
        <v>30</v>
      </c>
      <c r="N1420">
        <f>COUNTIF(order_data[Order_ID],order_data[[#This Row],[Order_ID]])</f>
        <v>1</v>
      </c>
      <c r="O1420">
        <f>order_data[[#This Row],[Order_Value]]-order_data[[#This Row],[Discount]]</f>
        <v>327</v>
      </c>
      <c r="P1420">
        <f>order_data[[#This Row],[Order_Value]]+order_data[[#This Row],[Delivery_Fee]]-order_data[[#This Row],[Discount]]</f>
        <v>367</v>
      </c>
      <c r="Q1420" t="str">
        <f>TEXT(order_data[[#This Row],[Order_Date]],"mmm")</f>
        <v>Jan</v>
      </c>
      <c r="R1420">
        <f>MONTH(order_data[[#This Row],[Order_Date]])</f>
        <v>1</v>
      </c>
    </row>
    <row r="1421" spans="1:18" x14ac:dyDescent="0.35">
      <c r="A1421" t="s">
        <v>2156</v>
      </c>
      <c r="B1421" t="s">
        <v>14</v>
      </c>
      <c r="C1421" t="s">
        <v>2157</v>
      </c>
      <c r="D1421" t="s">
        <v>40</v>
      </c>
      <c r="E1421" t="s">
        <v>111</v>
      </c>
      <c r="F1421" t="s">
        <v>18</v>
      </c>
      <c r="G1421" t="s">
        <v>19</v>
      </c>
      <c r="H1421">
        <v>709</v>
      </c>
      <c r="I1421">
        <v>40</v>
      </c>
      <c r="J1421">
        <v>20</v>
      </c>
      <c r="K1421" t="s">
        <v>36</v>
      </c>
      <c r="L1421">
        <v>59</v>
      </c>
      <c r="M1421" t="s">
        <v>21</v>
      </c>
      <c r="N1421">
        <f>COUNTIF(order_data[Order_ID],order_data[[#This Row],[Order_ID]])</f>
        <v>1</v>
      </c>
      <c r="O1421">
        <f>order_data[[#This Row],[Order_Value]]-order_data[[#This Row],[Discount]]</f>
        <v>689</v>
      </c>
      <c r="P1421">
        <f>order_data[[#This Row],[Order_Value]]+order_data[[#This Row],[Delivery_Fee]]-order_data[[#This Row],[Discount]]</f>
        <v>729</v>
      </c>
      <c r="Q1421" t="str">
        <f>TEXT(order_data[[#This Row],[Order_Date]],"mmm")</f>
        <v>Mar</v>
      </c>
      <c r="R1421">
        <f>MONTH(order_data[[#This Row],[Order_Date]])</f>
        <v>3</v>
      </c>
    </row>
    <row r="1422" spans="1:18" x14ac:dyDescent="0.35">
      <c r="A1422" t="s">
        <v>2158</v>
      </c>
      <c r="B1422" t="s">
        <v>87</v>
      </c>
      <c r="C1422" t="s">
        <v>1394</v>
      </c>
      <c r="D1422" t="s">
        <v>40</v>
      </c>
      <c r="E1422" t="s">
        <v>111</v>
      </c>
      <c r="F1422" t="s">
        <v>18</v>
      </c>
      <c r="G1422" t="s">
        <v>35</v>
      </c>
      <c r="H1422">
        <v>576</v>
      </c>
      <c r="I1422">
        <v>50</v>
      </c>
      <c r="J1422">
        <v>20</v>
      </c>
      <c r="K1422" t="s">
        <v>29</v>
      </c>
      <c r="L1422">
        <v>55</v>
      </c>
      <c r="M1422" t="s">
        <v>21</v>
      </c>
      <c r="N1422">
        <f>COUNTIF(order_data[Order_ID],order_data[[#This Row],[Order_ID]])</f>
        <v>1</v>
      </c>
      <c r="O1422">
        <f>order_data[[#This Row],[Order_Value]]-order_data[[#This Row],[Discount]]</f>
        <v>556</v>
      </c>
      <c r="P1422">
        <f>order_data[[#This Row],[Order_Value]]+order_data[[#This Row],[Delivery_Fee]]-order_data[[#This Row],[Discount]]</f>
        <v>606</v>
      </c>
      <c r="Q1422" t="str">
        <f>TEXT(order_data[[#This Row],[Order_Date]],"mmm")</f>
        <v>Jan</v>
      </c>
      <c r="R1422">
        <f>MONTH(order_data[[#This Row],[Order_Date]])</f>
        <v>1</v>
      </c>
    </row>
    <row r="1423" spans="1:18" x14ac:dyDescent="0.35">
      <c r="A1423" t="s">
        <v>2159</v>
      </c>
      <c r="B1423" t="s">
        <v>336</v>
      </c>
      <c r="C1423" t="s">
        <v>1649</v>
      </c>
      <c r="D1423" t="s">
        <v>16</v>
      </c>
      <c r="E1423" t="s">
        <v>89</v>
      </c>
      <c r="F1423" t="s">
        <v>18</v>
      </c>
      <c r="G1423" t="s">
        <v>35</v>
      </c>
      <c r="H1423">
        <v>297</v>
      </c>
      <c r="I1423">
        <v>40</v>
      </c>
      <c r="J1423">
        <v>30</v>
      </c>
      <c r="K1423" t="s">
        <v>29</v>
      </c>
      <c r="L1423">
        <v>39</v>
      </c>
      <c r="M1423" t="s">
        <v>21</v>
      </c>
      <c r="N1423">
        <f>COUNTIF(order_data[Order_ID],order_data[[#This Row],[Order_ID]])</f>
        <v>1</v>
      </c>
      <c r="O1423">
        <f>order_data[[#This Row],[Order_Value]]-order_data[[#This Row],[Discount]]</f>
        <v>267</v>
      </c>
      <c r="P1423">
        <f>order_data[[#This Row],[Order_Value]]+order_data[[#This Row],[Delivery_Fee]]-order_data[[#This Row],[Discount]]</f>
        <v>307</v>
      </c>
      <c r="Q1423" t="str">
        <f>TEXT(order_data[[#This Row],[Order_Date]],"mmm")</f>
        <v>Feb</v>
      </c>
      <c r="R1423">
        <f>MONTH(order_data[[#This Row],[Order_Date]])</f>
        <v>2</v>
      </c>
    </row>
    <row r="1424" spans="1:18" x14ac:dyDescent="0.35">
      <c r="A1424" t="s">
        <v>2160</v>
      </c>
      <c r="B1424" t="s">
        <v>38</v>
      </c>
      <c r="C1424" t="s">
        <v>879</v>
      </c>
      <c r="D1424" t="s">
        <v>40</v>
      </c>
      <c r="E1424" t="s">
        <v>111</v>
      </c>
      <c r="F1424" t="s">
        <v>18</v>
      </c>
      <c r="G1424" t="s">
        <v>19</v>
      </c>
      <c r="H1424">
        <v>516</v>
      </c>
      <c r="I1424">
        <v>40</v>
      </c>
      <c r="J1424">
        <v>100</v>
      </c>
      <c r="K1424" t="s">
        <v>29</v>
      </c>
      <c r="L1424">
        <v>29</v>
      </c>
      <c r="M1424" t="s">
        <v>30</v>
      </c>
      <c r="N1424">
        <f>COUNTIF(order_data[Order_ID],order_data[[#This Row],[Order_ID]])</f>
        <v>1</v>
      </c>
      <c r="O1424">
        <f>order_data[[#This Row],[Order_Value]]-order_data[[#This Row],[Discount]]</f>
        <v>416</v>
      </c>
      <c r="P1424">
        <f>order_data[[#This Row],[Order_Value]]+order_data[[#This Row],[Delivery_Fee]]-order_data[[#This Row],[Discount]]</f>
        <v>456</v>
      </c>
      <c r="Q1424" t="str">
        <f>TEXT(order_data[[#This Row],[Order_Date]],"mmm")</f>
        <v>Jan</v>
      </c>
      <c r="R1424">
        <f>MONTH(order_data[[#This Row],[Order_Date]])</f>
        <v>1</v>
      </c>
    </row>
    <row r="1425" spans="1:18" x14ac:dyDescent="0.35">
      <c r="A1425" t="s">
        <v>2161</v>
      </c>
      <c r="B1425" t="s">
        <v>398</v>
      </c>
      <c r="C1425" t="s">
        <v>77</v>
      </c>
      <c r="D1425" t="s">
        <v>53</v>
      </c>
      <c r="E1425" t="s">
        <v>54</v>
      </c>
      <c r="F1425" t="s">
        <v>55</v>
      </c>
      <c r="G1425" t="s">
        <v>28</v>
      </c>
      <c r="H1425">
        <v>374</v>
      </c>
      <c r="I1425">
        <v>40</v>
      </c>
      <c r="J1425">
        <v>20</v>
      </c>
      <c r="K1425" t="s">
        <v>36</v>
      </c>
      <c r="L1425">
        <v>20</v>
      </c>
      <c r="M1425" t="s">
        <v>21</v>
      </c>
      <c r="N1425">
        <f>COUNTIF(order_data[Order_ID],order_data[[#This Row],[Order_ID]])</f>
        <v>1</v>
      </c>
      <c r="O1425">
        <f>order_data[[#This Row],[Order_Value]]-order_data[[#This Row],[Discount]]</f>
        <v>354</v>
      </c>
      <c r="P1425">
        <f>order_data[[#This Row],[Order_Value]]+order_data[[#This Row],[Delivery_Fee]]-order_data[[#This Row],[Discount]]</f>
        <v>394</v>
      </c>
      <c r="Q1425" t="str">
        <f>TEXT(order_data[[#This Row],[Order_Date]],"mmm")</f>
        <v>Feb</v>
      </c>
      <c r="R1425">
        <f>MONTH(order_data[[#This Row],[Order_Date]])</f>
        <v>2</v>
      </c>
    </row>
    <row r="1426" spans="1:18" x14ac:dyDescent="0.35">
      <c r="A1426" t="s">
        <v>2162</v>
      </c>
      <c r="B1426" t="s">
        <v>65</v>
      </c>
      <c r="C1426" t="s">
        <v>648</v>
      </c>
      <c r="D1426" t="s">
        <v>53</v>
      </c>
      <c r="E1426" t="s">
        <v>152</v>
      </c>
      <c r="F1426" t="s">
        <v>18</v>
      </c>
      <c r="G1426" t="s">
        <v>19</v>
      </c>
      <c r="H1426">
        <v>339</v>
      </c>
      <c r="I1426">
        <v>50</v>
      </c>
      <c r="J1426">
        <v>0</v>
      </c>
      <c r="K1426" t="s">
        <v>36</v>
      </c>
      <c r="L1426">
        <v>55</v>
      </c>
      <c r="M1426" t="s">
        <v>21</v>
      </c>
      <c r="N1426">
        <f>COUNTIF(order_data[Order_ID],order_data[[#This Row],[Order_ID]])</f>
        <v>1</v>
      </c>
      <c r="O1426">
        <f>order_data[[#This Row],[Order_Value]]-order_data[[#This Row],[Discount]]</f>
        <v>339</v>
      </c>
      <c r="P1426">
        <f>order_data[[#This Row],[Order_Value]]+order_data[[#This Row],[Delivery_Fee]]-order_data[[#This Row],[Discount]]</f>
        <v>389</v>
      </c>
      <c r="Q1426" t="str">
        <f>TEXT(order_data[[#This Row],[Order_Date]],"mmm")</f>
        <v>Mar</v>
      </c>
      <c r="R1426">
        <f>MONTH(order_data[[#This Row],[Order_Date]])</f>
        <v>3</v>
      </c>
    </row>
    <row r="1427" spans="1:18" x14ac:dyDescent="0.35">
      <c r="A1427" t="s">
        <v>2163</v>
      </c>
      <c r="B1427" t="s">
        <v>72</v>
      </c>
      <c r="C1427" t="s">
        <v>1879</v>
      </c>
      <c r="D1427" t="s">
        <v>25</v>
      </c>
      <c r="E1427" t="s">
        <v>34</v>
      </c>
      <c r="F1427" t="s">
        <v>27</v>
      </c>
      <c r="G1427" t="s">
        <v>59</v>
      </c>
      <c r="H1427">
        <v>790</v>
      </c>
      <c r="I1427">
        <v>40</v>
      </c>
      <c r="J1427">
        <v>30</v>
      </c>
      <c r="K1427" t="s">
        <v>29</v>
      </c>
      <c r="L1427">
        <v>41</v>
      </c>
      <c r="M1427" t="s">
        <v>21</v>
      </c>
      <c r="N1427">
        <f>COUNTIF(order_data[Order_ID],order_data[[#This Row],[Order_ID]])</f>
        <v>1</v>
      </c>
      <c r="O1427">
        <f>order_data[[#This Row],[Order_Value]]-order_data[[#This Row],[Discount]]</f>
        <v>760</v>
      </c>
      <c r="P1427">
        <f>order_data[[#This Row],[Order_Value]]+order_data[[#This Row],[Delivery_Fee]]-order_data[[#This Row],[Discount]]</f>
        <v>800</v>
      </c>
      <c r="Q1427" t="str">
        <f>TEXT(order_data[[#This Row],[Order_Date]],"mmm")</f>
        <v>Jan</v>
      </c>
      <c r="R1427">
        <f>MONTH(order_data[[#This Row],[Order_Date]])</f>
        <v>1</v>
      </c>
    </row>
    <row r="1428" spans="1:18" x14ac:dyDescent="0.35">
      <c r="A1428" t="s">
        <v>2164</v>
      </c>
      <c r="B1428" t="s">
        <v>23</v>
      </c>
      <c r="C1428" t="s">
        <v>1338</v>
      </c>
      <c r="D1428" t="s">
        <v>46</v>
      </c>
      <c r="E1428" t="s">
        <v>47</v>
      </c>
      <c r="F1428" t="s">
        <v>48</v>
      </c>
      <c r="G1428" t="s">
        <v>107</v>
      </c>
      <c r="H1428">
        <v>204</v>
      </c>
      <c r="I1428">
        <v>50</v>
      </c>
      <c r="J1428">
        <v>100</v>
      </c>
      <c r="K1428" t="s">
        <v>36</v>
      </c>
      <c r="L1428">
        <v>53</v>
      </c>
      <c r="M1428" t="s">
        <v>21</v>
      </c>
      <c r="N1428">
        <f>COUNTIF(order_data[Order_ID],order_data[[#This Row],[Order_ID]])</f>
        <v>1</v>
      </c>
      <c r="O1428">
        <f>order_data[[#This Row],[Order_Value]]-order_data[[#This Row],[Discount]]</f>
        <v>104</v>
      </c>
      <c r="P1428">
        <f>order_data[[#This Row],[Order_Value]]+order_data[[#This Row],[Delivery_Fee]]-order_data[[#This Row],[Discount]]</f>
        <v>154</v>
      </c>
      <c r="Q1428" t="str">
        <f>TEXT(order_data[[#This Row],[Order_Date]],"mmm")</f>
        <v>Mar</v>
      </c>
      <c r="R1428">
        <f>MONTH(order_data[[#This Row],[Order_Date]])</f>
        <v>3</v>
      </c>
    </row>
    <row r="1429" spans="1:18" x14ac:dyDescent="0.35">
      <c r="A1429" t="s">
        <v>2165</v>
      </c>
      <c r="B1429" t="s">
        <v>118</v>
      </c>
      <c r="C1429" t="s">
        <v>114</v>
      </c>
      <c r="D1429" t="s">
        <v>16</v>
      </c>
      <c r="E1429" t="s">
        <v>131</v>
      </c>
      <c r="F1429" t="s">
        <v>55</v>
      </c>
      <c r="G1429" t="s">
        <v>63</v>
      </c>
      <c r="H1429">
        <v>711</v>
      </c>
      <c r="I1429">
        <v>50</v>
      </c>
      <c r="J1429">
        <v>20</v>
      </c>
      <c r="K1429" t="s">
        <v>20</v>
      </c>
      <c r="L1429">
        <v>24</v>
      </c>
      <c r="M1429" t="s">
        <v>21</v>
      </c>
      <c r="N1429">
        <f>COUNTIF(order_data[Order_ID],order_data[[#This Row],[Order_ID]])</f>
        <v>1</v>
      </c>
      <c r="O1429">
        <f>order_data[[#This Row],[Order_Value]]-order_data[[#This Row],[Discount]]</f>
        <v>691</v>
      </c>
      <c r="P1429">
        <f>order_data[[#This Row],[Order_Value]]+order_data[[#This Row],[Delivery_Fee]]-order_data[[#This Row],[Discount]]</f>
        <v>741</v>
      </c>
      <c r="Q1429" t="str">
        <f>TEXT(order_data[[#This Row],[Order_Date]],"mmm")</f>
        <v>Mar</v>
      </c>
      <c r="R1429">
        <f>MONTH(order_data[[#This Row],[Order_Date]])</f>
        <v>3</v>
      </c>
    </row>
    <row r="1430" spans="1:18" x14ac:dyDescent="0.35">
      <c r="A1430" t="s">
        <v>2166</v>
      </c>
      <c r="B1430" t="s">
        <v>213</v>
      </c>
      <c r="C1430" t="s">
        <v>596</v>
      </c>
      <c r="D1430" t="s">
        <v>53</v>
      </c>
      <c r="E1430" t="s">
        <v>152</v>
      </c>
      <c r="F1430" t="s">
        <v>18</v>
      </c>
      <c r="G1430" t="s">
        <v>42</v>
      </c>
      <c r="H1430">
        <v>214</v>
      </c>
      <c r="I1430">
        <v>40</v>
      </c>
      <c r="J1430">
        <v>0</v>
      </c>
      <c r="K1430" t="s">
        <v>36</v>
      </c>
      <c r="L1430">
        <v>33</v>
      </c>
      <c r="M1430" t="s">
        <v>21</v>
      </c>
      <c r="N1430">
        <f>COUNTIF(order_data[Order_ID],order_data[[#This Row],[Order_ID]])</f>
        <v>1</v>
      </c>
      <c r="O1430">
        <f>order_data[[#This Row],[Order_Value]]-order_data[[#This Row],[Discount]]</f>
        <v>214</v>
      </c>
      <c r="P1430">
        <f>order_data[[#This Row],[Order_Value]]+order_data[[#This Row],[Delivery_Fee]]-order_data[[#This Row],[Discount]]</f>
        <v>254</v>
      </c>
      <c r="Q1430" t="str">
        <f>TEXT(order_data[[#This Row],[Order_Date]],"mmm")</f>
        <v>Jan</v>
      </c>
      <c r="R1430">
        <f>MONTH(order_data[[#This Row],[Order_Date]])</f>
        <v>1</v>
      </c>
    </row>
    <row r="1431" spans="1:18" x14ac:dyDescent="0.35">
      <c r="A1431" t="s">
        <v>2167</v>
      </c>
      <c r="B1431" t="s">
        <v>38</v>
      </c>
      <c r="C1431" t="s">
        <v>2168</v>
      </c>
      <c r="D1431" t="s">
        <v>46</v>
      </c>
      <c r="E1431" t="s">
        <v>47</v>
      </c>
      <c r="F1431" t="s">
        <v>48</v>
      </c>
      <c r="G1431" t="s">
        <v>42</v>
      </c>
      <c r="H1431">
        <v>577</v>
      </c>
      <c r="I1431">
        <v>40</v>
      </c>
      <c r="J1431">
        <v>0</v>
      </c>
      <c r="K1431" t="s">
        <v>29</v>
      </c>
      <c r="L1431">
        <v>22</v>
      </c>
      <c r="M1431" t="s">
        <v>21</v>
      </c>
      <c r="N1431">
        <f>COUNTIF(order_data[Order_ID],order_data[[#This Row],[Order_ID]])</f>
        <v>1</v>
      </c>
      <c r="O1431">
        <f>order_data[[#This Row],[Order_Value]]-order_data[[#This Row],[Discount]]</f>
        <v>577</v>
      </c>
      <c r="P1431">
        <f>order_data[[#This Row],[Order_Value]]+order_data[[#This Row],[Delivery_Fee]]-order_data[[#This Row],[Discount]]</f>
        <v>617</v>
      </c>
      <c r="Q1431" t="str">
        <f>TEXT(order_data[[#This Row],[Order_Date]],"mmm")</f>
        <v>Jan</v>
      </c>
      <c r="R1431">
        <f>MONTH(order_data[[#This Row],[Order_Date]])</f>
        <v>1</v>
      </c>
    </row>
    <row r="1432" spans="1:18" x14ac:dyDescent="0.35">
      <c r="A1432" t="s">
        <v>2169</v>
      </c>
      <c r="B1432" t="s">
        <v>336</v>
      </c>
      <c r="C1432" t="s">
        <v>1311</v>
      </c>
      <c r="D1432" t="s">
        <v>40</v>
      </c>
      <c r="E1432" t="s">
        <v>67</v>
      </c>
      <c r="F1432" t="s">
        <v>48</v>
      </c>
      <c r="G1432" t="s">
        <v>19</v>
      </c>
      <c r="H1432">
        <v>404</v>
      </c>
      <c r="I1432">
        <v>20</v>
      </c>
      <c r="J1432">
        <v>20</v>
      </c>
      <c r="K1432" t="s">
        <v>29</v>
      </c>
      <c r="L1432">
        <v>22</v>
      </c>
      <c r="M1432" t="s">
        <v>21</v>
      </c>
      <c r="N1432">
        <f>COUNTIF(order_data[Order_ID],order_data[[#This Row],[Order_ID]])</f>
        <v>1</v>
      </c>
      <c r="O1432">
        <f>order_data[[#This Row],[Order_Value]]-order_data[[#This Row],[Discount]]</f>
        <v>384</v>
      </c>
      <c r="P1432">
        <f>order_data[[#This Row],[Order_Value]]+order_data[[#This Row],[Delivery_Fee]]-order_data[[#This Row],[Discount]]</f>
        <v>404</v>
      </c>
      <c r="Q1432" t="str">
        <f>TEXT(order_data[[#This Row],[Order_Date]],"mmm")</f>
        <v>Feb</v>
      </c>
      <c r="R1432">
        <f>MONTH(order_data[[#This Row],[Order_Date]])</f>
        <v>2</v>
      </c>
    </row>
    <row r="1433" spans="1:18" x14ac:dyDescent="0.35">
      <c r="A1433" t="s">
        <v>2170</v>
      </c>
      <c r="B1433" t="s">
        <v>109</v>
      </c>
      <c r="C1433" t="s">
        <v>151</v>
      </c>
      <c r="D1433" t="s">
        <v>53</v>
      </c>
      <c r="E1433" t="s">
        <v>54</v>
      </c>
      <c r="F1433" t="s">
        <v>55</v>
      </c>
      <c r="G1433" t="s">
        <v>59</v>
      </c>
      <c r="H1433">
        <v>562</v>
      </c>
      <c r="I1433">
        <v>20</v>
      </c>
      <c r="J1433">
        <v>30</v>
      </c>
      <c r="K1433" t="s">
        <v>29</v>
      </c>
      <c r="L1433">
        <v>25</v>
      </c>
      <c r="M1433" t="s">
        <v>21</v>
      </c>
      <c r="N1433">
        <f>COUNTIF(order_data[Order_ID],order_data[[#This Row],[Order_ID]])</f>
        <v>1</v>
      </c>
      <c r="O1433">
        <f>order_data[[#This Row],[Order_Value]]-order_data[[#This Row],[Discount]]</f>
        <v>532</v>
      </c>
      <c r="P1433">
        <f>order_data[[#This Row],[Order_Value]]+order_data[[#This Row],[Delivery_Fee]]-order_data[[#This Row],[Discount]]</f>
        <v>552</v>
      </c>
      <c r="Q1433" t="str">
        <f>TEXT(order_data[[#This Row],[Order_Date]],"mmm")</f>
        <v>Jan</v>
      </c>
      <c r="R1433">
        <f>MONTH(order_data[[#This Row],[Order_Date]])</f>
        <v>1</v>
      </c>
    </row>
    <row r="1434" spans="1:18" x14ac:dyDescent="0.35">
      <c r="A1434" t="s">
        <v>2171</v>
      </c>
      <c r="B1434" t="s">
        <v>454</v>
      </c>
      <c r="C1434" t="s">
        <v>425</v>
      </c>
      <c r="D1434" t="s">
        <v>53</v>
      </c>
      <c r="E1434" t="s">
        <v>152</v>
      </c>
      <c r="F1434" t="s">
        <v>18</v>
      </c>
      <c r="G1434" t="s">
        <v>176</v>
      </c>
      <c r="H1434">
        <v>391</v>
      </c>
      <c r="I1434">
        <v>40</v>
      </c>
      <c r="J1434">
        <v>0</v>
      </c>
      <c r="K1434" t="s">
        <v>29</v>
      </c>
      <c r="L1434">
        <v>32</v>
      </c>
      <c r="M1434" t="s">
        <v>21</v>
      </c>
      <c r="N1434">
        <f>COUNTIF(order_data[Order_ID],order_data[[#This Row],[Order_ID]])</f>
        <v>1</v>
      </c>
      <c r="O1434">
        <f>order_data[[#This Row],[Order_Value]]-order_data[[#This Row],[Discount]]</f>
        <v>391</v>
      </c>
      <c r="P1434">
        <f>order_data[[#This Row],[Order_Value]]+order_data[[#This Row],[Delivery_Fee]]-order_data[[#This Row],[Discount]]</f>
        <v>431</v>
      </c>
      <c r="Q1434" t="str">
        <f>TEXT(order_data[[#This Row],[Order_Date]],"mmm")</f>
        <v>Jan</v>
      </c>
      <c r="R1434">
        <f>MONTH(order_data[[#This Row],[Order_Date]])</f>
        <v>1</v>
      </c>
    </row>
    <row r="1435" spans="1:18" x14ac:dyDescent="0.35">
      <c r="A1435" t="s">
        <v>2172</v>
      </c>
      <c r="B1435" t="s">
        <v>568</v>
      </c>
      <c r="C1435" t="s">
        <v>287</v>
      </c>
      <c r="D1435" t="s">
        <v>53</v>
      </c>
      <c r="E1435" t="s">
        <v>54</v>
      </c>
      <c r="F1435" t="s">
        <v>55</v>
      </c>
      <c r="G1435" t="s">
        <v>42</v>
      </c>
      <c r="H1435">
        <v>511</v>
      </c>
      <c r="I1435">
        <v>50</v>
      </c>
      <c r="J1435">
        <v>100</v>
      </c>
      <c r="K1435" t="s">
        <v>36</v>
      </c>
      <c r="L1435">
        <v>46</v>
      </c>
      <c r="M1435" t="s">
        <v>21</v>
      </c>
      <c r="N1435">
        <f>COUNTIF(order_data[Order_ID],order_data[[#This Row],[Order_ID]])</f>
        <v>1</v>
      </c>
      <c r="O1435">
        <f>order_data[[#This Row],[Order_Value]]-order_data[[#This Row],[Discount]]</f>
        <v>411</v>
      </c>
      <c r="P1435">
        <f>order_data[[#This Row],[Order_Value]]+order_data[[#This Row],[Delivery_Fee]]-order_data[[#This Row],[Discount]]</f>
        <v>461</v>
      </c>
      <c r="Q1435" t="str">
        <f>TEXT(order_data[[#This Row],[Order_Date]],"mmm")</f>
        <v>Mar</v>
      </c>
      <c r="R1435">
        <f>MONTH(order_data[[#This Row],[Order_Date]])</f>
        <v>3</v>
      </c>
    </row>
    <row r="1436" spans="1:18" x14ac:dyDescent="0.35">
      <c r="A1436" t="s">
        <v>2173</v>
      </c>
      <c r="B1436" t="s">
        <v>273</v>
      </c>
      <c r="C1436" t="s">
        <v>1428</v>
      </c>
      <c r="D1436" t="s">
        <v>40</v>
      </c>
      <c r="E1436" t="s">
        <v>67</v>
      </c>
      <c r="F1436" t="s">
        <v>48</v>
      </c>
      <c r="G1436" t="s">
        <v>42</v>
      </c>
      <c r="H1436">
        <v>708</v>
      </c>
      <c r="I1436">
        <v>40</v>
      </c>
      <c r="J1436">
        <v>20</v>
      </c>
      <c r="K1436" t="s">
        <v>36</v>
      </c>
      <c r="L1436">
        <v>23</v>
      </c>
      <c r="M1436" t="s">
        <v>21</v>
      </c>
      <c r="N1436">
        <f>COUNTIF(order_data[Order_ID],order_data[[#This Row],[Order_ID]])</f>
        <v>1</v>
      </c>
      <c r="O1436">
        <f>order_data[[#This Row],[Order_Value]]-order_data[[#This Row],[Discount]]</f>
        <v>688</v>
      </c>
      <c r="P1436">
        <f>order_data[[#This Row],[Order_Value]]+order_data[[#This Row],[Delivery_Fee]]-order_data[[#This Row],[Discount]]</f>
        <v>728</v>
      </c>
      <c r="Q1436" t="str">
        <f>TEXT(order_data[[#This Row],[Order_Date]],"mmm")</f>
        <v>Mar</v>
      </c>
      <c r="R1436">
        <f>MONTH(order_data[[#This Row],[Order_Date]])</f>
        <v>3</v>
      </c>
    </row>
    <row r="1437" spans="1:18" x14ac:dyDescent="0.35">
      <c r="A1437" t="s">
        <v>2174</v>
      </c>
      <c r="B1437" t="s">
        <v>365</v>
      </c>
      <c r="C1437" t="s">
        <v>229</v>
      </c>
      <c r="D1437" t="s">
        <v>46</v>
      </c>
      <c r="E1437" t="s">
        <v>148</v>
      </c>
      <c r="F1437" t="s">
        <v>27</v>
      </c>
      <c r="G1437" t="s">
        <v>59</v>
      </c>
      <c r="H1437">
        <v>645</v>
      </c>
      <c r="I1437">
        <v>50</v>
      </c>
      <c r="J1437">
        <v>50</v>
      </c>
      <c r="K1437" t="s">
        <v>20</v>
      </c>
      <c r="L1437">
        <v>33</v>
      </c>
      <c r="M1437" t="s">
        <v>21</v>
      </c>
      <c r="N1437">
        <f>COUNTIF(order_data[Order_ID],order_data[[#This Row],[Order_ID]])</f>
        <v>1</v>
      </c>
      <c r="O1437">
        <f>order_data[[#This Row],[Order_Value]]-order_data[[#This Row],[Discount]]</f>
        <v>595</v>
      </c>
      <c r="P1437">
        <f>order_data[[#This Row],[Order_Value]]+order_data[[#This Row],[Delivery_Fee]]-order_data[[#This Row],[Discount]]</f>
        <v>645</v>
      </c>
      <c r="Q1437" t="str">
        <f>TEXT(order_data[[#This Row],[Order_Date]],"mmm")</f>
        <v>Jan</v>
      </c>
      <c r="R1437">
        <f>MONTH(order_data[[#This Row],[Order_Date]])</f>
        <v>1</v>
      </c>
    </row>
    <row r="1438" spans="1:18" x14ac:dyDescent="0.35">
      <c r="A1438" t="s">
        <v>2175</v>
      </c>
      <c r="B1438" t="s">
        <v>435</v>
      </c>
      <c r="C1438" t="s">
        <v>1720</v>
      </c>
      <c r="D1438" t="s">
        <v>40</v>
      </c>
      <c r="E1438" t="s">
        <v>67</v>
      </c>
      <c r="F1438" t="s">
        <v>48</v>
      </c>
      <c r="G1438" t="s">
        <v>74</v>
      </c>
      <c r="H1438">
        <v>438</v>
      </c>
      <c r="I1438">
        <v>40</v>
      </c>
      <c r="J1438">
        <v>0</v>
      </c>
      <c r="K1438" t="s">
        <v>29</v>
      </c>
      <c r="L1438">
        <v>49</v>
      </c>
      <c r="M1438" t="s">
        <v>21</v>
      </c>
      <c r="N1438">
        <f>COUNTIF(order_data[Order_ID],order_data[[#This Row],[Order_ID]])</f>
        <v>1</v>
      </c>
      <c r="O1438">
        <f>order_data[[#This Row],[Order_Value]]-order_data[[#This Row],[Discount]]</f>
        <v>438</v>
      </c>
      <c r="P1438">
        <f>order_data[[#This Row],[Order_Value]]+order_data[[#This Row],[Delivery_Fee]]-order_data[[#This Row],[Discount]]</f>
        <v>478</v>
      </c>
      <c r="Q1438" t="str">
        <f>TEXT(order_data[[#This Row],[Order_Date]],"mmm")</f>
        <v>Feb</v>
      </c>
      <c r="R1438">
        <f>MONTH(order_data[[#This Row],[Order_Date]])</f>
        <v>2</v>
      </c>
    </row>
    <row r="1439" spans="1:18" x14ac:dyDescent="0.35">
      <c r="A1439" t="s">
        <v>2176</v>
      </c>
      <c r="B1439" t="s">
        <v>432</v>
      </c>
      <c r="C1439" t="s">
        <v>141</v>
      </c>
      <c r="D1439" t="s">
        <v>40</v>
      </c>
      <c r="E1439" t="s">
        <v>67</v>
      </c>
      <c r="F1439" t="s">
        <v>48</v>
      </c>
      <c r="G1439" t="s">
        <v>28</v>
      </c>
      <c r="H1439">
        <v>511</v>
      </c>
      <c r="I1439">
        <v>40</v>
      </c>
      <c r="J1439">
        <v>100</v>
      </c>
      <c r="K1439" t="s">
        <v>36</v>
      </c>
      <c r="L1439">
        <v>41</v>
      </c>
      <c r="M1439" t="s">
        <v>21</v>
      </c>
      <c r="N1439">
        <f>COUNTIF(order_data[Order_ID],order_data[[#This Row],[Order_ID]])</f>
        <v>1</v>
      </c>
      <c r="O1439">
        <f>order_data[[#This Row],[Order_Value]]-order_data[[#This Row],[Discount]]</f>
        <v>411</v>
      </c>
      <c r="P1439">
        <f>order_data[[#This Row],[Order_Value]]+order_data[[#This Row],[Delivery_Fee]]-order_data[[#This Row],[Discount]]</f>
        <v>451</v>
      </c>
      <c r="Q1439" t="str">
        <f>TEXT(order_data[[#This Row],[Order_Date]],"mmm")</f>
        <v>Feb</v>
      </c>
      <c r="R1439">
        <f>MONTH(order_data[[#This Row],[Order_Date]])</f>
        <v>2</v>
      </c>
    </row>
    <row r="1440" spans="1:18" x14ac:dyDescent="0.35">
      <c r="A1440" t="s">
        <v>2177</v>
      </c>
      <c r="B1440" t="s">
        <v>189</v>
      </c>
      <c r="C1440" t="s">
        <v>2178</v>
      </c>
      <c r="D1440" t="s">
        <v>53</v>
      </c>
      <c r="E1440" t="s">
        <v>54</v>
      </c>
      <c r="F1440" t="s">
        <v>55</v>
      </c>
      <c r="G1440" t="s">
        <v>28</v>
      </c>
      <c r="H1440">
        <v>719</v>
      </c>
      <c r="I1440">
        <v>30</v>
      </c>
      <c r="J1440">
        <v>50</v>
      </c>
      <c r="K1440" t="s">
        <v>36</v>
      </c>
      <c r="L1440">
        <v>20</v>
      </c>
      <c r="M1440" t="s">
        <v>30</v>
      </c>
      <c r="N1440">
        <f>COUNTIF(order_data[Order_ID],order_data[[#This Row],[Order_ID]])</f>
        <v>1</v>
      </c>
      <c r="O1440">
        <f>order_data[[#This Row],[Order_Value]]-order_data[[#This Row],[Discount]]</f>
        <v>669</v>
      </c>
      <c r="P1440">
        <f>order_data[[#This Row],[Order_Value]]+order_data[[#This Row],[Delivery_Fee]]-order_data[[#This Row],[Discount]]</f>
        <v>699</v>
      </c>
      <c r="Q1440" t="str">
        <f>TEXT(order_data[[#This Row],[Order_Date]],"mmm")</f>
        <v>Feb</v>
      </c>
      <c r="R1440">
        <f>MONTH(order_data[[#This Row],[Order_Date]])</f>
        <v>2</v>
      </c>
    </row>
    <row r="1441" spans="1:18" x14ac:dyDescent="0.35">
      <c r="A1441" t="s">
        <v>2179</v>
      </c>
      <c r="B1441" t="s">
        <v>61</v>
      </c>
      <c r="C1441" t="s">
        <v>259</v>
      </c>
      <c r="D1441" t="s">
        <v>25</v>
      </c>
      <c r="E1441" t="s">
        <v>26</v>
      </c>
      <c r="F1441" t="s">
        <v>27</v>
      </c>
      <c r="G1441" t="s">
        <v>176</v>
      </c>
      <c r="H1441">
        <v>319</v>
      </c>
      <c r="I1441">
        <v>30</v>
      </c>
      <c r="J1441">
        <v>0</v>
      </c>
      <c r="K1441" t="s">
        <v>36</v>
      </c>
      <c r="L1441">
        <v>52</v>
      </c>
      <c r="M1441" t="s">
        <v>21</v>
      </c>
      <c r="N1441">
        <f>COUNTIF(order_data[Order_ID],order_data[[#This Row],[Order_ID]])</f>
        <v>1</v>
      </c>
      <c r="O1441">
        <f>order_data[[#This Row],[Order_Value]]-order_data[[#This Row],[Discount]]</f>
        <v>319</v>
      </c>
      <c r="P1441">
        <f>order_data[[#This Row],[Order_Value]]+order_data[[#This Row],[Delivery_Fee]]-order_data[[#This Row],[Discount]]</f>
        <v>349</v>
      </c>
      <c r="Q1441" t="str">
        <f>TEXT(order_data[[#This Row],[Order_Date]],"mmm")</f>
        <v>Jan</v>
      </c>
      <c r="R1441">
        <f>MONTH(order_data[[#This Row],[Order_Date]])</f>
        <v>1</v>
      </c>
    </row>
    <row r="1442" spans="1:18" x14ac:dyDescent="0.35">
      <c r="A1442" t="s">
        <v>2180</v>
      </c>
      <c r="B1442" t="s">
        <v>80</v>
      </c>
      <c r="C1442" t="s">
        <v>2181</v>
      </c>
      <c r="D1442" t="s">
        <v>25</v>
      </c>
      <c r="E1442" t="s">
        <v>26</v>
      </c>
      <c r="F1442" t="s">
        <v>27</v>
      </c>
      <c r="G1442" t="s">
        <v>176</v>
      </c>
      <c r="H1442">
        <v>181</v>
      </c>
      <c r="I1442">
        <v>20</v>
      </c>
      <c r="J1442">
        <v>100</v>
      </c>
      <c r="K1442" t="s">
        <v>20</v>
      </c>
      <c r="L1442">
        <v>26</v>
      </c>
      <c r="M1442" t="s">
        <v>21</v>
      </c>
      <c r="N1442">
        <f>COUNTIF(order_data[Order_ID],order_data[[#This Row],[Order_ID]])</f>
        <v>1</v>
      </c>
      <c r="O1442">
        <f>order_data[[#This Row],[Order_Value]]-order_data[[#This Row],[Discount]]</f>
        <v>81</v>
      </c>
      <c r="P1442">
        <f>order_data[[#This Row],[Order_Value]]+order_data[[#This Row],[Delivery_Fee]]-order_data[[#This Row],[Discount]]</f>
        <v>101</v>
      </c>
      <c r="Q1442" t="str">
        <f>TEXT(order_data[[#This Row],[Order_Date]],"mmm")</f>
        <v>Feb</v>
      </c>
      <c r="R1442">
        <f>MONTH(order_data[[#This Row],[Order_Date]])</f>
        <v>2</v>
      </c>
    </row>
    <row r="1443" spans="1:18" x14ac:dyDescent="0.35">
      <c r="A1443" t="s">
        <v>2182</v>
      </c>
      <c r="B1443" t="s">
        <v>23</v>
      </c>
      <c r="C1443" t="s">
        <v>789</v>
      </c>
      <c r="D1443" t="s">
        <v>46</v>
      </c>
      <c r="E1443" t="s">
        <v>70</v>
      </c>
      <c r="F1443" t="s">
        <v>18</v>
      </c>
      <c r="G1443" t="s">
        <v>19</v>
      </c>
      <c r="H1443">
        <v>358</v>
      </c>
      <c r="I1443">
        <v>40</v>
      </c>
      <c r="J1443">
        <v>20</v>
      </c>
      <c r="K1443" t="s">
        <v>20</v>
      </c>
      <c r="L1443">
        <v>51</v>
      </c>
      <c r="M1443" t="s">
        <v>21</v>
      </c>
      <c r="N1443">
        <f>COUNTIF(order_data[Order_ID],order_data[[#This Row],[Order_ID]])</f>
        <v>1</v>
      </c>
      <c r="O1443">
        <f>order_data[[#This Row],[Order_Value]]-order_data[[#This Row],[Discount]]</f>
        <v>338</v>
      </c>
      <c r="P1443">
        <f>order_data[[#This Row],[Order_Value]]+order_data[[#This Row],[Delivery_Fee]]-order_data[[#This Row],[Discount]]</f>
        <v>378</v>
      </c>
      <c r="Q1443" t="str">
        <f>TEXT(order_data[[#This Row],[Order_Date]],"mmm")</f>
        <v>Mar</v>
      </c>
      <c r="R1443">
        <f>MONTH(order_data[[#This Row],[Order_Date]])</f>
        <v>3</v>
      </c>
    </row>
    <row r="1444" spans="1:18" x14ac:dyDescent="0.35">
      <c r="A1444" t="s">
        <v>2183</v>
      </c>
      <c r="B1444" t="s">
        <v>102</v>
      </c>
      <c r="C1444" t="s">
        <v>137</v>
      </c>
      <c r="D1444" t="s">
        <v>40</v>
      </c>
      <c r="E1444" t="s">
        <v>41</v>
      </c>
      <c r="F1444" t="s">
        <v>27</v>
      </c>
      <c r="G1444" t="s">
        <v>49</v>
      </c>
      <c r="H1444">
        <v>251</v>
      </c>
      <c r="I1444">
        <v>50</v>
      </c>
      <c r="J1444">
        <v>50</v>
      </c>
      <c r="K1444" t="s">
        <v>36</v>
      </c>
      <c r="L1444">
        <v>20</v>
      </c>
      <c r="M1444" t="s">
        <v>21</v>
      </c>
      <c r="N1444">
        <f>COUNTIF(order_data[Order_ID],order_data[[#This Row],[Order_ID]])</f>
        <v>1</v>
      </c>
      <c r="O1444">
        <f>order_data[[#This Row],[Order_Value]]-order_data[[#This Row],[Discount]]</f>
        <v>201</v>
      </c>
      <c r="P1444">
        <f>order_data[[#This Row],[Order_Value]]+order_data[[#This Row],[Delivery_Fee]]-order_data[[#This Row],[Discount]]</f>
        <v>251</v>
      </c>
      <c r="Q1444" t="str">
        <f>TEXT(order_data[[#This Row],[Order_Date]],"mmm")</f>
        <v>Mar</v>
      </c>
      <c r="R1444">
        <f>MONTH(order_data[[#This Row],[Order_Date]])</f>
        <v>3</v>
      </c>
    </row>
    <row r="1445" spans="1:18" x14ac:dyDescent="0.35">
      <c r="A1445" t="s">
        <v>2184</v>
      </c>
      <c r="B1445" t="s">
        <v>580</v>
      </c>
      <c r="C1445" t="s">
        <v>349</v>
      </c>
      <c r="D1445" t="s">
        <v>40</v>
      </c>
      <c r="E1445" t="s">
        <v>111</v>
      </c>
      <c r="F1445" t="s">
        <v>18</v>
      </c>
      <c r="G1445" t="s">
        <v>19</v>
      </c>
      <c r="H1445">
        <v>733</v>
      </c>
      <c r="I1445">
        <v>30</v>
      </c>
      <c r="J1445">
        <v>100</v>
      </c>
      <c r="K1445" t="s">
        <v>36</v>
      </c>
      <c r="L1445">
        <v>39</v>
      </c>
      <c r="M1445" t="s">
        <v>21</v>
      </c>
      <c r="N1445">
        <f>COUNTIF(order_data[Order_ID],order_data[[#This Row],[Order_ID]])</f>
        <v>1</v>
      </c>
      <c r="O1445">
        <f>order_data[[#This Row],[Order_Value]]-order_data[[#This Row],[Discount]]</f>
        <v>633</v>
      </c>
      <c r="P1445">
        <f>order_data[[#This Row],[Order_Value]]+order_data[[#This Row],[Delivery_Fee]]-order_data[[#This Row],[Discount]]</f>
        <v>663</v>
      </c>
      <c r="Q1445" t="str">
        <f>TEXT(order_data[[#This Row],[Order_Date]],"mmm")</f>
        <v>Mar</v>
      </c>
      <c r="R1445">
        <f>MONTH(order_data[[#This Row],[Order_Date]])</f>
        <v>3</v>
      </c>
    </row>
    <row r="1446" spans="1:18" x14ac:dyDescent="0.35">
      <c r="A1446" t="s">
        <v>2185</v>
      </c>
      <c r="B1446" t="s">
        <v>562</v>
      </c>
      <c r="C1446" t="s">
        <v>423</v>
      </c>
      <c r="D1446" t="s">
        <v>40</v>
      </c>
      <c r="E1446" t="s">
        <v>41</v>
      </c>
      <c r="F1446" t="s">
        <v>27</v>
      </c>
      <c r="G1446" t="s">
        <v>107</v>
      </c>
      <c r="H1446">
        <v>672</v>
      </c>
      <c r="I1446">
        <v>40</v>
      </c>
      <c r="J1446">
        <v>30</v>
      </c>
      <c r="K1446" t="s">
        <v>36</v>
      </c>
      <c r="L1446">
        <v>51</v>
      </c>
      <c r="M1446" t="s">
        <v>21</v>
      </c>
      <c r="N1446">
        <f>COUNTIF(order_data[Order_ID],order_data[[#This Row],[Order_ID]])</f>
        <v>1</v>
      </c>
      <c r="O1446">
        <f>order_data[[#This Row],[Order_Value]]-order_data[[#This Row],[Discount]]</f>
        <v>642</v>
      </c>
      <c r="P1446">
        <f>order_data[[#This Row],[Order_Value]]+order_data[[#This Row],[Delivery_Fee]]-order_data[[#This Row],[Discount]]</f>
        <v>682</v>
      </c>
      <c r="Q1446" t="str">
        <f>TEXT(order_data[[#This Row],[Order_Date]],"mmm")</f>
        <v>Feb</v>
      </c>
      <c r="R1446">
        <f>MONTH(order_data[[#This Row],[Order_Date]])</f>
        <v>2</v>
      </c>
    </row>
    <row r="1447" spans="1:18" x14ac:dyDescent="0.35">
      <c r="A1447" t="s">
        <v>2186</v>
      </c>
      <c r="B1447" t="s">
        <v>105</v>
      </c>
      <c r="C1447" t="s">
        <v>1879</v>
      </c>
      <c r="D1447" t="s">
        <v>25</v>
      </c>
      <c r="E1447" t="s">
        <v>26</v>
      </c>
      <c r="F1447" t="s">
        <v>27</v>
      </c>
      <c r="G1447" t="s">
        <v>35</v>
      </c>
      <c r="H1447">
        <v>709</v>
      </c>
      <c r="I1447">
        <v>50</v>
      </c>
      <c r="J1447">
        <v>0</v>
      </c>
      <c r="K1447" t="s">
        <v>29</v>
      </c>
      <c r="L1447">
        <v>42</v>
      </c>
      <c r="M1447" t="s">
        <v>21</v>
      </c>
      <c r="N1447">
        <f>COUNTIF(order_data[Order_ID],order_data[[#This Row],[Order_ID]])</f>
        <v>1</v>
      </c>
      <c r="O1447">
        <f>order_data[[#This Row],[Order_Value]]-order_data[[#This Row],[Discount]]</f>
        <v>709</v>
      </c>
      <c r="P1447">
        <f>order_data[[#This Row],[Order_Value]]+order_data[[#This Row],[Delivery_Fee]]-order_data[[#This Row],[Discount]]</f>
        <v>759</v>
      </c>
      <c r="Q1447" t="str">
        <f>TEXT(order_data[[#This Row],[Order_Date]],"mmm")</f>
        <v>Mar</v>
      </c>
      <c r="R1447">
        <f>MONTH(order_data[[#This Row],[Order_Date]])</f>
        <v>3</v>
      </c>
    </row>
    <row r="1448" spans="1:18" x14ac:dyDescent="0.35">
      <c r="A1448" t="s">
        <v>2187</v>
      </c>
      <c r="B1448" t="s">
        <v>398</v>
      </c>
      <c r="C1448" t="s">
        <v>533</v>
      </c>
      <c r="D1448" t="s">
        <v>16</v>
      </c>
      <c r="E1448" t="s">
        <v>89</v>
      </c>
      <c r="F1448" t="s">
        <v>18</v>
      </c>
      <c r="G1448" t="s">
        <v>42</v>
      </c>
      <c r="H1448">
        <v>536</v>
      </c>
      <c r="I1448">
        <v>40</v>
      </c>
      <c r="J1448">
        <v>30</v>
      </c>
      <c r="K1448" t="s">
        <v>20</v>
      </c>
      <c r="L1448">
        <v>57</v>
      </c>
      <c r="M1448" t="s">
        <v>21</v>
      </c>
      <c r="N1448">
        <f>COUNTIF(order_data[Order_ID],order_data[[#This Row],[Order_ID]])</f>
        <v>1</v>
      </c>
      <c r="O1448">
        <f>order_data[[#This Row],[Order_Value]]-order_data[[#This Row],[Discount]]</f>
        <v>506</v>
      </c>
      <c r="P1448">
        <f>order_data[[#This Row],[Order_Value]]+order_data[[#This Row],[Delivery_Fee]]-order_data[[#This Row],[Discount]]</f>
        <v>546</v>
      </c>
      <c r="Q1448" t="str">
        <f>TEXT(order_data[[#This Row],[Order_Date]],"mmm")</f>
        <v>Feb</v>
      </c>
      <c r="R1448">
        <f>MONTH(order_data[[#This Row],[Order_Date]])</f>
        <v>2</v>
      </c>
    </row>
    <row r="1449" spans="1:18" x14ac:dyDescent="0.35">
      <c r="A1449" t="s">
        <v>2188</v>
      </c>
      <c r="B1449" t="s">
        <v>365</v>
      </c>
      <c r="C1449" t="s">
        <v>1224</v>
      </c>
      <c r="D1449" t="s">
        <v>25</v>
      </c>
      <c r="E1449" t="s">
        <v>78</v>
      </c>
      <c r="F1449" t="s">
        <v>48</v>
      </c>
      <c r="G1449" t="s">
        <v>107</v>
      </c>
      <c r="H1449">
        <v>750</v>
      </c>
      <c r="I1449">
        <v>20</v>
      </c>
      <c r="J1449">
        <v>20</v>
      </c>
      <c r="K1449" t="s">
        <v>36</v>
      </c>
      <c r="L1449">
        <v>25</v>
      </c>
      <c r="M1449" t="s">
        <v>21</v>
      </c>
      <c r="N1449">
        <f>COUNTIF(order_data[Order_ID],order_data[[#This Row],[Order_ID]])</f>
        <v>1</v>
      </c>
      <c r="O1449">
        <f>order_data[[#This Row],[Order_Value]]-order_data[[#This Row],[Discount]]</f>
        <v>730</v>
      </c>
      <c r="P1449">
        <f>order_data[[#This Row],[Order_Value]]+order_data[[#This Row],[Delivery_Fee]]-order_data[[#This Row],[Discount]]</f>
        <v>750</v>
      </c>
      <c r="Q1449" t="str">
        <f>TEXT(order_data[[#This Row],[Order_Date]],"mmm")</f>
        <v>Jan</v>
      </c>
      <c r="R1449">
        <f>MONTH(order_data[[#This Row],[Order_Date]])</f>
        <v>1</v>
      </c>
    </row>
    <row r="1450" spans="1:18" x14ac:dyDescent="0.35">
      <c r="A1450" t="s">
        <v>2189</v>
      </c>
      <c r="B1450" t="s">
        <v>379</v>
      </c>
      <c r="C1450" t="s">
        <v>801</v>
      </c>
      <c r="D1450" t="s">
        <v>46</v>
      </c>
      <c r="E1450" t="s">
        <v>70</v>
      </c>
      <c r="F1450" t="s">
        <v>18</v>
      </c>
      <c r="G1450" t="s">
        <v>19</v>
      </c>
      <c r="H1450">
        <v>152</v>
      </c>
      <c r="I1450">
        <v>30</v>
      </c>
      <c r="J1450">
        <v>100</v>
      </c>
      <c r="K1450" t="s">
        <v>36</v>
      </c>
      <c r="L1450">
        <v>48</v>
      </c>
      <c r="M1450" t="s">
        <v>21</v>
      </c>
      <c r="N1450">
        <f>COUNTIF(order_data[Order_ID],order_data[[#This Row],[Order_ID]])</f>
        <v>1</v>
      </c>
      <c r="O1450">
        <f>order_data[[#This Row],[Order_Value]]-order_data[[#This Row],[Discount]]</f>
        <v>52</v>
      </c>
      <c r="P1450">
        <f>order_data[[#This Row],[Order_Value]]+order_data[[#This Row],[Delivery_Fee]]-order_data[[#This Row],[Discount]]</f>
        <v>82</v>
      </c>
      <c r="Q1450" t="str">
        <f>TEXT(order_data[[#This Row],[Order_Date]],"mmm")</f>
        <v>Mar</v>
      </c>
      <c r="R1450">
        <f>MONTH(order_data[[#This Row],[Order_Date]])</f>
        <v>3</v>
      </c>
    </row>
    <row r="1451" spans="1:18" x14ac:dyDescent="0.35">
      <c r="A1451" t="s">
        <v>2190</v>
      </c>
      <c r="B1451" t="s">
        <v>57</v>
      </c>
      <c r="C1451" t="s">
        <v>2191</v>
      </c>
      <c r="D1451" t="s">
        <v>25</v>
      </c>
      <c r="E1451" t="s">
        <v>78</v>
      </c>
      <c r="F1451" t="s">
        <v>48</v>
      </c>
      <c r="G1451" t="s">
        <v>59</v>
      </c>
      <c r="H1451">
        <v>718</v>
      </c>
      <c r="I1451">
        <v>30</v>
      </c>
      <c r="J1451">
        <v>20</v>
      </c>
      <c r="K1451" t="s">
        <v>20</v>
      </c>
      <c r="L1451">
        <v>43</v>
      </c>
      <c r="M1451" t="s">
        <v>21</v>
      </c>
      <c r="N1451">
        <f>COUNTIF(order_data[Order_ID],order_data[[#This Row],[Order_ID]])</f>
        <v>1</v>
      </c>
      <c r="O1451">
        <f>order_data[[#This Row],[Order_Value]]-order_data[[#This Row],[Discount]]</f>
        <v>698</v>
      </c>
      <c r="P1451">
        <f>order_data[[#This Row],[Order_Value]]+order_data[[#This Row],[Delivery_Fee]]-order_data[[#This Row],[Discount]]</f>
        <v>728</v>
      </c>
      <c r="Q1451" t="str">
        <f>TEXT(order_data[[#This Row],[Order_Date]],"mmm")</f>
        <v>Jan</v>
      </c>
      <c r="R1451">
        <f>MONTH(order_data[[#This Row],[Order_Date]])</f>
        <v>1</v>
      </c>
    </row>
    <row r="1452" spans="1:18" x14ac:dyDescent="0.35">
      <c r="A1452" t="s">
        <v>2192</v>
      </c>
      <c r="B1452" t="s">
        <v>432</v>
      </c>
      <c r="C1452" t="s">
        <v>1649</v>
      </c>
      <c r="D1452" t="s">
        <v>25</v>
      </c>
      <c r="E1452" t="s">
        <v>78</v>
      </c>
      <c r="F1452" t="s">
        <v>48</v>
      </c>
      <c r="G1452" t="s">
        <v>49</v>
      </c>
      <c r="H1452">
        <v>686</v>
      </c>
      <c r="I1452">
        <v>50</v>
      </c>
      <c r="J1452">
        <v>30</v>
      </c>
      <c r="K1452" t="s">
        <v>20</v>
      </c>
      <c r="L1452">
        <v>21</v>
      </c>
      <c r="M1452" t="s">
        <v>21</v>
      </c>
      <c r="N1452">
        <f>COUNTIF(order_data[Order_ID],order_data[[#This Row],[Order_ID]])</f>
        <v>1</v>
      </c>
      <c r="O1452">
        <f>order_data[[#This Row],[Order_Value]]-order_data[[#This Row],[Discount]]</f>
        <v>656</v>
      </c>
      <c r="P1452">
        <f>order_data[[#This Row],[Order_Value]]+order_data[[#This Row],[Delivery_Fee]]-order_data[[#This Row],[Discount]]</f>
        <v>706</v>
      </c>
      <c r="Q1452" t="str">
        <f>TEXT(order_data[[#This Row],[Order_Date]],"mmm")</f>
        <v>Feb</v>
      </c>
      <c r="R1452">
        <f>MONTH(order_data[[#This Row],[Order_Date]])</f>
        <v>2</v>
      </c>
    </row>
    <row r="1453" spans="1:18" x14ac:dyDescent="0.35">
      <c r="A1453" t="s">
        <v>2193</v>
      </c>
      <c r="B1453" t="s">
        <v>146</v>
      </c>
      <c r="C1453" t="s">
        <v>1194</v>
      </c>
      <c r="D1453" t="s">
        <v>40</v>
      </c>
      <c r="E1453" t="s">
        <v>111</v>
      </c>
      <c r="F1453" t="s">
        <v>18</v>
      </c>
      <c r="G1453" t="s">
        <v>35</v>
      </c>
      <c r="H1453">
        <v>733</v>
      </c>
      <c r="I1453">
        <v>40</v>
      </c>
      <c r="J1453">
        <v>50</v>
      </c>
      <c r="K1453" t="s">
        <v>29</v>
      </c>
      <c r="L1453">
        <v>35</v>
      </c>
      <c r="M1453" t="s">
        <v>21</v>
      </c>
      <c r="N1453">
        <f>COUNTIF(order_data[Order_ID],order_data[[#This Row],[Order_ID]])</f>
        <v>1</v>
      </c>
      <c r="O1453">
        <f>order_data[[#This Row],[Order_Value]]-order_data[[#This Row],[Discount]]</f>
        <v>683</v>
      </c>
      <c r="P1453">
        <f>order_data[[#This Row],[Order_Value]]+order_data[[#This Row],[Delivery_Fee]]-order_data[[#This Row],[Discount]]</f>
        <v>723</v>
      </c>
      <c r="Q1453" t="str">
        <f>TEXT(order_data[[#This Row],[Order_Date]],"mmm")</f>
        <v>Feb</v>
      </c>
      <c r="R1453">
        <f>MONTH(order_data[[#This Row],[Order_Date]])</f>
        <v>2</v>
      </c>
    </row>
    <row r="1454" spans="1:18" x14ac:dyDescent="0.35">
      <c r="A1454" t="s">
        <v>2194</v>
      </c>
      <c r="B1454" t="s">
        <v>413</v>
      </c>
      <c r="C1454" t="s">
        <v>710</v>
      </c>
      <c r="D1454" t="s">
        <v>46</v>
      </c>
      <c r="E1454" t="s">
        <v>148</v>
      </c>
      <c r="F1454" t="s">
        <v>27</v>
      </c>
      <c r="G1454" t="s">
        <v>49</v>
      </c>
      <c r="H1454">
        <v>521</v>
      </c>
      <c r="I1454">
        <v>30</v>
      </c>
      <c r="J1454">
        <v>50</v>
      </c>
      <c r="K1454" t="s">
        <v>36</v>
      </c>
      <c r="L1454">
        <v>30</v>
      </c>
      <c r="M1454" t="s">
        <v>21</v>
      </c>
      <c r="N1454">
        <f>COUNTIF(order_data[Order_ID],order_data[[#This Row],[Order_ID]])</f>
        <v>1</v>
      </c>
      <c r="O1454">
        <f>order_data[[#This Row],[Order_Value]]-order_data[[#This Row],[Discount]]</f>
        <v>471</v>
      </c>
      <c r="P1454">
        <f>order_data[[#This Row],[Order_Value]]+order_data[[#This Row],[Delivery_Fee]]-order_data[[#This Row],[Discount]]</f>
        <v>501</v>
      </c>
      <c r="Q1454" t="str">
        <f>TEXT(order_data[[#This Row],[Order_Date]],"mmm")</f>
        <v>Mar</v>
      </c>
      <c r="R1454">
        <f>MONTH(order_data[[#This Row],[Order_Date]])</f>
        <v>3</v>
      </c>
    </row>
    <row r="1455" spans="1:18" x14ac:dyDescent="0.35">
      <c r="A1455" t="s">
        <v>2195</v>
      </c>
      <c r="B1455" t="s">
        <v>322</v>
      </c>
      <c r="C1455" t="s">
        <v>1871</v>
      </c>
      <c r="D1455" t="s">
        <v>25</v>
      </c>
      <c r="E1455" t="s">
        <v>78</v>
      </c>
      <c r="F1455" t="s">
        <v>48</v>
      </c>
      <c r="G1455" t="s">
        <v>63</v>
      </c>
      <c r="H1455">
        <v>663</v>
      </c>
      <c r="I1455">
        <v>30</v>
      </c>
      <c r="J1455">
        <v>30</v>
      </c>
      <c r="K1455" t="s">
        <v>36</v>
      </c>
      <c r="L1455">
        <v>31</v>
      </c>
      <c r="M1455" t="s">
        <v>21</v>
      </c>
      <c r="N1455">
        <f>COUNTIF(order_data[Order_ID],order_data[[#This Row],[Order_ID]])</f>
        <v>1</v>
      </c>
      <c r="O1455">
        <f>order_data[[#This Row],[Order_Value]]-order_data[[#This Row],[Discount]]</f>
        <v>633</v>
      </c>
      <c r="P1455">
        <f>order_data[[#This Row],[Order_Value]]+order_data[[#This Row],[Delivery_Fee]]-order_data[[#This Row],[Discount]]</f>
        <v>663</v>
      </c>
      <c r="Q1455" t="str">
        <f>TEXT(order_data[[#This Row],[Order_Date]],"mmm")</f>
        <v>Jan</v>
      </c>
      <c r="R1455">
        <f>MONTH(order_data[[#This Row],[Order_Date]])</f>
        <v>1</v>
      </c>
    </row>
    <row r="1456" spans="1:18" x14ac:dyDescent="0.35">
      <c r="A1456" t="s">
        <v>2196</v>
      </c>
      <c r="B1456" t="s">
        <v>51</v>
      </c>
      <c r="C1456" t="s">
        <v>717</v>
      </c>
      <c r="D1456" t="s">
        <v>16</v>
      </c>
      <c r="E1456" t="s">
        <v>17</v>
      </c>
      <c r="F1456" t="s">
        <v>18</v>
      </c>
      <c r="G1456" t="s">
        <v>107</v>
      </c>
      <c r="H1456">
        <v>495</v>
      </c>
      <c r="I1456">
        <v>30</v>
      </c>
      <c r="J1456">
        <v>30</v>
      </c>
      <c r="K1456" t="s">
        <v>20</v>
      </c>
      <c r="L1456">
        <v>20</v>
      </c>
      <c r="M1456" t="s">
        <v>21</v>
      </c>
      <c r="N1456">
        <f>COUNTIF(order_data[Order_ID],order_data[[#This Row],[Order_ID]])</f>
        <v>1</v>
      </c>
      <c r="O1456">
        <f>order_data[[#This Row],[Order_Value]]-order_data[[#This Row],[Discount]]</f>
        <v>465</v>
      </c>
      <c r="P1456">
        <f>order_data[[#This Row],[Order_Value]]+order_data[[#This Row],[Delivery_Fee]]-order_data[[#This Row],[Discount]]</f>
        <v>495</v>
      </c>
      <c r="Q1456" t="str">
        <f>TEXT(order_data[[#This Row],[Order_Date]],"mmm")</f>
        <v>Feb</v>
      </c>
      <c r="R1456">
        <f>MONTH(order_data[[#This Row],[Order_Date]])</f>
        <v>2</v>
      </c>
    </row>
    <row r="1457" spans="1:18" x14ac:dyDescent="0.35">
      <c r="A1457" t="s">
        <v>2197</v>
      </c>
      <c r="B1457" t="s">
        <v>181</v>
      </c>
      <c r="C1457" t="s">
        <v>103</v>
      </c>
      <c r="D1457" t="s">
        <v>53</v>
      </c>
      <c r="E1457" t="s">
        <v>54</v>
      </c>
      <c r="F1457" t="s">
        <v>55</v>
      </c>
      <c r="G1457" t="s">
        <v>35</v>
      </c>
      <c r="H1457">
        <v>598</v>
      </c>
      <c r="I1457">
        <v>30</v>
      </c>
      <c r="J1457">
        <v>30</v>
      </c>
      <c r="K1457" t="s">
        <v>36</v>
      </c>
      <c r="L1457">
        <v>20</v>
      </c>
      <c r="M1457" t="s">
        <v>21</v>
      </c>
      <c r="N1457">
        <f>COUNTIF(order_data[Order_ID],order_data[[#This Row],[Order_ID]])</f>
        <v>1</v>
      </c>
      <c r="O1457">
        <f>order_data[[#This Row],[Order_Value]]-order_data[[#This Row],[Discount]]</f>
        <v>568</v>
      </c>
      <c r="P1457">
        <f>order_data[[#This Row],[Order_Value]]+order_data[[#This Row],[Delivery_Fee]]-order_data[[#This Row],[Discount]]</f>
        <v>598</v>
      </c>
      <c r="Q1457" t="str">
        <f>TEXT(order_data[[#This Row],[Order_Date]],"mmm")</f>
        <v>Feb</v>
      </c>
      <c r="R1457">
        <f>MONTH(order_data[[#This Row],[Order_Date]])</f>
        <v>2</v>
      </c>
    </row>
    <row r="1458" spans="1:18" x14ac:dyDescent="0.35">
      <c r="A1458" t="s">
        <v>2198</v>
      </c>
      <c r="B1458" t="s">
        <v>454</v>
      </c>
      <c r="C1458" t="s">
        <v>195</v>
      </c>
      <c r="D1458" t="s">
        <v>25</v>
      </c>
      <c r="E1458" t="s">
        <v>26</v>
      </c>
      <c r="F1458" t="s">
        <v>27</v>
      </c>
      <c r="G1458" t="s">
        <v>35</v>
      </c>
      <c r="H1458">
        <v>566</v>
      </c>
      <c r="I1458">
        <v>50</v>
      </c>
      <c r="J1458">
        <v>20</v>
      </c>
      <c r="K1458" t="s">
        <v>20</v>
      </c>
      <c r="L1458">
        <v>24</v>
      </c>
      <c r="M1458" t="s">
        <v>21</v>
      </c>
      <c r="N1458">
        <f>COUNTIF(order_data[Order_ID],order_data[[#This Row],[Order_ID]])</f>
        <v>1</v>
      </c>
      <c r="O1458">
        <f>order_data[[#This Row],[Order_Value]]-order_data[[#This Row],[Discount]]</f>
        <v>546</v>
      </c>
      <c r="P1458">
        <f>order_data[[#This Row],[Order_Value]]+order_data[[#This Row],[Delivery_Fee]]-order_data[[#This Row],[Discount]]</f>
        <v>596</v>
      </c>
      <c r="Q1458" t="str">
        <f>TEXT(order_data[[#This Row],[Order_Date]],"mmm")</f>
        <v>Jan</v>
      </c>
      <c r="R1458">
        <f>MONTH(order_data[[#This Row],[Order_Date]])</f>
        <v>1</v>
      </c>
    </row>
    <row r="1459" spans="1:18" x14ac:dyDescent="0.35">
      <c r="A1459" t="s">
        <v>2199</v>
      </c>
      <c r="B1459" t="s">
        <v>80</v>
      </c>
      <c r="C1459" t="s">
        <v>399</v>
      </c>
      <c r="D1459" t="s">
        <v>53</v>
      </c>
      <c r="E1459" t="s">
        <v>152</v>
      </c>
      <c r="F1459" t="s">
        <v>18</v>
      </c>
      <c r="G1459" t="s">
        <v>35</v>
      </c>
      <c r="H1459">
        <v>387</v>
      </c>
      <c r="I1459">
        <v>20</v>
      </c>
      <c r="J1459">
        <v>50</v>
      </c>
      <c r="K1459" t="s">
        <v>20</v>
      </c>
      <c r="L1459">
        <v>42</v>
      </c>
      <c r="M1459" t="s">
        <v>21</v>
      </c>
      <c r="N1459">
        <f>COUNTIF(order_data[Order_ID],order_data[[#This Row],[Order_ID]])</f>
        <v>1</v>
      </c>
      <c r="O1459">
        <f>order_data[[#This Row],[Order_Value]]-order_data[[#This Row],[Discount]]</f>
        <v>337</v>
      </c>
      <c r="P1459">
        <f>order_data[[#This Row],[Order_Value]]+order_data[[#This Row],[Delivery_Fee]]-order_data[[#This Row],[Discount]]</f>
        <v>357</v>
      </c>
      <c r="Q1459" t="str">
        <f>TEXT(order_data[[#This Row],[Order_Date]],"mmm")</f>
        <v>Feb</v>
      </c>
      <c r="R1459">
        <f>MONTH(order_data[[#This Row],[Order_Date]])</f>
        <v>2</v>
      </c>
    </row>
    <row r="1460" spans="1:18" x14ac:dyDescent="0.35">
      <c r="A1460" t="s">
        <v>2200</v>
      </c>
      <c r="B1460" t="s">
        <v>365</v>
      </c>
      <c r="C1460" t="s">
        <v>307</v>
      </c>
      <c r="D1460" t="s">
        <v>16</v>
      </c>
      <c r="E1460" t="s">
        <v>17</v>
      </c>
      <c r="F1460" t="s">
        <v>18</v>
      </c>
      <c r="G1460" t="s">
        <v>59</v>
      </c>
      <c r="H1460">
        <v>339</v>
      </c>
      <c r="I1460">
        <v>20</v>
      </c>
      <c r="J1460">
        <v>50</v>
      </c>
      <c r="K1460" t="s">
        <v>36</v>
      </c>
      <c r="L1460">
        <v>45</v>
      </c>
      <c r="M1460" t="s">
        <v>21</v>
      </c>
      <c r="N1460">
        <f>COUNTIF(order_data[Order_ID],order_data[[#This Row],[Order_ID]])</f>
        <v>1</v>
      </c>
      <c r="O1460">
        <f>order_data[[#This Row],[Order_Value]]-order_data[[#This Row],[Discount]]</f>
        <v>289</v>
      </c>
      <c r="P1460">
        <f>order_data[[#This Row],[Order_Value]]+order_data[[#This Row],[Delivery_Fee]]-order_data[[#This Row],[Discount]]</f>
        <v>309</v>
      </c>
      <c r="Q1460" t="str">
        <f>TEXT(order_data[[#This Row],[Order_Date]],"mmm")</f>
        <v>Jan</v>
      </c>
      <c r="R1460">
        <f>MONTH(order_data[[#This Row],[Order_Date]])</f>
        <v>1</v>
      </c>
    </row>
    <row r="1461" spans="1:18" x14ac:dyDescent="0.35">
      <c r="A1461" t="s">
        <v>2201</v>
      </c>
      <c r="B1461" t="s">
        <v>61</v>
      </c>
      <c r="C1461" t="s">
        <v>2202</v>
      </c>
      <c r="D1461" t="s">
        <v>16</v>
      </c>
      <c r="E1461" t="s">
        <v>89</v>
      </c>
      <c r="F1461" t="s">
        <v>18</v>
      </c>
      <c r="G1461" t="s">
        <v>63</v>
      </c>
      <c r="H1461">
        <v>209</v>
      </c>
      <c r="I1461">
        <v>40</v>
      </c>
      <c r="J1461">
        <v>30</v>
      </c>
      <c r="K1461" t="s">
        <v>29</v>
      </c>
      <c r="L1461">
        <v>58</v>
      </c>
      <c r="M1461" t="s">
        <v>21</v>
      </c>
      <c r="N1461">
        <f>COUNTIF(order_data[Order_ID],order_data[[#This Row],[Order_ID]])</f>
        <v>1</v>
      </c>
      <c r="O1461">
        <f>order_data[[#This Row],[Order_Value]]-order_data[[#This Row],[Discount]]</f>
        <v>179</v>
      </c>
      <c r="P1461">
        <f>order_data[[#This Row],[Order_Value]]+order_data[[#This Row],[Delivery_Fee]]-order_data[[#This Row],[Discount]]</f>
        <v>219</v>
      </c>
      <c r="Q1461" t="str">
        <f>TEXT(order_data[[#This Row],[Order_Date]],"mmm")</f>
        <v>Jan</v>
      </c>
      <c r="R1461">
        <f>MONTH(order_data[[#This Row],[Order_Date]])</f>
        <v>1</v>
      </c>
    </row>
    <row r="1462" spans="1:18" x14ac:dyDescent="0.35">
      <c r="A1462" t="s">
        <v>2203</v>
      </c>
      <c r="B1462" t="s">
        <v>365</v>
      </c>
      <c r="C1462" t="s">
        <v>871</v>
      </c>
      <c r="D1462" t="s">
        <v>53</v>
      </c>
      <c r="E1462" t="s">
        <v>84</v>
      </c>
      <c r="F1462" t="s">
        <v>85</v>
      </c>
      <c r="G1462" t="s">
        <v>107</v>
      </c>
      <c r="H1462">
        <v>301</v>
      </c>
      <c r="I1462">
        <v>40</v>
      </c>
      <c r="J1462">
        <v>100</v>
      </c>
      <c r="K1462" t="s">
        <v>29</v>
      </c>
      <c r="L1462">
        <v>34</v>
      </c>
      <c r="M1462" t="s">
        <v>21</v>
      </c>
      <c r="N1462">
        <f>COUNTIF(order_data[Order_ID],order_data[[#This Row],[Order_ID]])</f>
        <v>1</v>
      </c>
      <c r="O1462">
        <f>order_data[[#This Row],[Order_Value]]-order_data[[#This Row],[Discount]]</f>
        <v>201</v>
      </c>
      <c r="P1462">
        <f>order_data[[#This Row],[Order_Value]]+order_data[[#This Row],[Delivery_Fee]]-order_data[[#This Row],[Discount]]</f>
        <v>241</v>
      </c>
      <c r="Q1462" t="str">
        <f>TEXT(order_data[[#This Row],[Order_Date]],"mmm")</f>
        <v>Jan</v>
      </c>
      <c r="R1462">
        <f>MONTH(order_data[[#This Row],[Order_Date]])</f>
        <v>1</v>
      </c>
    </row>
    <row r="1463" spans="1:18" x14ac:dyDescent="0.35">
      <c r="A1463" t="s">
        <v>2204</v>
      </c>
      <c r="B1463" t="s">
        <v>513</v>
      </c>
      <c r="C1463" t="s">
        <v>2050</v>
      </c>
      <c r="D1463" t="s">
        <v>16</v>
      </c>
      <c r="E1463" t="s">
        <v>131</v>
      </c>
      <c r="F1463" t="s">
        <v>55</v>
      </c>
      <c r="G1463" t="s">
        <v>59</v>
      </c>
      <c r="H1463">
        <v>337</v>
      </c>
      <c r="I1463">
        <v>40</v>
      </c>
      <c r="J1463">
        <v>100</v>
      </c>
      <c r="K1463" t="s">
        <v>29</v>
      </c>
      <c r="L1463">
        <v>57</v>
      </c>
      <c r="M1463" t="s">
        <v>21</v>
      </c>
      <c r="N1463">
        <f>COUNTIF(order_data[Order_ID],order_data[[#This Row],[Order_ID]])</f>
        <v>1</v>
      </c>
      <c r="O1463">
        <f>order_data[[#This Row],[Order_Value]]-order_data[[#This Row],[Discount]]</f>
        <v>237</v>
      </c>
      <c r="P1463">
        <f>order_data[[#This Row],[Order_Value]]+order_data[[#This Row],[Delivery_Fee]]-order_data[[#This Row],[Discount]]</f>
        <v>277</v>
      </c>
      <c r="Q1463" t="str">
        <f>TEXT(order_data[[#This Row],[Order_Date]],"mmm")</f>
        <v>Feb</v>
      </c>
      <c r="R1463">
        <f>MONTH(order_data[[#This Row],[Order_Date]])</f>
        <v>2</v>
      </c>
    </row>
    <row r="1464" spans="1:18" x14ac:dyDescent="0.35">
      <c r="A1464" t="s">
        <v>2205</v>
      </c>
      <c r="B1464" t="s">
        <v>326</v>
      </c>
      <c r="C1464" t="s">
        <v>315</v>
      </c>
      <c r="D1464" t="s">
        <v>25</v>
      </c>
      <c r="E1464" t="s">
        <v>78</v>
      </c>
      <c r="F1464" t="s">
        <v>48</v>
      </c>
      <c r="G1464" t="s">
        <v>49</v>
      </c>
      <c r="H1464">
        <v>714</v>
      </c>
      <c r="I1464">
        <v>50</v>
      </c>
      <c r="J1464">
        <v>20</v>
      </c>
      <c r="K1464" t="s">
        <v>29</v>
      </c>
      <c r="L1464">
        <v>58</v>
      </c>
      <c r="M1464" t="s">
        <v>21</v>
      </c>
      <c r="N1464">
        <f>COUNTIF(order_data[Order_ID],order_data[[#This Row],[Order_ID]])</f>
        <v>1</v>
      </c>
      <c r="O1464">
        <f>order_data[[#This Row],[Order_Value]]-order_data[[#This Row],[Discount]]</f>
        <v>694</v>
      </c>
      <c r="P1464">
        <f>order_data[[#This Row],[Order_Value]]+order_data[[#This Row],[Delivery_Fee]]-order_data[[#This Row],[Discount]]</f>
        <v>744</v>
      </c>
      <c r="Q1464" t="str">
        <f>TEXT(order_data[[#This Row],[Order_Date]],"mmm")</f>
        <v>Mar</v>
      </c>
      <c r="R1464">
        <f>MONTH(order_data[[#This Row],[Order_Date]])</f>
        <v>3</v>
      </c>
    </row>
    <row r="1465" spans="1:18" x14ac:dyDescent="0.35">
      <c r="A1465" t="s">
        <v>2206</v>
      </c>
      <c r="B1465" t="s">
        <v>449</v>
      </c>
      <c r="C1465" t="s">
        <v>391</v>
      </c>
      <c r="D1465" t="s">
        <v>46</v>
      </c>
      <c r="E1465" t="s">
        <v>70</v>
      </c>
      <c r="F1465" t="s">
        <v>18</v>
      </c>
      <c r="G1465" t="s">
        <v>74</v>
      </c>
      <c r="H1465">
        <v>740</v>
      </c>
      <c r="I1465">
        <v>50</v>
      </c>
      <c r="J1465">
        <v>20</v>
      </c>
      <c r="K1465" t="s">
        <v>29</v>
      </c>
      <c r="L1465">
        <v>41</v>
      </c>
      <c r="M1465" t="s">
        <v>21</v>
      </c>
      <c r="N1465">
        <f>COUNTIF(order_data[Order_ID],order_data[[#This Row],[Order_ID]])</f>
        <v>1</v>
      </c>
      <c r="O1465">
        <f>order_data[[#This Row],[Order_Value]]-order_data[[#This Row],[Discount]]</f>
        <v>720</v>
      </c>
      <c r="P1465">
        <f>order_data[[#This Row],[Order_Value]]+order_data[[#This Row],[Delivery_Fee]]-order_data[[#This Row],[Discount]]</f>
        <v>770</v>
      </c>
      <c r="Q1465" t="str">
        <f>TEXT(order_data[[#This Row],[Order_Date]],"mmm")</f>
        <v>Mar</v>
      </c>
      <c r="R1465">
        <f>MONTH(order_data[[#This Row],[Order_Date]])</f>
        <v>3</v>
      </c>
    </row>
    <row r="1466" spans="1:18" x14ac:dyDescent="0.35">
      <c r="A1466" t="s">
        <v>2207</v>
      </c>
      <c r="B1466" t="s">
        <v>80</v>
      </c>
      <c r="C1466" t="s">
        <v>563</v>
      </c>
      <c r="D1466" t="s">
        <v>53</v>
      </c>
      <c r="E1466" t="s">
        <v>152</v>
      </c>
      <c r="F1466" t="s">
        <v>18</v>
      </c>
      <c r="G1466" t="s">
        <v>176</v>
      </c>
      <c r="H1466">
        <v>441</v>
      </c>
      <c r="I1466">
        <v>20</v>
      </c>
      <c r="J1466">
        <v>100</v>
      </c>
      <c r="K1466" t="s">
        <v>20</v>
      </c>
      <c r="L1466">
        <v>37</v>
      </c>
      <c r="M1466" t="s">
        <v>21</v>
      </c>
      <c r="N1466">
        <f>COUNTIF(order_data[Order_ID],order_data[[#This Row],[Order_ID]])</f>
        <v>1</v>
      </c>
      <c r="O1466">
        <f>order_data[[#This Row],[Order_Value]]-order_data[[#This Row],[Discount]]</f>
        <v>341</v>
      </c>
      <c r="P1466">
        <f>order_data[[#This Row],[Order_Value]]+order_data[[#This Row],[Delivery_Fee]]-order_data[[#This Row],[Discount]]</f>
        <v>361</v>
      </c>
      <c r="Q1466" t="str">
        <f>TEXT(order_data[[#This Row],[Order_Date]],"mmm")</f>
        <v>Feb</v>
      </c>
      <c r="R1466">
        <f>MONTH(order_data[[#This Row],[Order_Date]])</f>
        <v>2</v>
      </c>
    </row>
    <row r="1467" spans="1:18" x14ac:dyDescent="0.35">
      <c r="A1467" t="s">
        <v>2208</v>
      </c>
      <c r="B1467" t="s">
        <v>121</v>
      </c>
      <c r="C1467" t="s">
        <v>327</v>
      </c>
      <c r="D1467" t="s">
        <v>46</v>
      </c>
      <c r="E1467" t="s">
        <v>148</v>
      </c>
      <c r="F1467" t="s">
        <v>27</v>
      </c>
      <c r="G1467" t="s">
        <v>19</v>
      </c>
      <c r="H1467">
        <v>612</v>
      </c>
      <c r="I1467">
        <v>30</v>
      </c>
      <c r="J1467">
        <v>50</v>
      </c>
      <c r="K1467" t="s">
        <v>36</v>
      </c>
      <c r="L1467">
        <v>52</v>
      </c>
      <c r="M1467" t="s">
        <v>21</v>
      </c>
      <c r="N1467">
        <f>COUNTIF(order_data[Order_ID],order_data[[#This Row],[Order_ID]])</f>
        <v>1</v>
      </c>
      <c r="O1467">
        <f>order_data[[#This Row],[Order_Value]]-order_data[[#This Row],[Discount]]</f>
        <v>562</v>
      </c>
      <c r="P1467">
        <f>order_data[[#This Row],[Order_Value]]+order_data[[#This Row],[Delivery_Fee]]-order_data[[#This Row],[Discount]]</f>
        <v>592</v>
      </c>
      <c r="Q1467" t="str">
        <f>TEXT(order_data[[#This Row],[Order_Date]],"mmm")</f>
        <v>Feb</v>
      </c>
      <c r="R1467">
        <f>MONTH(order_data[[#This Row],[Order_Date]])</f>
        <v>2</v>
      </c>
    </row>
    <row r="1468" spans="1:18" x14ac:dyDescent="0.35">
      <c r="A1468" t="s">
        <v>2209</v>
      </c>
      <c r="B1468" t="s">
        <v>449</v>
      </c>
      <c r="C1468" t="s">
        <v>1138</v>
      </c>
      <c r="D1468" t="s">
        <v>53</v>
      </c>
      <c r="E1468" t="s">
        <v>84</v>
      </c>
      <c r="F1468" t="s">
        <v>85</v>
      </c>
      <c r="G1468" t="s">
        <v>28</v>
      </c>
      <c r="H1468">
        <v>461</v>
      </c>
      <c r="I1468">
        <v>30</v>
      </c>
      <c r="J1468">
        <v>20</v>
      </c>
      <c r="K1468" t="s">
        <v>29</v>
      </c>
      <c r="L1468">
        <v>44</v>
      </c>
      <c r="M1468" t="s">
        <v>21</v>
      </c>
      <c r="N1468">
        <f>COUNTIF(order_data[Order_ID],order_data[[#This Row],[Order_ID]])</f>
        <v>1</v>
      </c>
      <c r="O1468">
        <f>order_data[[#This Row],[Order_Value]]-order_data[[#This Row],[Discount]]</f>
        <v>441</v>
      </c>
      <c r="P1468">
        <f>order_data[[#This Row],[Order_Value]]+order_data[[#This Row],[Delivery_Fee]]-order_data[[#This Row],[Discount]]</f>
        <v>471</v>
      </c>
      <c r="Q1468" t="str">
        <f>TEXT(order_data[[#This Row],[Order_Date]],"mmm")</f>
        <v>Mar</v>
      </c>
      <c r="R1468">
        <f>MONTH(order_data[[#This Row],[Order_Date]])</f>
        <v>3</v>
      </c>
    </row>
    <row r="1469" spans="1:18" x14ac:dyDescent="0.35">
      <c r="A1469" t="s">
        <v>2210</v>
      </c>
      <c r="B1469" t="s">
        <v>342</v>
      </c>
      <c r="C1469" t="s">
        <v>1421</v>
      </c>
      <c r="D1469" t="s">
        <v>25</v>
      </c>
      <c r="E1469" t="s">
        <v>78</v>
      </c>
      <c r="F1469" t="s">
        <v>48</v>
      </c>
      <c r="G1469" t="s">
        <v>19</v>
      </c>
      <c r="H1469">
        <v>294</v>
      </c>
      <c r="I1469">
        <v>50</v>
      </c>
      <c r="J1469">
        <v>100</v>
      </c>
      <c r="K1469" t="s">
        <v>29</v>
      </c>
      <c r="L1469">
        <v>47</v>
      </c>
      <c r="M1469" t="s">
        <v>21</v>
      </c>
      <c r="N1469">
        <f>COUNTIF(order_data[Order_ID],order_data[[#This Row],[Order_ID]])</f>
        <v>1</v>
      </c>
      <c r="O1469">
        <f>order_data[[#This Row],[Order_Value]]-order_data[[#This Row],[Discount]]</f>
        <v>194</v>
      </c>
      <c r="P1469">
        <f>order_data[[#This Row],[Order_Value]]+order_data[[#This Row],[Delivery_Fee]]-order_data[[#This Row],[Discount]]</f>
        <v>244</v>
      </c>
      <c r="Q1469" t="str">
        <f>TEXT(order_data[[#This Row],[Order_Date]],"mmm")</f>
        <v>Jan</v>
      </c>
      <c r="R1469">
        <f>MONTH(order_data[[#This Row],[Order_Date]])</f>
        <v>1</v>
      </c>
    </row>
    <row r="1470" spans="1:18" x14ac:dyDescent="0.35">
      <c r="A1470" t="s">
        <v>2211</v>
      </c>
      <c r="B1470" t="s">
        <v>91</v>
      </c>
      <c r="C1470" t="s">
        <v>1243</v>
      </c>
      <c r="D1470" t="s">
        <v>53</v>
      </c>
      <c r="E1470" t="s">
        <v>152</v>
      </c>
      <c r="F1470" t="s">
        <v>18</v>
      </c>
      <c r="G1470" t="s">
        <v>49</v>
      </c>
      <c r="H1470">
        <v>599</v>
      </c>
      <c r="I1470">
        <v>20</v>
      </c>
      <c r="J1470">
        <v>0</v>
      </c>
      <c r="K1470" t="s">
        <v>20</v>
      </c>
      <c r="L1470">
        <v>59</v>
      </c>
      <c r="M1470" t="s">
        <v>30</v>
      </c>
      <c r="N1470">
        <f>COUNTIF(order_data[Order_ID],order_data[[#This Row],[Order_ID]])</f>
        <v>1</v>
      </c>
      <c r="O1470">
        <f>order_data[[#This Row],[Order_Value]]-order_data[[#This Row],[Discount]]</f>
        <v>599</v>
      </c>
      <c r="P1470">
        <f>order_data[[#This Row],[Order_Value]]+order_data[[#This Row],[Delivery_Fee]]-order_data[[#This Row],[Discount]]</f>
        <v>619</v>
      </c>
      <c r="Q1470" t="str">
        <f>TEXT(order_data[[#This Row],[Order_Date]],"mmm")</f>
        <v>Mar</v>
      </c>
      <c r="R1470">
        <f>MONTH(order_data[[#This Row],[Order_Date]])</f>
        <v>3</v>
      </c>
    </row>
    <row r="1471" spans="1:18" x14ac:dyDescent="0.35">
      <c r="A1471" t="s">
        <v>2212</v>
      </c>
      <c r="B1471" t="s">
        <v>96</v>
      </c>
      <c r="C1471" t="s">
        <v>2181</v>
      </c>
      <c r="D1471" t="s">
        <v>46</v>
      </c>
      <c r="E1471" t="s">
        <v>148</v>
      </c>
      <c r="F1471" t="s">
        <v>27</v>
      </c>
      <c r="G1471" t="s">
        <v>28</v>
      </c>
      <c r="H1471">
        <v>659</v>
      </c>
      <c r="I1471">
        <v>30</v>
      </c>
      <c r="J1471">
        <v>50</v>
      </c>
      <c r="K1471" t="s">
        <v>20</v>
      </c>
      <c r="L1471">
        <v>38</v>
      </c>
      <c r="M1471" t="s">
        <v>21</v>
      </c>
      <c r="N1471">
        <f>COUNTIF(order_data[Order_ID],order_data[[#This Row],[Order_ID]])</f>
        <v>1</v>
      </c>
      <c r="O1471">
        <f>order_data[[#This Row],[Order_Value]]-order_data[[#This Row],[Discount]]</f>
        <v>609</v>
      </c>
      <c r="P1471">
        <f>order_data[[#This Row],[Order_Value]]+order_data[[#This Row],[Delivery_Fee]]-order_data[[#This Row],[Discount]]</f>
        <v>639</v>
      </c>
      <c r="Q1471" t="str">
        <f>TEXT(order_data[[#This Row],[Order_Date]],"mmm")</f>
        <v>Mar</v>
      </c>
      <c r="R1471">
        <f>MONTH(order_data[[#This Row],[Order_Date]])</f>
        <v>3</v>
      </c>
    </row>
    <row r="1472" spans="1:18" x14ac:dyDescent="0.35">
      <c r="A1472" t="s">
        <v>2213</v>
      </c>
      <c r="B1472" t="s">
        <v>199</v>
      </c>
      <c r="C1472" t="s">
        <v>956</v>
      </c>
      <c r="D1472" t="s">
        <v>40</v>
      </c>
      <c r="E1472" t="s">
        <v>111</v>
      </c>
      <c r="F1472" t="s">
        <v>18</v>
      </c>
      <c r="G1472" t="s">
        <v>42</v>
      </c>
      <c r="H1472">
        <v>486</v>
      </c>
      <c r="I1472">
        <v>50</v>
      </c>
      <c r="J1472">
        <v>0</v>
      </c>
      <c r="K1472" t="s">
        <v>36</v>
      </c>
      <c r="L1472">
        <v>31</v>
      </c>
      <c r="M1472" t="s">
        <v>21</v>
      </c>
      <c r="N1472">
        <f>COUNTIF(order_data[Order_ID],order_data[[#This Row],[Order_ID]])</f>
        <v>1</v>
      </c>
      <c r="O1472">
        <f>order_data[[#This Row],[Order_Value]]-order_data[[#This Row],[Discount]]</f>
        <v>486</v>
      </c>
      <c r="P1472">
        <f>order_data[[#This Row],[Order_Value]]+order_data[[#This Row],[Delivery_Fee]]-order_data[[#This Row],[Discount]]</f>
        <v>536</v>
      </c>
      <c r="Q1472" t="str">
        <f>TEXT(order_data[[#This Row],[Order_Date]],"mmm")</f>
        <v>Jan</v>
      </c>
      <c r="R1472">
        <f>MONTH(order_data[[#This Row],[Order_Date]])</f>
        <v>1</v>
      </c>
    </row>
    <row r="1473" spans="1:18" x14ac:dyDescent="0.35">
      <c r="A1473" t="s">
        <v>2214</v>
      </c>
      <c r="B1473" t="s">
        <v>413</v>
      </c>
      <c r="C1473" t="s">
        <v>389</v>
      </c>
      <c r="D1473" t="s">
        <v>16</v>
      </c>
      <c r="E1473" t="s">
        <v>17</v>
      </c>
      <c r="F1473" t="s">
        <v>18</v>
      </c>
      <c r="G1473" t="s">
        <v>63</v>
      </c>
      <c r="H1473">
        <v>579</v>
      </c>
      <c r="I1473">
        <v>50</v>
      </c>
      <c r="J1473">
        <v>50</v>
      </c>
      <c r="K1473" t="s">
        <v>20</v>
      </c>
      <c r="L1473">
        <v>34</v>
      </c>
      <c r="M1473" t="s">
        <v>21</v>
      </c>
      <c r="N1473">
        <f>COUNTIF(order_data[Order_ID],order_data[[#This Row],[Order_ID]])</f>
        <v>1</v>
      </c>
      <c r="O1473">
        <f>order_data[[#This Row],[Order_Value]]-order_data[[#This Row],[Discount]]</f>
        <v>529</v>
      </c>
      <c r="P1473">
        <f>order_data[[#This Row],[Order_Value]]+order_data[[#This Row],[Delivery_Fee]]-order_data[[#This Row],[Discount]]</f>
        <v>579</v>
      </c>
      <c r="Q1473" t="str">
        <f>TEXT(order_data[[#This Row],[Order_Date]],"mmm")</f>
        <v>Mar</v>
      </c>
      <c r="R1473">
        <f>MONTH(order_data[[#This Row],[Order_Date]])</f>
        <v>3</v>
      </c>
    </row>
    <row r="1474" spans="1:18" x14ac:dyDescent="0.35">
      <c r="A1474" t="s">
        <v>2215</v>
      </c>
      <c r="B1474" t="s">
        <v>186</v>
      </c>
      <c r="C1474" t="s">
        <v>979</v>
      </c>
      <c r="D1474" t="s">
        <v>53</v>
      </c>
      <c r="E1474" t="s">
        <v>84</v>
      </c>
      <c r="F1474" t="s">
        <v>85</v>
      </c>
      <c r="G1474" t="s">
        <v>28</v>
      </c>
      <c r="H1474">
        <v>720</v>
      </c>
      <c r="I1474">
        <v>50</v>
      </c>
      <c r="J1474">
        <v>0</v>
      </c>
      <c r="K1474" t="s">
        <v>36</v>
      </c>
      <c r="L1474">
        <v>23</v>
      </c>
      <c r="M1474" t="s">
        <v>21</v>
      </c>
      <c r="N1474">
        <f>COUNTIF(order_data[Order_ID],order_data[[#This Row],[Order_ID]])</f>
        <v>1</v>
      </c>
      <c r="O1474">
        <f>order_data[[#This Row],[Order_Value]]-order_data[[#This Row],[Discount]]</f>
        <v>720</v>
      </c>
      <c r="P1474">
        <f>order_data[[#This Row],[Order_Value]]+order_data[[#This Row],[Delivery_Fee]]-order_data[[#This Row],[Discount]]</f>
        <v>770</v>
      </c>
      <c r="Q1474" t="str">
        <f>TEXT(order_data[[#This Row],[Order_Date]],"mmm")</f>
        <v>Mar</v>
      </c>
      <c r="R1474">
        <f>MONTH(order_data[[#This Row],[Order_Date]])</f>
        <v>3</v>
      </c>
    </row>
    <row r="1475" spans="1:18" x14ac:dyDescent="0.35">
      <c r="A1475" t="s">
        <v>2216</v>
      </c>
      <c r="B1475" t="s">
        <v>449</v>
      </c>
      <c r="C1475" t="s">
        <v>77</v>
      </c>
      <c r="D1475" t="s">
        <v>40</v>
      </c>
      <c r="E1475" t="s">
        <v>111</v>
      </c>
      <c r="F1475" t="s">
        <v>18</v>
      </c>
      <c r="G1475" t="s">
        <v>35</v>
      </c>
      <c r="H1475">
        <v>622</v>
      </c>
      <c r="I1475">
        <v>30</v>
      </c>
      <c r="J1475">
        <v>20</v>
      </c>
      <c r="K1475" t="s">
        <v>29</v>
      </c>
      <c r="L1475">
        <v>46</v>
      </c>
      <c r="M1475" t="s">
        <v>21</v>
      </c>
      <c r="N1475">
        <f>COUNTIF(order_data[Order_ID],order_data[[#This Row],[Order_ID]])</f>
        <v>1</v>
      </c>
      <c r="O1475">
        <f>order_data[[#This Row],[Order_Value]]-order_data[[#This Row],[Discount]]</f>
        <v>602</v>
      </c>
      <c r="P1475">
        <f>order_data[[#This Row],[Order_Value]]+order_data[[#This Row],[Delivery_Fee]]-order_data[[#This Row],[Discount]]</f>
        <v>632</v>
      </c>
      <c r="Q1475" t="str">
        <f>TEXT(order_data[[#This Row],[Order_Date]],"mmm")</f>
        <v>Mar</v>
      </c>
      <c r="R1475">
        <f>MONTH(order_data[[#This Row],[Order_Date]])</f>
        <v>3</v>
      </c>
    </row>
    <row r="1476" spans="1:18" x14ac:dyDescent="0.35">
      <c r="A1476" t="s">
        <v>2217</v>
      </c>
      <c r="B1476" t="s">
        <v>223</v>
      </c>
      <c r="C1476" t="s">
        <v>1647</v>
      </c>
      <c r="D1476" t="s">
        <v>25</v>
      </c>
      <c r="E1476" t="s">
        <v>34</v>
      </c>
      <c r="F1476" t="s">
        <v>27</v>
      </c>
      <c r="G1476" t="s">
        <v>176</v>
      </c>
      <c r="H1476">
        <v>494</v>
      </c>
      <c r="I1476">
        <v>50</v>
      </c>
      <c r="J1476">
        <v>100</v>
      </c>
      <c r="K1476" t="s">
        <v>36</v>
      </c>
      <c r="L1476">
        <v>44</v>
      </c>
      <c r="M1476" t="s">
        <v>21</v>
      </c>
      <c r="N1476">
        <f>COUNTIF(order_data[Order_ID],order_data[[#This Row],[Order_ID]])</f>
        <v>1</v>
      </c>
      <c r="O1476">
        <f>order_data[[#This Row],[Order_Value]]-order_data[[#This Row],[Discount]]</f>
        <v>394</v>
      </c>
      <c r="P1476">
        <f>order_data[[#This Row],[Order_Value]]+order_data[[#This Row],[Delivery_Fee]]-order_data[[#This Row],[Discount]]</f>
        <v>444</v>
      </c>
      <c r="Q1476" t="str">
        <f>TEXT(order_data[[#This Row],[Order_Date]],"mmm")</f>
        <v>Mar</v>
      </c>
      <c r="R1476">
        <f>MONTH(order_data[[#This Row],[Order_Date]])</f>
        <v>3</v>
      </c>
    </row>
    <row r="1477" spans="1:18" x14ac:dyDescent="0.35">
      <c r="A1477" t="s">
        <v>2218</v>
      </c>
      <c r="B1477" t="s">
        <v>113</v>
      </c>
      <c r="C1477" t="s">
        <v>2219</v>
      </c>
      <c r="D1477" t="s">
        <v>16</v>
      </c>
      <c r="E1477" t="s">
        <v>89</v>
      </c>
      <c r="F1477" t="s">
        <v>18</v>
      </c>
      <c r="G1477" t="s">
        <v>35</v>
      </c>
      <c r="H1477">
        <v>705</v>
      </c>
      <c r="I1477">
        <v>30</v>
      </c>
      <c r="J1477">
        <v>20</v>
      </c>
      <c r="K1477" t="s">
        <v>29</v>
      </c>
      <c r="L1477">
        <v>53</v>
      </c>
      <c r="M1477" t="s">
        <v>21</v>
      </c>
      <c r="N1477">
        <f>COUNTIF(order_data[Order_ID],order_data[[#This Row],[Order_ID]])</f>
        <v>1</v>
      </c>
      <c r="O1477">
        <f>order_data[[#This Row],[Order_Value]]-order_data[[#This Row],[Discount]]</f>
        <v>685</v>
      </c>
      <c r="P1477">
        <f>order_data[[#This Row],[Order_Value]]+order_data[[#This Row],[Delivery_Fee]]-order_data[[#This Row],[Discount]]</f>
        <v>715</v>
      </c>
      <c r="Q1477" t="str">
        <f>TEXT(order_data[[#This Row],[Order_Date]],"mmm")</f>
        <v>Mar</v>
      </c>
      <c r="R1477">
        <f>MONTH(order_data[[#This Row],[Order_Date]])</f>
        <v>3</v>
      </c>
    </row>
    <row r="1478" spans="1:18" x14ac:dyDescent="0.35">
      <c r="A1478" t="s">
        <v>2220</v>
      </c>
      <c r="B1478" t="s">
        <v>454</v>
      </c>
      <c r="C1478" t="s">
        <v>2221</v>
      </c>
      <c r="D1478" t="s">
        <v>16</v>
      </c>
      <c r="E1478" t="s">
        <v>131</v>
      </c>
      <c r="F1478" t="s">
        <v>55</v>
      </c>
      <c r="G1478" t="s">
        <v>59</v>
      </c>
      <c r="H1478">
        <v>606</v>
      </c>
      <c r="I1478">
        <v>40</v>
      </c>
      <c r="J1478">
        <v>100</v>
      </c>
      <c r="K1478" t="s">
        <v>36</v>
      </c>
      <c r="L1478">
        <v>33</v>
      </c>
      <c r="M1478" t="s">
        <v>21</v>
      </c>
      <c r="N1478">
        <f>COUNTIF(order_data[Order_ID],order_data[[#This Row],[Order_ID]])</f>
        <v>1</v>
      </c>
      <c r="O1478">
        <f>order_data[[#This Row],[Order_Value]]-order_data[[#This Row],[Discount]]</f>
        <v>506</v>
      </c>
      <c r="P1478">
        <f>order_data[[#This Row],[Order_Value]]+order_data[[#This Row],[Delivery_Fee]]-order_data[[#This Row],[Discount]]</f>
        <v>546</v>
      </c>
      <c r="Q1478" t="str">
        <f>TEXT(order_data[[#This Row],[Order_Date]],"mmm")</f>
        <v>Jan</v>
      </c>
      <c r="R1478">
        <f>MONTH(order_data[[#This Row],[Order_Date]])</f>
        <v>1</v>
      </c>
    </row>
    <row r="1479" spans="1:18" x14ac:dyDescent="0.35">
      <c r="A1479" t="s">
        <v>2222</v>
      </c>
      <c r="B1479" t="s">
        <v>91</v>
      </c>
      <c r="C1479" t="s">
        <v>2030</v>
      </c>
      <c r="D1479" t="s">
        <v>25</v>
      </c>
      <c r="E1479" t="s">
        <v>34</v>
      </c>
      <c r="F1479" t="s">
        <v>27</v>
      </c>
      <c r="G1479" t="s">
        <v>42</v>
      </c>
      <c r="H1479">
        <v>331</v>
      </c>
      <c r="I1479">
        <v>20</v>
      </c>
      <c r="J1479">
        <v>30</v>
      </c>
      <c r="K1479" t="s">
        <v>20</v>
      </c>
      <c r="L1479">
        <v>25</v>
      </c>
      <c r="M1479" t="s">
        <v>21</v>
      </c>
      <c r="N1479">
        <f>COUNTIF(order_data[Order_ID],order_data[[#This Row],[Order_ID]])</f>
        <v>1</v>
      </c>
      <c r="O1479">
        <f>order_data[[#This Row],[Order_Value]]-order_data[[#This Row],[Discount]]</f>
        <v>301</v>
      </c>
      <c r="P1479">
        <f>order_data[[#This Row],[Order_Value]]+order_data[[#This Row],[Delivery_Fee]]-order_data[[#This Row],[Discount]]</f>
        <v>321</v>
      </c>
      <c r="Q1479" t="str">
        <f>TEXT(order_data[[#This Row],[Order_Date]],"mmm")</f>
        <v>Mar</v>
      </c>
      <c r="R1479">
        <f>MONTH(order_data[[#This Row],[Order_Date]])</f>
        <v>3</v>
      </c>
    </row>
    <row r="1480" spans="1:18" x14ac:dyDescent="0.35">
      <c r="A1480" t="s">
        <v>2223</v>
      </c>
      <c r="B1480" t="s">
        <v>109</v>
      </c>
      <c r="C1480" t="s">
        <v>2224</v>
      </c>
      <c r="D1480" t="s">
        <v>16</v>
      </c>
      <c r="E1480" t="s">
        <v>17</v>
      </c>
      <c r="F1480" t="s">
        <v>18</v>
      </c>
      <c r="G1480" t="s">
        <v>176</v>
      </c>
      <c r="H1480">
        <v>544</v>
      </c>
      <c r="I1480">
        <v>40</v>
      </c>
      <c r="J1480">
        <v>20</v>
      </c>
      <c r="K1480" t="s">
        <v>29</v>
      </c>
      <c r="L1480">
        <v>25</v>
      </c>
      <c r="M1480" t="s">
        <v>21</v>
      </c>
      <c r="N1480">
        <f>COUNTIF(order_data[Order_ID],order_data[[#This Row],[Order_ID]])</f>
        <v>1</v>
      </c>
      <c r="O1480">
        <f>order_data[[#This Row],[Order_Value]]-order_data[[#This Row],[Discount]]</f>
        <v>524</v>
      </c>
      <c r="P1480">
        <f>order_data[[#This Row],[Order_Value]]+order_data[[#This Row],[Delivery_Fee]]-order_data[[#This Row],[Discount]]</f>
        <v>564</v>
      </c>
      <c r="Q1480" t="str">
        <f>TEXT(order_data[[#This Row],[Order_Date]],"mmm")</f>
        <v>Jan</v>
      </c>
      <c r="R1480">
        <f>MONTH(order_data[[#This Row],[Order_Date]])</f>
        <v>1</v>
      </c>
    </row>
    <row r="1481" spans="1:18" x14ac:dyDescent="0.35">
      <c r="A1481" t="s">
        <v>2225</v>
      </c>
      <c r="B1481" t="s">
        <v>23</v>
      </c>
      <c r="C1481" t="s">
        <v>489</v>
      </c>
      <c r="D1481" t="s">
        <v>25</v>
      </c>
      <c r="E1481" t="s">
        <v>26</v>
      </c>
      <c r="F1481" t="s">
        <v>27</v>
      </c>
      <c r="G1481" t="s">
        <v>74</v>
      </c>
      <c r="H1481">
        <v>598</v>
      </c>
      <c r="I1481">
        <v>30</v>
      </c>
      <c r="J1481">
        <v>30</v>
      </c>
      <c r="K1481" t="s">
        <v>29</v>
      </c>
      <c r="L1481">
        <v>22</v>
      </c>
      <c r="M1481" t="s">
        <v>21</v>
      </c>
      <c r="N1481">
        <f>COUNTIF(order_data[Order_ID],order_data[[#This Row],[Order_ID]])</f>
        <v>1</v>
      </c>
      <c r="O1481">
        <f>order_data[[#This Row],[Order_Value]]-order_data[[#This Row],[Discount]]</f>
        <v>568</v>
      </c>
      <c r="P1481">
        <f>order_data[[#This Row],[Order_Value]]+order_data[[#This Row],[Delivery_Fee]]-order_data[[#This Row],[Discount]]</f>
        <v>598</v>
      </c>
      <c r="Q1481" t="str">
        <f>TEXT(order_data[[#This Row],[Order_Date]],"mmm")</f>
        <v>Mar</v>
      </c>
      <c r="R1481">
        <f>MONTH(order_data[[#This Row],[Order_Date]])</f>
        <v>3</v>
      </c>
    </row>
    <row r="1482" spans="1:18" x14ac:dyDescent="0.35">
      <c r="A1482" t="s">
        <v>2226</v>
      </c>
      <c r="B1482" t="s">
        <v>126</v>
      </c>
      <c r="C1482" t="s">
        <v>808</v>
      </c>
      <c r="D1482" t="s">
        <v>53</v>
      </c>
      <c r="E1482" t="s">
        <v>54</v>
      </c>
      <c r="F1482" t="s">
        <v>55</v>
      </c>
      <c r="G1482" t="s">
        <v>74</v>
      </c>
      <c r="H1482">
        <v>161</v>
      </c>
      <c r="I1482">
        <v>50</v>
      </c>
      <c r="J1482">
        <v>0</v>
      </c>
      <c r="K1482" t="s">
        <v>36</v>
      </c>
      <c r="L1482">
        <v>55</v>
      </c>
      <c r="M1482" t="s">
        <v>21</v>
      </c>
      <c r="N1482">
        <f>COUNTIF(order_data[Order_ID],order_data[[#This Row],[Order_ID]])</f>
        <v>1</v>
      </c>
      <c r="O1482">
        <f>order_data[[#This Row],[Order_Value]]-order_data[[#This Row],[Discount]]</f>
        <v>161</v>
      </c>
      <c r="P1482">
        <f>order_data[[#This Row],[Order_Value]]+order_data[[#This Row],[Delivery_Fee]]-order_data[[#This Row],[Discount]]</f>
        <v>211</v>
      </c>
      <c r="Q1482" t="str">
        <f>TEXT(order_data[[#This Row],[Order_Date]],"mmm")</f>
        <v>Mar</v>
      </c>
      <c r="R1482">
        <f>MONTH(order_data[[#This Row],[Order_Date]])</f>
        <v>3</v>
      </c>
    </row>
    <row r="1483" spans="1:18" x14ac:dyDescent="0.35">
      <c r="A1483" t="s">
        <v>2227</v>
      </c>
      <c r="B1483" t="s">
        <v>398</v>
      </c>
      <c r="C1483" t="s">
        <v>1295</v>
      </c>
      <c r="D1483" t="s">
        <v>16</v>
      </c>
      <c r="E1483" t="s">
        <v>89</v>
      </c>
      <c r="F1483" t="s">
        <v>18</v>
      </c>
      <c r="G1483" t="s">
        <v>19</v>
      </c>
      <c r="H1483">
        <v>484</v>
      </c>
      <c r="I1483">
        <v>40</v>
      </c>
      <c r="J1483">
        <v>100</v>
      </c>
      <c r="K1483" t="s">
        <v>36</v>
      </c>
      <c r="L1483">
        <v>40</v>
      </c>
      <c r="M1483" t="s">
        <v>21</v>
      </c>
      <c r="N1483">
        <f>COUNTIF(order_data[Order_ID],order_data[[#This Row],[Order_ID]])</f>
        <v>1</v>
      </c>
      <c r="O1483">
        <f>order_data[[#This Row],[Order_Value]]-order_data[[#This Row],[Discount]]</f>
        <v>384</v>
      </c>
      <c r="P1483">
        <f>order_data[[#This Row],[Order_Value]]+order_data[[#This Row],[Delivery_Fee]]-order_data[[#This Row],[Discount]]</f>
        <v>424</v>
      </c>
      <c r="Q1483" t="str">
        <f>TEXT(order_data[[#This Row],[Order_Date]],"mmm")</f>
        <v>Feb</v>
      </c>
      <c r="R1483">
        <f>MONTH(order_data[[#This Row],[Order_Date]])</f>
        <v>2</v>
      </c>
    </row>
    <row r="1484" spans="1:18" x14ac:dyDescent="0.35">
      <c r="A1484" t="s">
        <v>2228</v>
      </c>
      <c r="B1484" t="s">
        <v>61</v>
      </c>
      <c r="C1484" t="s">
        <v>278</v>
      </c>
      <c r="D1484" t="s">
        <v>53</v>
      </c>
      <c r="E1484" t="s">
        <v>54</v>
      </c>
      <c r="F1484" t="s">
        <v>55</v>
      </c>
      <c r="G1484" t="s">
        <v>19</v>
      </c>
      <c r="H1484">
        <v>769</v>
      </c>
      <c r="I1484">
        <v>30</v>
      </c>
      <c r="J1484">
        <v>100</v>
      </c>
      <c r="K1484" t="s">
        <v>36</v>
      </c>
      <c r="L1484">
        <v>27</v>
      </c>
      <c r="M1484" t="s">
        <v>21</v>
      </c>
      <c r="N1484">
        <f>COUNTIF(order_data[Order_ID],order_data[[#This Row],[Order_ID]])</f>
        <v>1</v>
      </c>
      <c r="O1484">
        <f>order_data[[#This Row],[Order_Value]]-order_data[[#This Row],[Discount]]</f>
        <v>669</v>
      </c>
      <c r="P1484">
        <f>order_data[[#This Row],[Order_Value]]+order_data[[#This Row],[Delivery_Fee]]-order_data[[#This Row],[Discount]]</f>
        <v>699</v>
      </c>
      <c r="Q1484" t="str">
        <f>TEXT(order_data[[#This Row],[Order_Date]],"mmm")</f>
        <v>Jan</v>
      </c>
      <c r="R1484">
        <f>MONTH(order_data[[#This Row],[Order_Date]])</f>
        <v>1</v>
      </c>
    </row>
    <row r="1485" spans="1:18" x14ac:dyDescent="0.35">
      <c r="A1485" t="s">
        <v>2229</v>
      </c>
      <c r="B1485" t="s">
        <v>326</v>
      </c>
      <c r="C1485" t="s">
        <v>494</v>
      </c>
      <c r="D1485" t="s">
        <v>25</v>
      </c>
      <c r="E1485" t="s">
        <v>34</v>
      </c>
      <c r="F1485" t="s">
        <v>27</v>
      </c>
      <c r="G1485" t="s">
        <v>107</v>
      </c>
      <c r="H1485">
        <v>716</v>
      </c>
      <c r="I1485">
        <v>30</v>
      </c>
      <c r="J1485">
        <v>0</v>
      </c>
      <c r="K1485" t="s">
        <v>36</v>
      </c>
      <c r="L1485">
        <v>33</v>
      </c>
      <c r="M1485" t="s">
        <v>21</v>
      </c>
      <c r="N1485">
        <f>COUNTIF(order_data[Order_ID],order_data[[#This Row],[Order_ID]])</f>
        <v>1</v>
      </c>
      <c r="O1485">
        <f>order_data[[#This Row],[Order_Value]]-order_data[[#This Row],[Discount]]</f>
        <v>716</v>
      </c>
      <c r="P1485">
        <f>order_data[[#This Row],[Order_Value]]+order_data[[#This Row],[Delivery_Fee]]-order_data[[#This Row],[Discount]]</f>
        <v>746</v>
      </c>
      <c r="Q1485" t="str">
        <f>TEXT(order_data[[#This Row],[Order_Date]],"mmm")</f>
        <v>Mar</v>
      </c>
      <c r="R1485">
        <f>MONTH(order_data[[#This Row],[Order_Date]])</f>
        <v>3</v>
      </c>
    </row>
    <row r="1486" spans="1:18" x14ac:dyDescent="0.35">
      <c r="A1486" t="s">
        <v>2230</v>
      </c>
      <c r="B1486" t="s">
        <v>326</v>
      </c>
      <c r="C1486" t="s">
        <v>830</v>
      </c>
      <c r="D1486" t="s">
        <v>40</v>
      </c>
      <c r="E1486" t="s">
        <v>67</v>
      </c>
      <c r="F1486" t="s">
        <v>48</v>
      </c>
      <c r="G1486" t="s">
        <v>28</v>
      </c>
      <c r="H1486">
        <v>231</v>
      </c>
      <c r="I1486">
        <v>50</v>
      </c>
      <c r="J1486">
        <v>30</v>
      </c>
      <c r="K1486" t="s">
        <v>29</v>
      </c>
      <c r="L1486">
        <v>42</v>
      </c>
      <c r="M1486" t="s">
        <v>21</v>
      </c>
      <c r="N1486">
        <f>COUNTIF(order_data[Order_ID],order_data[[#This Row],[Order_ID]])</f>
        <v>1</v>
      </c>
      <c r="O1486">
        <f>order_data[[#This Row],[Order_Value]]-order_data[[#This Row],[Discount]]</f>
        <v>201</v>
      </c>
      <c r="P1486">
        <f>order_data[[#This Row],[Order_Value]]+order_data[[#This Row],[Delivery_Fee]]-order_data[[#This Row],[Discount]]</f>
        <v>251</v>
      </c>
      <c r="Q1486" t="str">
        <f>TEXT(order_data[[#This Row],[Order_Date]],"mmm")</f>
        <v>Mar</v>
      </c>
      <c r="R1486">
        <f>MONTH(order_data[[#This Row],[Order_Date]])</f>
        <v>3</v>
      </c>
    </row>
    <row r="1487" spans="1:18" x14ac:dyDescent="0.35">
      <c r="A1487" t="s">
        <v>2231</v>
      </c>
      <c r="B1487" t="s">
        <v>241</v>
      </c>
      <c r="C1487" t="s">
        <v>2232</v>
      </c>
      <c r="D1487" t="s">
        <v>46</v>
      </c>
      <c r="E1487" t="s">
        <v>47</v>
      </c>
      <c r="F1487" t="s">
        <v>48</v>
      </c>
      <c r="G1487" t="s">
        <v>63</v>
      </c>
      <c r="H1487">
        <v>625</v>
      </c>
      <c r="I1487">
        <v>50</v>
      </c>
      <c r="J1487">
        <v>50</v>
      </c>
      <c r="K1487" t="s">
        <v>20</v>
      </c>
      <c r="L1487">
        <v>37</v>
      </c>
      <c r="M1487" t="s">
        <v>21</v>
      </c>
      <c r="N1487">
        <f>COUNTIF(order_data[Order_ID],order_data[[#This Row],[Order_ID]])</f>
        <v>1</v>
      </c>
      <c r="O1487">
        <f>order_data[[#This Row],[Order_Value]]-order_data[[#This Row],[Discount]]</f>
        <v>575</v>
      </c>
      <c r="P1487">
        <f>order_data[[#This Row],[Order_Value]]+order_data[[#This Row],[Delivery_Fee]]-order_data[[#This Row],[Discount]]</f>
        <v>625</v>
      </c>
      <c r="Q1487" t="str">
        <f>TEXT(order_data[[#This Row],[Order_Date]],"mmm")</f>
        <v>Mar</v>
      </c>
      <c r="R1487">
        <f>MONTH(order_data[[#This Row],[Order_Date]])</f>
        <v>3</v>
      </c>
    </row>
    <row r="1488" spans="1:18" x14ac:dyDescent="0.35">
      <c r="A1488" t="s">
        <v>2233</v>
      </c>
      <c r="B1488" t="s">
        <v>526</v>
      </c>
      <c r="C1488" t="s">
        <v>1147</v>
      </c>
      <c r="D1488" t="s">
        <v>16</v>
      </c>
      <c r="E1488" t="s">
        <v>131</v>
      </c>
      <c r="F1488" t="s">
        <v>55</v>
      </c>
      <c r="G1488" t="s">
        <v>176</v>
      </c>
      <c r="H1488">
        <v>756</v>
      </c>
      <c r="I1488">
        <v>30</v>
      </c>
      <c r="J1488">
        <v>20</v>
      </c>
      <c r="K1488" t="s">
        <v>20</v>
      </c>
      <c r="L1488">
        <v>46</v>
      </c>
      <c r="M1488" t="s">
        <v>21</v>
      </c>
      <c r="N1488">
        <f>COUNTIF(order_data[Order_ID],order_data[[#This Row],[Order_ID]])</f>
        <v>1</v>
      </c>
      <c r="O1488">
        <f>order_data[[#This Row],[Order_Value]]-order_data[[#This Row],[Discount]]</f>
        <v>736</v>
      </c>
      <c r="P1488">
        <f>order_data[[#This Row],[Order_Value]]+order_data[[#This Row],[Delivery_Fee]]-order_data[[#This Row],[Discount]]</f>
        <v>766</v>
      </c>
      <c r="Q1488" t="str">
        <f>TEXT(order_data[[#This Row],[Order_Date]],"mmm")</f>
        <v>Jan</v>
      </c>
      <c r="R1488">
        <f>MONTH(order_data[[#This Row],[Order_Date]])</f>
        <v>1</v>
      </c>
    </row>
    <row r="1489" spans="1:18" x14ac:dyDescent="0.35">
      <c r="A1489" t="s">
        <v>2234</v>
      </c>
      <c r="B1489" t="s">
        <v>580</v>
      </c>
      <c r="C1489" t="s">
        <v>1275</v>
      </c>
      <c r="D1489" t="s">
        <v>46</v>
      </c>
      <c r="E1489" t="s">
        <v>148</v>
      </c>
      <c r="F1489" t="s">
        <v>27</v>
      </c>
      <c r="G1489" t="s">
        <v>42</v>
      </c>
      <c r="H1489">
        <v>183</v>
      </c>
      <c r="I1489">
        <v>20</v>
      </c>
      <c r="J1489">
        <v>50</v>
      </c>
      <c r="K1489" t="s">
        <v>20</v>
      </c>
      <c r="L1489">
        <v>27</v>
      </c>
      <c r="M1489" t="s">
        <v>21</v>
      </c>
      <c r="N1489">
        <f>COUNTIF(order_data[Order_ID],order_data[[#This Row],[Order_ID]])</f>
        <v>1</v>
      </c>
      <c r="O1489">
        <f>order_data[[#This Row],[Order_Value]]-order_data[[#This Row],[Discount]]</f>
        <v>133</v>
      </c>
      <c r="P1489">
        <f>order_data[[#This Row],[Order_Value]]+order_data[[#This Row],[Delivery_Fee]]-order_data[[#This Row],[Discount]]</f>
        <v>153</v>
      </c>
      <c r="Q1489" t="str">
        <f>TEXT(order_data[[#This Row],[Order_Date]],"mmm")</f>
        <v>Mar</v>
      </c>
      <c r="R1489">
        <f>MONTH(order_data[[#This Row],[Order_Date]])</f>
        <v>3</v>
      </c>
    </row>
    <row r="1490" spans="1:18" x14ac:dyDescent="0.35">
      <c r="A1490" t="s">
        <v>2235</v>
      </c>
      <c r="B1490" t="s">
        <v>273</v>
      </c>
      <c r="C1490" t="s">
        <v>349</v>
      </c>
      <c r="D1490" t="s">
        <v>53</v>
      </c>
      <c r="E1490" t="s">
        <v>84</v>
      </c>
      <c r="F1490" t="s">
        <v>85</v>
      </c>
      <c r="G1490" t="s">
        <v>35</v>
      </c>
      <c r="H1490">
        <v>249</v>
      </c>
      <c r="I1490">
        <v>40</v>
      </c>
      <c r="J1490">
        <v>50</v>
      </c>
      <c r="K1490" t="s">
        <v>36</v>
      </c>
      <c r="L1490">
        <v>52</v>
      </c>
      <c r="M1490" t="s">
        <v>21</v>
      </c>
      <c r="N1490">
        <f>COUNTIF(order_data[Order_ID],order_data[[#This Row],[Order_ID]])</f>
        <v>1</v>
      </c>
      <c r="O1490">
        <f>order_data[[#This Row],[Order_Value]]-order_data[[#This Row],[Discount]]</f>
        <v>199</v>
      </c>
      <c r="P1490">
        <f>order_data[[#This Row],[Order_Value]]+order_data[[#This Row],[Delivery_Fee]]-order_data[[#This Row],[Discount]]</f>
        <v>239</v>
      </c>
      <c r="Q1490" t="str">
        <f>TEXT(order_data[[#This Row],[Order_Date]],"mmm")</f>
        <v>Mar</v>
      </c>
      <c r="R1490">
        <f>MONTH(order_data[[#This Row],[Order_Date]])</f>
        <v>3</v>
      </c>
    </row>
    <row r="1491" spans="1:18" x14ac:dyDescent="0.35">
      <c r="A1491" t="s">
        <v>2236</v>
      </c>
      <c r="B1491" t="s">
        <v>244</v>
      </c>
      <c r="C1491" t="s">
        <v>182</v>
      </c>
      <c r="D1491" t="s">
        <v>40</v>
      </c>
      <c r="E1491" t="s">
        <v>41</v>
      </c>
      <c r="F1491" t="s">
        <v>27</v>
      </c>
      <c r="G1491" t="s">
        <v>63</v>
      </c>
      <c r="H1491">
        <v>441</v>
      </c>
      <c r="I1491">
        <v>20</v>
      </c>
      <c r="J1491">
        <v>0</v>
      </c>
      <c r="K1491" t="s">
        <v>36</v>
      </c>
      <c r="L1491">
        <v>31</v>
      </c>
      <c r="M1491" t="s">
        <v>21</v>
      </c>
      <c r="N1491">
        <f>COUNTIF(order_data[Order_ID],order_data[[#This Row],[Order_ID]])</f>
        <v>1</v>
      </c>
      <c r="O1491">
        <f>order_data[[#This Row],[Order_Value]]-order_data[[#This Row],[Discount]]</f>
        <v>441</v>
      </c>
      <c r="P1491">
        <f>order_data[[#This Row],[Order_Value]]+order_data[[#This Row],[Delivery_Fee]]-order_data[[#This Row],[Discount]]</f>
        <v>461</v>
      </c>
      <c r="Q1491" t="str">
        <f>TEXT(order_data[[#This Row],[Order_Date]],"mmm")</f>
        <v>Feb</v>
      </c>
      <c r="R1491">
        <f>MONTH(order_data[[#This Row],[Order_Date]])</f>
        <v>2</v>
      </c>
    </row>
    <row r="1492" spans="1:18" x14ac:dyDescent="0.35">
      <c r="A1492" t="s">
        <v>2237</v>
      </c>
      <c r="B1492" t="s">
        <v>150</v>
      </c>
      <c r="C1492" t="s">
        <v>1290</v>
      </c>
      <c r="D1492" t="s">
        <v>46</v>
      </c>
      <c r="E1492" t="s">
        <v>47</v>
      </c>
      <c r="F1492" t="s">
        <v>48</v>
      </c>
      <c r="G1492" t="s">
        <v>63</v>
      </c>
      <c r="H1492">
        <v>361</v>
      </c>
      <c r="I1492">
        <v>20</v>
      </c>
      <c r="J1492">
        <v>50</v>
      </c>
      <c r="K1492" t="s">
        <v>20</v>
      </c>
      <c r="L1492">
        <v>41</v>
      </c>
      <c r="M1492" t="s">
        <v>30</v>
      </c>
      <c r="N1492">
        <f>COUNTIF(order_data[Order_ID],order_data[[#This Row],[Order_ID]])</f>
        <v>1</v>
      </c>
      <c r="O1492">
        <f>order_data[[#This Row],[Order_Value]]-order_data[[#This Row],[Discount]]</f>
        <v>311</v>
      </c>
      <c r="P1492">
        <f>order_data[[#This Row],[Order_Value]]+order_data[[#This Row],[Delivery_Fee]]-order_data[[#This Row],[Discount]]</f>
        <v>331</v>
      </c>
      <c r="Q1492" t="str">
        <f>TEXT(order_data[[#This Row],[Order_Date]],"mmm")</f>
        <v>Feb</v>
      </c>
      <c r="R1492">
        <f>MONTH(order_data[[#This Row],[Order_Date]])</f>
        <v>2</v>
      </c>
    </row>
    <row r="1493" spans="1:18" x14ac:dyDescent="0.35">
      <c r="A1493" t="s">
        <v>2238</v>
      </c>
      <c r="B1493" t="s">
        <v>186</v>
      </c>
      <c r="C1493" t="s">
        <v>221</v>
      </c>
      <c r="D1493" t="s">
        <v>46</v>
      </c>
      <c r="E1493" t="s">
        <v>148</v>
      </c>
      <c r="F1493" t="s">
        <v>27</v>
      </c>
      <c r="G1493" t="s">
        <v>35</v>
      </c>
      <c r="H1493">
        <v>701</v>
      </c>
      <c r="I1493">
        <v>40</v>
      </c>
      <c r="J1493">
        <v>100</v>
      </c>
      <c r="K1493" t="s">
        <v>36</v>
      </c>
      <c r="L1493">
        <v>28</v>
      </c>
      <c r="M1493" t="s">
        <v>21</v>
      </c>
      <c r="N1493">
        <f>COUNTIF(order_data[Order_ID],order_data[[#This Row],[Order_ID]])</f>
        <v>1</v>
      </c>
      <c r="O1493">
        <f>order_data[[#This Row],[Order_Value]]-order_data[[#This Row],[Discount]]</f>
        <v>601</v>
      </c>
      <c r="P1493">
        <f>order_data[[#This Row],[Order_Value]]+order_data[[#This Row],[Delivery_Fee]]-order_data[[#This Row],[Discount]]</f>
        <v>641</v>
      </c>
      <c r="Q1493" t="str">
        <f>TEXT(order_data[[#This Row],[Order_Date]],"mmm")</f>
        <v>Mar</v>
      </c>
      <c r="R1493">
        <f>MONTH(order_data[[#This Row],[Order_Date]])</f>
        <v>3</v>
      </c>
    </row>
    <row r="1494" spans="1:18" x14ac:dyDescent="0.35">
      <c r="A1494" t="s">
        <v>2239</v>
      </c>
      <c r="B1494" t="s">
        <v>342</v>
      </c>
      <c r="C1494" t="s">
        <v>642</v>
      </c>
      <c r="D1494" t="s">
        <v>25</v>
      </c>
      <c r="E1494" t="s">
        <v>78</v>
      </c>
      <c r="F1494" t="s">
        <v>48</v>
      </c>
      <c r="G1494" t="s">
        <v>19</v>
      </c>
      <c r="H1494">
        <v>722</v>
      </c>
      <c r="I1494">
        <v>30</v>
      </c>
      <c r="J1494">
        <v>20</v>
      </c>
      <c r="K1494" t="s">
        <v>29</v>
      </c>
      <c r="L1494">
        <v>53</v>
      </c>
      <c r="M1494" t="s">
        <v>21</v>
      </c>
      <c r="N1494">
        <f>COUNTIF(order_data[Order_ID],order_data[[#This Row],[Order_ID]])</f>
        <v>1</v>
      </c>
      <c r="O1494">
        <f>order_data[[#This Row],[Order_Value]]-order_data[[#This Row],[Discount]]</f>
        <v>702</v>
      </c>
      <c r="P1494">
        <f>order_data[[#This Row],[Order_Value]]+order_data[[#This Row],[Delivery_Fee]]-order_data[[#This Row],[Discount]]</f>
        <v>732</v>
      </c>
      <c r="Q1494" t="str">
        <f>TEXT(order_data[[#This Row],[Order_Date]],"mmm")</f>
        <v>Jan</v>
      </c>
      <c r="R1494">
        <f>MONTH(order_data[[#This Row],[Order_Date]])</f>
        <v>1</v>
      </c>
    </row>
    <row r="1495" spans="1:18" x14ac:dyDescent="0.35">
      <c r="A1495" t="s">
        <v>2240</v>
      </c>
      <c r="B1495" t="s">
        <v>435</v>
      </c>
      <c r="C1495" t="s">
        <v>77</v>
      </c>
      <c r="D1495" t="s">
        <v>16</v>
      </c>
      <c r="E1495" t="s">
        <v>17</v>
      </c>
      <c r="F1495" t="s">
        <v>18</v>
      </c>
      <c r="G1495" t="s">
        <v>107</v>
      </c>
      <c r="H1495">
        <v>216</v>
      </c>
      <c r="I1495">
        <v>30</v>
      </c>
      <c r="J1495">
        <v>20</v>
      </c>
      <c r="K1495" t="s">
        <v>20</v>
      </c>
      <c r="L1495">
        <v>28</v>
      </c>
      <c r="M1495" t="s">
        <v>21</v>
      </c>
      <c r="N1495">
        <f>COUNTIF(order_data[Order_ID],order_data[[#This Row],[Order_ID]])</f>
        <v>1</v>
      </c>
      <c r="O1495">
        <f>order_data[[#This Row],[Order_Value]]-order_data[[#This Row],[Discount]]</f>
        <v>196</v>
      </c>
      <c r="P1495">
        <f>order_data[[#This Row],[Order_Value]]+order_data[[#This Row],[Delivery_Fee]]-order_data[[#This Row],[Discount]]</f>
        <v>226</v>
      </c>
      <c r="Q1495" t="str">
        <f>TEXT(order_data[[#This Row],[Order_Date]],"mmm")</f>
        <v>Feb</v>
      </c>
      <c r="R1495">
        <f>MONTH(order_data[[#This Row],[Order_Date]])</f>
        <v>2</v>
      </c>
    </row>
    <row r="1496" spans="1:18" x14ac:dyDescent="0.35">
      <c r="A1496" t="s">
        <v>2241</v>
      </c>
      <c r="B1496" t="s">
        <v>57</v>
      </c>
      <c r="C1496" t="s">
        <v>110</v>
      </c>
      <c r="D1496" t="s">
        <v>16</v>
      </c>
      <c r="E1496" t="s">
        <v>89</v>
      </c>
      <c r="F1496" t="s">
        <v>18</v>
      </c>
      <c r="G1496" t="s">
        <v>42</v>
      </c>
      <c r="H1496">
        <v>377</v>
      </c>
      <c r="I1496">
        <v>50</v>
      </c>
      <c r="J1496">
        <v>20</v>
      </c>
      <c r="K1496" t="s">
        <v>20</v>
      </c>
      <c r="L1496">
        <v>56</v>
      </c>
      <c r="M1496" t="s">
        <v>21</v>
      </c>
      <c r="N1496">
        <f>COUNTIF(order_data[Order_ID],order_data[[#This Row],[Order_ID]])</f>
        <v>1</v>
      </c>
      <c r="O1496">
        <f>order_data[[#This Row],[Order_Value]]-order_data[[#This Row],[Discount]]</f>
        <v>357</v>
      </c>
      <c r="P1496">
        <f>order_data[[#This Row],[Order_Value]]+order_data[[#This Row],[Delivery_Fee]]-order_data[[#This Row],[Discount]]</f>
        <v>407</v>
      </c>
      <c r="Q1496" t="str">
        <f>TEXT(order_data[[#This Row],[Order_Date]],"mmm")</f>
        <v>Jan</v>
      </c>
      <c r="R1496">
        <f>MONTH(order_data[[#This Row],[Order_Date]])</f>
        <v>1</v>
      </c>
    </row>
    <row r="1497" spans="1:18" x14ac:dyDescent="0.35">
      <c r="A1497" t="s">
        <v>2242</v>
      </c>
      <c r="B1497" t="s">
        <v>295</v>
      </c>
      <c r="C1497" t="s">
        <v>471</v>
      </c>
      <c r="D1497" t="s">
        <v>40</v>
      </c>
      <c r="E1497" t="s">
        <v>111</v>
      </c>
      <c r="F1497" t="s">
        <v>18</v>
      </c>
      <c r="G1497" t="s">
        <v>49</v>
      </c>
      <c r="H1497">
        <v>796</v>
      </c>
      <c r="I1497">
        <v>30</v>
      </c>
      <c r="J1497">
        <v>30</v>
      </c>
      <c r="K1497" t="s">
        <v>36</v>
      </c>
      <c r="L1497">
        <v>33</v>
      </c>
      <c r="M1497" t="s">
        <v>21</v>
      </c>
      <c r="N1497">
        <f>COUNTIF(order_data[Order_ID],order_data[[#This Row],[Order_ID]])</f>
        <v>1</v>
      </c>
      <c r="O1497">
        <f>order_data[[#This Row],[Order_Value]]-order_data[[#This Row],[Discount]]</f>
        <v>766</v>
      </c>
      <c r="P1497">
        <f>order_data[[#This Row],[Order_Value]]+order_data[[#This Row],[Delivery_Fee]]-order_data[[#This Row],[Discount]]</f>
        <v>796</v>
      </c>
      <c r="Q1497" t="str">
        <f>TEXT(order_data[[#This Row],[Order_Date]],"mmm")</f>
        <v>Jan</v>
      </c>
      <c r="R1497">
        <f>MONTH(order_data[[#This Row],[Order_Date]])</f>
        <v>1</v>
      </c>
    </row>
    <row r="1498" spans="1:18" x14ac:dyDescent="0.35">
      <c r="A1498" t="s">
        <v>2243</v>
      </c>
      <c r="B1498" t="s">
        <v>65</v>
      </c>
      <c r="C1498" t="s">
        <v>2009</v>
      </c>
      <c r="D1498" t="s">
        <v>46</v>
      </c>
      <c r="E1498" t="s">
        <v>148</v>
      </c>
      <c r="F1498" t="s">
        <v>27</v>
      </c>
      <c r="G1498" t="s">
        <v>42</v>
      </c>
      <c r="H1498">
        <v>428</v>
      </c>
      <c r="I1498">
        <v>30</v>
      </c>
      <c r="J1498">
        <v>0</v>
      </c>
      <c r="K1498" t="s">
        <v>36</v>
      </c>
      <c r="L1498">
        <v>36</v>
      </c>
      <c r="M1498" t="s">
        <v>21</v>
      </c>
      <c r="N1498">
        <f>COUNTIF(order_data[Order_ID],order_data[[#This Row],[Order_ID]])</f>
        <v>1</v>
      </c>
      <c r="O1498">
        <f>order_data[[#This Row],[Order_Value]]-order_data[[#This Row],[Discount]]</f>
        <v>428</v>
      </c>
      <c r="P1498">
        <f>order_data[[#This Row],[Order_Value]]+order_data[[#This Row],[Delivery_Fee]]-order_data[[#This Row],[Discount]]</f>
        <v>458</v>
      </c>
      <c r="Q1498" t="str">
        <f>TEXT(order_data[[#This Row],[Order_Date]],"mmm")</f>
        <v>Mar</v>
      </c>
      <c r="R1498">
        <f>MONTH(order_data[[#This Row],[Order_Date]])</f>
        <v>3</v>
      </c>
    </row>
    <row r="1499" spans="1:18" x14ac:dyDescent="0.35">
      <c r="A1499" t="s">
        <v>2244</v>
      </c>
      <c r="B1499" t="s">
        <v>541</v>
      </c>
      <c r="C1499" t="s">
        <v>708</v>
      </c>
      <c r="D1499" t="s">
        <v>25</v>
      </c>
      <c r="E1499" t="s">
        <v>34</v>
      </c>
      <c r="F1499" t="s">
        <v>27</v>
      </c>
      <c r="G1499" t="s">
        <v>74</v>
      </c>
      <c r="H1499">
        <v>626</v>
      </c>
      <c r="I1499">
        <v>50</v>
      </c>
      <c r="J1499">
        <v>100</v>
      </c>
      <c r="K1499" t="s">
        <v>20</v>
      </c>
      <c r="L1499">
        <v>53</v>
      </c>
      <c r="M1499" t="s">
        <v>21</v>
      </c>
      <c r="N1499">
        <f>COUNTIF(order_data[Order_ID],order_data[[#This Row],[Order_ID]])</f>
        <v>1</v>
      </c>
      <c r="O1499">
        <f>order_data[[#This Row],[Order_Value]]-order_data[[#This Row],[Discount]]</f>
        <v>526</v>
      </c>
      <c r="P1499">
        <f>order_data[[#This Row],[Order_Value]]+order_data[[#This Row],[Delivery_Fee]]-order_data[[#This Row],[Discount]]</f>
        <v>576</v>
      </c>
      <c r="Q1499" t="str">
        <f>TEXT(order_data[[#This Row],[Order_Date]],"mmm")</f>
        <v>Jan</v>
      </c>
      <c r="R1499">
        <f>MONTH(order_data[[#This Row],[Order_Date]])</f>
        <v>1</v>
      </c>
    </row>
    <row r="1500" spans="1:18" x14ac:dyDescent="0.35">
      <c r="A1500" t="s">
        <v>2245</v>
      </c>
      <c r="B1500" t="s">
        <v>14</v>
      </c>
      <c r="C1500" t="s">
        <v>2148</v>
      </c>
      <c r="D1500" t="s">
        <v>53</v>
      </c>
      <c r="E1500" t="s">
        <v>152</v>
      </c>
      <c r="F1500" t="s">
        <v>18</v>
      </c>
      <c r="G1500" t="s">
        <v>19</v>
      </c>
      <c r="H1500">
        <v>330</v>
      </c>
      <c r="I1500">
        <v>40</v>
      </c>
      <c r="J1500">
        <v>30</v>
      </c>
      <c r="K1500" t="s">
        <v>29</v>
      </c>
      <c r="L1500">
        <v>60</v>
      </c>
      <c r="M1500" t="s">
        <v>21</v>
      </c>
      <c r="N1500">
        <f>COUNTIF(order_data[Order_ID],order_data[[#This Row],[Order_ID]])</f>
        <v>1</v>
      </c>
      <c r="O1500">
        <f>order_data[[#This Row],[Order_Value]]-order_data[[#This Row],[Discount]]</f>
        <v>300</v>
      </c>
      <c r="P1500">
        <f>order_data[[#This Row],[Order_Value]]+order_data[[#This Row],[Delivery_Fee]]-order_data[[#This Row],[Discount]]</f>
        <v>340</v>
      </c>
      <c r="Q1500" t="str">
        <f>TEXT(order_data[[#This Row],[Order_Date]],"mmm")</f>
        <v>Mar</v>
      </c>
      <c r="R1500">
        <f>MONTH(order_data[[#This Row],[Order_Date]])</f>
        <v>3</v>
      </c>
    </row>
    <row r="1501" spans="1:18" x14ac:dyDescent="0.35">
      <c r="A1501" t="s">
        <v>2246</v>
      </c>
      <c r="B1501" t="s">
        <v>326</v>
      </c>
      <c r="C1501" t="s">
        <v>545</v>
      </c>
      <c r="D1501" t="s">
        <v>16</v>
      </c>
      <c r="E1501" t="s">
        <v>89</v>
      </c>
      <c r="F1501" t="s">
        <v>18</v>
      </c>
      <c r="G1501" t="s">
        <v>107</v>
      </c>
      <c r="H1501">
        <v>474</v>
      </c>
      <c r="I1501">
        <v>30</v>
      </c>
      <c r="J1501">
        <v>100</v>
      </c>
      <c r="K1501" t="s">
        <v>36</v>
      </c>
      <c r="L1501">
        <v>51</v>
      </c>
      <c r="M1501" t="s">
        <v>21</v>
      </c>
      <c r="N1501">
        <f>COUNTIF(order_data[Order_ID],order_data[[#This Row],[Order_ID]])</f>
        <v>1</v>
      </c>
      <c r="O1501">
        <f>order_data[[#This Row],[Order_Value]]-order_data[[#This Row],[Discount]]</f>
        <v>374</v>
      </c>
      <c r="P1501">
        <f>order_data[[#This Row],[Order_Value]]+order_data[[#This Row],[Delivery_Fee]]-order_data[[#This Row],[Discount]]</f>
        <v>404</v>
      </c>
      <c r="Q1501" t="str">
        <f>TEXT(order_data[[#This Row],[Order_Date]],"mmm")</f>
        <v>Mar</v>
      </c>
      <c r="R1501">
        <f>MONTH(order_data[[#This Row],[Order_Date]])</f>
        <v>3</v>
      </c>
    </row>
    <row r="1502" spans="1:18" x14ac:dyDescent="0.35">
      <c r="A1502" t="s">
        <v>2247</v>
      </c>
      <c r="B1502" t="s">
        <v>113</v>
      </c>
      <c r="C1502" t="s">
        <v>2248</v>
      </c>
      <c r="D1502" t="s">
        <v>16</v>
      </c>
      <c r="E1502" t="s">
        <v>17</v>
      </c>
      <c r="F1502" t="s">
        <v>18</v>
      </c>
      <c r="G1502" t="s">
        <v>74</v>
      </c>
      <c r="H1502">
        <v>467</v>
      </c>
      <c r="I1502">
        <v>20</v>
      </c>
      <c r="J1502">
        <v>100</v>
      </c>
      <c r="K1502" t="s">
        <v>36</v>
      </c>
      <c r="L1502">
        <v>25</v>
      </c>
      <c r="M1502" t="s">
        <v>21</v>
      </c>
      <c r="N1502">
        <f>COUNTIF(order_data[Order_ID],order_data[[#This Row],[Order_ID]])</f>
        <v>1</v>
      </c>
      <c r="O1502">
        <f>order_data[[#This Row],[Order_Value]]-order_data[[#This Row],[Discount]]</f>
        <v>367</v>
      </c>
      <c r="P1502">
        <f>order_data[[#This Row],[Order_Value]]+order_data[[#This Row],[Delivery_Fee]]-order_data[[#This Row],[Discount]]</f>
        <v>387</v>
      </c>
      <c r="Q1502" t="str">
        <f>TEXT(order_data[[#This Row],[Order_Date]],"mmm")</f>
        <v>Mar</v>
      </c>
      <c r="R1502">
        <f>MONTH(order_data[[#This Row],[Order_Date]])</f>
        <v>3</v>
      </c>
    </row>
    <row r="1503" spans="1:18" x14ac:dyDescent="0.35">
      <c r="A1503" t="s">
        <v>2249</v>
      </c>
      <c r="B1503" t="s">
        <v>393</v>
      </c>
      <c r="C1503" t="s">
        <v>1804</v>
      </c>
      <c r="D1503" t="s">
        <v>53</v>
      </c>
      <c r="E1503" t="s">
        <v>84</v>
      </c>
      <c r="F1503" t="s">
        <v>85</v>
      </c>
      <c r="G1503" t="s">
        <v>28</v>
      </c>
      <c r="H1503">
        <v>583</v>
      </c>
      <c r="I1503">
        <v>40</v>
      </c>
      <c r="J1503">
        <v>30</v>
      </c>
      <c r="K1503" t="s">
        <v>29</v>
      </c>
      <c r="L1503">
        <v>36</v>
      </c>
      <c r="M1503" t="s">
        <v>21</v>
      </c>
      <c r="N1503">
        <f>COUNTIF(order_data[Order_ID],order_data[[#This Row],[Order_ID]])</f>
        <v>1</v>
      </c>
      <c r="O1503">
        <f>order_data[[#This Row],[Order_Value]]-order_data[[#This Row],[Discount]]</f>
        <v>553</v>
      </c>
      <c r="P1503">
        <f>order_data[[#This Row],[Order_Value]]+order_data[[#This Row],[Delivery_Fee]]-order_data[[#This Row],[Discount]]</f>
        <v>593</v>
      </c>
      <c r="Q1503" t="str">
        <f>TEXT(order_data[[#This Row],[Order_Date]],"mmm")</f>
        <v>Feb</v>
      </c>
      <c r="R1503">
        <f>MONTH(order_data[[#This Row],[Order_Date]])</f>
        <v>2</v>
      </c>
    </row>
    <row r="1504" spans="1:18" x14ac:dyDescent="0.35">
      <c r="A1504" t="s">
        <v>2250</v>
      </c>
      <c r="B1504" t="s">
        <v>192</v>
      </c>
      <c r="C1504" t="s">
        <v>602</v>
      </c>
      <c r="D1504" t="s">
        <v>16</v>
      </c>
      <c r="E1504" t="s">
        <v>17</v>
      </c>
      <c r="F1504" t="s">
        <v>18</v>
      </c>
      <c r="G1504" t="s">
        <v>42</v>
      </c>
      <c r="H1504">
        <v>472</v>
      </c>
      <c r="I1504">
        <v>20</v>
      </c>
      <c r="J1504">
        <v>30</v>
      </c>
      <c r="K1504" t="s">
        <v>20</v>
      </c>
      <c r="L1504">
        <v>20</v>
      </c>
      <c r="M1504" t="s">
        <v>21</v>
      </c>
      <c r="N1504">
        <f>COUNTIF(order_data[Order_ID],order_data[[#This Row],[Order_ID]])</f>
        <v>1</v>
      </c>
      <c r="O1504">
        <f>order_data[[#This Row],[Order_Value]]-order_data[[#This Row],[Discount]]</f>
        <v>442</v>
      </c>
      <c r="P1504">
        <f>order_data[[#This Row],[Order_Value]]+order_data[[#This Row],[Delivery_Fee]]-order_data[[#This Row],[Discount]]</f>
        <v>462</v>
      </c>
      <c r="Q1504" t="str">
        <f>TEXT(order_data[[#This Row],[Order_Date]],"mmm")</f>
        <v>Mar</v>
      </c>
      <c r="R1504">
        <f>MONTH(order_data[[#This Row],[Order_Date]])</f>
        <v>3</v>
      </c>
    </row>
    <row r="1505" spans="1:18" x14ac:dyDescent="0.35">
      <c r="A1505" t="s">
        <v>2251</v>
      </c>
      <c r="B1505" t="s">
        <v>226</v>
      </c>
      <c r="C1505" t="s">
        <v>1037</v>
      </c>
      <c r="D1505" t="s">
        <v>16</v>
      </c>
      <c r="E1505" t="s">
        <v>17</v>
      </c>
      <c r="F1505" t="s">
        <v>18</v>
      </c>
      <c r="G1505" t="s">
        <v>19</v>
      </c>
      <c r="H1505">
        <v>733</v>
      </c>
      <c r="I1505">
        <v>40</v>
      </c>
      <c r="J1505">
        <v>30</v>
      </c>
      <c r="K1505" t="s">
        <v>36</v>
      </c>
      <c r="L1505">
        <v>56</v>
      </c>
      <c r="M1505" t="s">
        <v>21</v>
      </c>
      <c r="N1505">
        <f>COUNTIF(order_data[Order_ID],order_data[[#This Row],[Order_ID]])</f>
        <v>1</v>
      </c>
      <c r="O1505">
        <f>order_data[[#This Row],[Order_Value]]-order_data[[#This Row],[Discount]]</f>
        <v>703</v>
      </c>
      <c r="P1505">
        <f>order_data[[#This Row],[Order_Value]]+order_data[[#This Row],[Delivery_Fee]]-order_data[[#This Row],[Discount]]</f>
        <v>743</v>
      </c>
      <c r="Q1505" t="str">
        <f>TEXT(order_data[[#This Row],[Order_Date]],"mmm")</f>
        <v>Jan</v>
      </c>
      <c r="R1505">
        <f>MONTH(order_data[[#This Row],[Order_Date]])</f>
        <v>1</v>
      </c>
    </row>
    <row r="1506" spans="1:18" x14ac:dyDescent="0.35">
      <c r="A1506" t="s">
        <v>2252</v>
      </c>
      <c r="B1506" t="s">
        <v>96</v>
      </c>
      <c r="C1506" t="s">
        <v>830</v>
      </c>
      <c r="D1506" t="s">
        <v>40</v>
      </c>
      <c r="E1506" t="s">
        <v>111</v>
      </c>
      <c r="F1506" t="s">
        <v>18</v>
      </c>
      <c r="G1506" t="s">
        <v>28</v>
      </c>
      <c r="H1506">
        <v>759</v>
      </c>
      <c r="I1506">
        <v>30</v>
      </c>
      <c r="J1506">
        <v>50</v>
      </c>
      <c r="K1506" t="s">
        <v>36</v>
      </c>
      <c r="L1506">
        <v>26</v>
      </c>
      <c r="M1506" t="s">
        <v>30</v>
      </c>
      <c r="N1506">
        <f>COUNTIF(order_data[Order_ID],order_data[[#This Row],[Order_ID]])</f>
        <v>1</v>
      </c>
      <c r="O1506">
        <f>order_data[[#This Row],[Order_Value]]-order_data[[#This Row],[Discount]]</f>
        <v>709</v>
      </c>
      <c r="P1506">
        <f>order_data[[#This Row],[Order_Value]]+order_data[[#This Row],[Delivery_Fee]]-order_data[[#This Row],[Discount]]</f>
        <v>739</v>
      </c>
      <c r="Q1506" t="str">
        <f>TEXT(order_data[[#This Row],[Order_Date]],"mmm")</f>
        <v>Mar</v>
      </c>
      <c r="R1506">
        <f>MONTH(order_data[[#This Row],[Order_Date]])</f>
        <v>3</v>
      </c>
    </row>
    <row r="1507" spans="1:18" x14ac:dyDescent="0.35">
      <c r="A1507" t="s">
        <v>2253</v>
      </c>
      <c r="B1507" t="s">
        <v>244</v>
      </c>
      <c r="C1507" t="s">
        <v>1182</v>
      </c>
      <c r="D1507" t="s">
        <v>46</v>
      </c>
      <c r="E1507" t="s">
        <v>148</v>
      </c>
      <c r="F1507" t="s">
        <v>27</v>
      </c>
      <c r="G1507" t="s">
        <v>176</v>
      </c>
      <c r="H1507">
        <v>439</v>
      </c>
      <c r="I1507">
        <v>30</v>
      </c>
      <c r="J1507">
        <v>0</v>
      </c>
      <c r="K1507" t="s">
        <v>20</v>
      </c>
      <c r="L1507">
        <v>27</v>
      </c>
      <c r="M1507" t="s">
        <v>21</v>
      </c>
      <c r="N1507">
        <f>COUNTIF(order_data[Order_ID],order_data[[#This Row],[Order_ID]])</f>
        <v>1</v>
      </c>
      <c r="O1507">
        <f>order_data[[#This Row],[Order_Value]]-order_data[[#This Row],[Discount]]</f>
        <v>439</v>
      </c>
      <c r="P1507">
        <f>order_data[[#This Row],[Order_Value]]+order_data[[#This Row],[Delivery_Fee]]-order_data[[#This Row],[Discount]]</f>
        <v>469</v>
      </c>
      <c r="Q1507" t="str">
        <f>TEXT(order_data[[#This Row],[Order_Date]],"mmm")</f>
        <v>Feb</v>
      </c>
      <c r="R1507">
        <f>MONTH(order_data[[#This Row],[Order_Date]])</f>
        <v>2</v>
      </c>
    </row>
    <row r="1508" spans="1:18" x14ac:dyDescent="0.35">
      <c r="A1508" t="s">
        <v>2254</v>
      </c>
      <c r="B1508" t="s">
        <v>432</v>
      </c>
      <c r="C1508" t="s">
        <v>443</v>
      </c>
      <c r="D1508" t="s">
        <v>16</v>
      </c>
      <c r="E1508" t="s">
        <v>89</v>
      </c>
      <c r="F1508" t="s">
        <v>18</v>
      </c>
      <c r="G1508" t="s">
        <v>28</v>
      </c>
      <c r="H1508">
        <v>659</v>
      </c>
      <c r="I1508">
        <v>40</v>
      </c>
      <c r="J1508">
        <v>30</v>
      </c>
      <c r="K1508" t="s">
        <v>29</v>
      </c>
      <c r="L1508">
        <v>33</v>
      </c>
      <c r="M1508" t="s">
        <v>21</v>
      </c>
      <c r="N1508">
        <f>COUNTIF(order_data[Order_ID],order_data[[#This Row],[Order_ID]])</f>
        <v>1</v>
      </c>
      <c r="O1508">
        <f>order_data[[#This Row],[Order_Value]]-order_data[[#This Row],[Discount]]</f>
        <v>629</v>
      </c>
      <c r="P1508">
        <f>order_data[[#This Row],[Order_Value]]+order_data[[#This Row],[Delivery_Fee]]-order_data[[#This Row],[Discount]]</f>
        <v>669</v>
      </c>
      <c r="Q1508" t="str">
        <f>TEXT(order_data[[#This Row],[Order_Date]],"mmm")</f>
        <v>Feb</v>
      </c>
      <c r="R1508">
        <f>MONTH(order_data[[#This Row],[Order_Date]])</f>
        <v>2</v>
      </c>
    </row>
    <row r="1509" spans="1:18" x14ac:dyDescent="0.35">
      <c r="A1509" t="s">
        <v>2255</v>
      </c>
      <c r="B1509" t="s">
        <v>252</v>
      </c>
      <c r="C1509" t="s">
        <v>2256</v>
      </c>
      <c r="D1509" t="s">
        <v>16</v>
      </c>
      <c r="E1509" t="s">
        <v>17</v>
      </c>
      <c r="F1509" t="s">
        <v>18</v>
      </c>
      <c r="G1509" t="s">
        <v>28</v>
      </c>
      <c r="H1509">
        <v>528</v>
      </c>
      <c r="I1509">
        <v>40</v>
      </c>
      <c r="J1509">
        <v>0</v>
      </c>
      <c r="K1509" t="s">
        <v>20</v>
      </c>
      <c r="L1509">
        <v>43</v>
      </c>
      <c r="M1509" t="s">
        <v>21</v>
      </c>
      <c r="N1509">
        <f>COUNTIF(order_data[Order_ID],order_data[[#This Row],[Order_ID]])</f>
        <v>1</v>
      </c>
      <c r="O1509">
        <f>order_data[[#This Row],[Order_Value]]-order_data[[#This Row],[Discount]]</f>
        <v>528</v>
      </c>
      <c r="P1509">
        <f>order_data[[#This Row],[Order_Value]]+order_data[[#This Row],[Delivery_Fee]]-order_data[[#This Row],[Discount]]</f>
        <v>568</v>
      </c>
      <c r="Q1509" t="str">
        <f>TEXT(order_data[[#This Row],[Order_Date]],"mmm")</f>
        <v>Jan</v>
      </c>
      <c r="R1509">
        <f>MONTH(order_data[[#This Row],[Order_Date]])</f>
        <v>1</v>
      </c>
    </row>
    <row r="1510" spans="1:18" x14ac:dyDescent="0.35">
      <c r="A1510" t="s">
        <v>2257</v>
      </c>
      <c r="B1510" t="s">
        <v>286</v>
      </c>
      <c r="C1510" t="s">
        <v>1085</v>
      </c>
      <c r="D1510" t="s">
        <v>46</v>
      </c>
      <c r="E1510" t="s">
        <v>47</v>
      </c>
      <c r="F1510" t="s">
        <v>48</v>
      </c>
      <c r="G1510" t="s">
        <v>59</v>
      </c>
      <c r="H1510">
        <v>466</v>
      </c>
      <c r="I1510">
        <v>30</v>
      </c>
      <c r="J1510">
        <v>50</v>
      </c>
      <c r="K1510" t="s">
        <v>20</v>
      </c>
      <c r="L1510">
        <v>51</v>
      </c>
      <c r="M1510" t="s">
        <v>21</v>
      </c>
      <c r="N1510">
        <f>COUNTIF(order_data[Order_ID],order_data[[#This Row],[Order_ID]])</f>
        <v>1</v>
      </c>
      <c r="O1510">
        <f>order_data[[#This Row],[Order_Value]]-order_data[[#This Row],[Discount]]</f>
        <v>416</v>
      </c>
      <c r="P1510">
        <f>order_data[[#This Row],[Order_Value]]+order_data[[#This Row],[Delivery_Fee]]-order_data[[#This Row],[Discount]]</f>
        <v>446</v>
      </c>
      <c r="Q1510" t="str">
        <f>TEXT(order_data[[#This Row],[Order_Date]],"mmm")</f>
        <v>Mar</v>
      </c>
      <c r="R1510">
        <f>MONTH(order_data[[#This Row],[Order_Date]])</f>
        <v>3</v>
      </c>
    </row>
    <row r="1511" spans="1:18" x14ac:dyDescent="0.35">
      <c r="A1511" t="s">
        <v>2258</v>
      </c>
      <c r="B1511" t="s">
        <v>14</v>
      </c>
      <c r="C1511" t="s">
        <v>2259</v>
      </c>
      <c r="D1511" t="s">
        <v>46</v>
      </c>
      <c r="E1511" t="s">
        <v>47</v>
      </c>
      <c r="F1511" t="s">
        <v>48</v>
      </c>
      <c r="G1511" t="s">
        <v>63</v>
      </c>
      <c r="H1511">
        <v>371</v>
      </c>
      <c r="I1511">
        <v>40</v>
      </c>
      <c r="J1511">
        <v>20</v>
      </c>
      <c r="K1511" t="s">
        <v>36</v>
      </c>
      <c r="L1511">
        <v>48</v>
      </c>
      <c r="M1511" t="s">
        <v>21</v>
      </c>
      <c r="N1511">
        <f>COUNTIF(order_data[Order_ID],order_data[[#This Row],[Order_ID]])</f>
        <v>1</v>
      </c>
      <c r="O1511">
        <f>order_data[[#This Row],[Order_Value]]-order_data[[#This Row],[Discount]]</f>
        <v>351</v>
      </c>
      <c r="P1511">
        <f>order_data[[#This Row],[Order_Value]]+order_data[[#This Row],[Delivery_Fee]]-order_data[[#This Row],[Discount]]</f>
        <v>391</v>
      </c>
      <c r="Q1511" t="str">
        <f>TEXT(order_data[[#This Row],[Order_Date]],"mmm")</f>
        <v>Mar</v>
      </c>
      <c r="R1511">
        <f>MONTH(order_data[[#This Row],[Order_Date]])</f>
        <v>3</v>
      </c>
    </row>
    <row r="1512" spans="1:18" x14ac:dyDescent="0.35">
      <c r="A1512" t="s">
        <v>2260</v>
      </c>
      <c r="B1512" t="s">
        <v>247</v>
      </c>
      <c r="C1512" t="s">
        <v>2261</v>
      </c>
      <c r="D1512" t="s">
        <v>25</v>
      </c>
      <c r="E1512" t="s">
        <v>34</v>
      </c>
      <c r="F1512" t="s">
        <v>27</v>
      </c>
      <c r="G1512" t="s">
        <v>63</v>
      </c>
      <c r="H1512">
        <v>798</v>
      </c>
      <c r="I1512">
        <v>30</v>
      </c>
      <c r="J1512">
        <v>100</v>
      </c>
      <c r="K1512" t="s">
        <v>20</v>
      </c>
      <c r="L1512">
        <v>42</v>
      </c>
      <c r="M1512" t="s">
        <v>21</v>
      </c>
      <c r="N1512">
        <f>COUNTIF(order_data[Order_ID],order_data[[#This Row],[Order_ID]])</f>
        <v>1</v>
      </c>
      <c r="O1512">
        <f>order_data[[#This Row],[Order_Value]]-order_data[[#This Row],[Discount]]</f>
        <v>698</v>
      </c>
      <c r="P1512">
        <f>order_data[[#This Row],[Order_Value]]+order_data[[#This Row],[Delivery_Fee]]-order_data[[#This Row],[Discount]]</f>
        <v>728</v>
      </c>
      <c r="Q1512" t="str">
        <f>TEXT(order_data[[#This Row],[Order_Date]],"mmm")</f>
        <v>Mar</v>
      </c>
      <c r="R1512">
        <f>MONTH(order_data[[#This Row],[Order_Date]])</f>
        <v>3</v>
      </c>
    </row>
    <row r="1513" spans="1:18" x14ac:dyDescent="0.35">
      <c r="A1513" t="s">
        <v>2262</v>
      </c>
      <c r="B1513" t="s">
        <v>223</v>
      </c>
      <c r="C1513" t="s">
        <v>480</v>
      </c>
      <c r="D1513" t="s">
        <v>46</v>
      </c>
      <c r="E1513" t="s">
        <v>70</v>
      </c>
      <c r="F1513" t="s">
        <v>18</v>
      </c>
      <c r="G1513" t="s">
        <v>49</v>
      </c>
      <c r="H1513">
        <v>232</v>
      </c>
      <c r="I1513">
        <v>50</v>
      </c>
      <c r="J1513">
        <v>20</v>
      </c>
      <c r="K1513" t="s">
        <v>20</v>
      </c>
      <c r="L1513">
        <v>49</v>
      </c>
      <c r="M1513" t="s">
        <v>21</v>
      </c>
      <c r="N1513">
        <f>COUNTIF(order_data[Order_ID],order_data[[#This Row],[Order_ID]])</f>
        <v>1</v>
      </c>
      <c r="O1513">
        <f>order_data[[#This Row],[Order_Value]]-order_data[[#This Row],[Discount]]</f>
        <v>212</v>
      </c>
      <c r="P1513">
        <f>order_data[[#This Row],[Order_Value]]+order_data[[#This Row],[Delivery_Fee]]-order_data[[#This Row],[Discount]]</f>
        <v>262</v>
      </c>
      <c r="Q1513" t="str">
        <f>TEXT(order_data[[#This Row],[Order_Date]],"mmm")</f>
        <v>Mar</v>
      </c>
      <c r="R1513">
        <f>MONTH(order_data[[#This Row],[Order_Date]])</f>
        <v>3</v>
      </c>
    </row>
    <row r="1514" spans="1:18" x14ac:dyDescent="0.35">
      <c r="A1514" t="s">
        <v>2263</v>
      </c>
      <c r="B1514" t="s">
        <v>143</v>
      </c>
      <c r="C1514" t="s">
        <v>349</v>
      </c>
      <c r="D1514" t="s">
        <v>40</v>
      </c>
      <c r="E1514" t="s">
        <v>41</v>
      </c>
      <c r="F1514" t="s">
        <v>27</v>
      </c>
      <c r="G1514" t="s">
        <v>59</v>
      </c>
      <c r="H1514">
        <v>700</v>
      </c>
      <c r="I1514">
        <v>50</v>
      </c>
      <c r="J1514">
        <v>30</v>
      </c>
      <c r="K1514" t="s">
        <v>20</v>
      </c>
      <c r="L1514">
        <v>47</v>
      </c>
      <c r="M1514" t="s">
        <v>21</v>
      </c>
      <c r="N1514">
        <f>COUNTIF(order_data[Order_ID],order_data[[#This Row],[Order_ID]])</f>
        <v>1</v>
      </c>
      <c r="O1514">
        <f>order_data[[#This Row],[Order_Value]]-order_data[[#This Row],[Discount]]</f>
        <v>670</v>
      </c>
      <c r="P1514">
        <f>order_data[[#This Row],[Order_Value]]+order_data[[#This Row],[Delivery_Fee]]-order_data[[#This Row],[Discount]]</f>
        <v>720</v>
      </c>
      <c r="Q1514" t="str">
        <f>TEXT(order_data[[#This Row],[Order_Date]],"mmm")</f>
        <v>Feb</v>
      </c>
      <c r="R1514">
        <f>MONTH(order_data[[#This Row],[Order_Date]])</f>
        <v>2</v>
      </c>
    </row>
    <row r="1515" spans="1:18" x14ac:dyDescent="0.35">
      <c r="A1515" t="s">
        <v>2264</v>
      </c>
      <c r="B1515" t="s">
        <v>291</v>
      </c>
      <c r="C1515" t="s">
        <v>184</v>
      </c>
      <c r="D1515" t="s">
        <v>16</v>
      </c>
      <c r="E1515" t="s">
        <v>89</v>
      </c>
      <c r="F1515" t="s">
        <v>18</v>
      </c>
      <c r="G1515" t="s">
        <v>42</v>
      </c>
      <c r="H1515">
        <v>556</v>
      </c>
      <c r="I1515">
        <v>40</v>
      </c>
      <c r="J1515">
        <v>100</v>
      </c>
      <c r="K1515" t="s">
        <v>20</v>
      </c>
      <c r="L1515">
        <v>53</v>
      </c>
      <c r="M1515" t="s">
        <v>21</v>
      </c>
      <c r="N1515">
        <f>COUNTIF(order_data[Order_ID],order_data[[#This Row],[Order_ID]])</f>
        <v>1</v>
      </c>
      <c r="O1515">
        <f>order_data[[#This Row],[Order_Value]]-order_data[[#This Row],[Discount]]</f>
        <v>456</v>
      </c>
      <c r="P1515">
        <f>order_data[[#This Row],[Order_Value]]+order_data[[#This Row],[Delivery_Fee]]-order_data[[#This Row],[Discount]]</f>
        <v>496</v>
      </c>
      <c r="Q1515" t="str">
        <f>TEXT(order_data[[#This Row],[Order_Date]],"mmm")</f>
        <v>Feb</v>
      </c>
      <c r="R1515">
        <f>MONTH(order_data[[#This Row],[Order_Date]])</f>
        <v>2</v>
      </c>
    </row>
    <row r="1516" spans="1:18" x14ac:dyDescent="0.35">
      <c r="A1516" t="s">
        <v>2265</v>
      </c>
      <c r="B1516" t="s">
        <v>102</v>
      </c>
      <c r="C1516" t="s">
        <v>648</v>
      </c>
      <c r="D1516" t="s">
        <v>25</v>
      </c>
      <c r="E1516" t="s">
        <v>78</v>
      </c>
      <c r="F1516" t="s">
        <v>48</v>
      </c>
      <c r="G1516" t="s">
        <v>59</v>
      </c>
      <c r="H1516">
        <v>563</v>
      </c>
      <c r="I1516">
        <v>40</v>
      </c>
      <c r="J1516">
        <v>30</v>
      </c>
      <c r="K1516" t="s">
        <v>20</v>
      </c>
      <c r="L1516">
        <v>28</v>
      </c>
      <c r="M1516" t="s">
        <v>21</v>
      </c>
      <c r="N1516">
        <f>COUNTIF(order_data[Order_ID],order_data[[#This Row],[Order_ID]])</f>
        <v>1</v>
      </c>
      <c r="O1516">
        <f>order_data[[#This Row],[Order_Value]]-order_data[[#This Row],[Discount]]</f>
        <v>533</v>
      </c>
      <c r="P1516">
        <f>order_data[[#This Row],[Order_Value]]+order_data[[#This Row],[Delivery_Fee]]-order_data[[#This Row],[Discount]]</f>
        <v>573</v>
      </c>
      <c r="Q1516" t="str">
        <f>TEXT(order_data[[#This Row],[Order_Date]],"mmm")</f>
        <v>Mar</v>
      </c>
      <c r="R1516">
        <f>MONTH(order_data[[#This Row],[Order_Date]])</f>
        <v>3</v>
      </c>
    </row>
    <row r="1517" spans="1:18" x14ac:dyDescent="0.35">
      <c r="A1517" t="s">
        <v>2266</v>
      </c>
      <c r="B1517" t="s">
        <v>32</v>
      </c>
      <c r="C1517" t="s">
        <v>1197</v>
      </c>
      <c r="D1517" t="s">
        <v>46</v>
      </c>
      <c r="E1517" t="s">
        <v>47</v>
      </c>
      <c r="F1517" t="s">
        <v>48</v>
      </c>
      <c r="G1517" t="s">
        <v>176</v>
      </c>
      <c r="H1517">
        <v>701</v>
      </c>
      <c r="I1517">
        <v>50</v>
      </c>
      <c r="J1517">
        <v>0</v>
      </c>
      <c r="K1517" t="s">
        <v>29</v>
      </c>
      <c r="L1517">
        <v>55</v>
      </c>
      <c r="M1517" t="s">
        <v>21</v>
      </c>
      <c r="N1517">
        <f>COUNTIF(order_data[Order_ID],order_data[[#This Row],[Order_ID]])</f>
        <v>1</v>
      </c>
      <c r="O1517">
        <f>order_data[[#This Row],[Order_Value]]-order_data[[#This Row],[Discount]]</f>
        <v>701</v>
      </c>
      <c r="P1517">
        <f>order_data[[#This Row],[Order_Value]]+order_data[[#This Row],[Delivery_Fee]]-order_data[[#This Row],[Discount]]</f>
        <v>751</v>
      </c>
      <c r="Q1517" t="str">
        <f>TEXT(order_data[[#This Row],[Order_Date]],"mmm")</f>
        <v>Jan</v>
      </c>
      <c r="R1517">
        <f>MONTH(order_data[[#This Row],[Order_Date]])</f>
        <v>1</v>
      </c>
    </row>
    <row r="1518" spans="1:18" x14ac:dyDescent="0.35">
      <c r="A1518" t="s">
        <v>2267</v>
      </c>
      <c r="B1518" t="s">
        <v>291</v>
      </c>
      <c r="C1518" t="s">
        <v>315</v>
      </c>
      <c r="D1518" t="s">
        <v>46</v>
      </c>
      <c r="E1518" t="s">
        <v>47</v>
      </c>
      <c r="F1518" t="s">
        <v>48</v>
      </c>
      <c r="G1518" t="s">
        <v>19</v>
      </c>
      <c r="H1518">
        <v>656</v>
      </c>
      <c r="I1518">
        <v>50</v>
      </c>
      <c r="J1518">
        <v>50</v>
      </c>
      <c r="K1518" t="s">
        <v>20</v>
      </c>
      <c r="L1518">
        <v>33</v>
      </c>
      <c r="M1518" t="s">
        <v>21</v>
      </c>
      <c r="N1518">
        <f>COUNTIF(order_data[Order_ID],order_data[[#This Row],[Order_ID]])</f>
        <v>1</v>
      </c>
      <c r="O1518">
        <f>order_data[[#This Row],[Order_Value]]-order_data[[#This Row],[Discount]]</f>
        <v>606</v>
      </c>
      <c r="P1518">
        <f>order_data[[#This Row],[Order_Value]]+order_data[[#This Row],[Delivery_Fee]]-order_data[[#This Row],[Discount]]</f>
        <v>656</v>
      </c>
      <c r="Q1518" t="str">
        <f>TEXT(order_data[[#This Row],[Order_Date]],"mmm")</f>
        <v>Feb</v>
      </c>
      <c r="R1518">
        <f>MONTH(order_data[[#This Row],[Order_Date]])</f>
        <v>2</v>
      </c>
    </row>
    <row r="1519" spans="1:18" x14ac:dyDescent="0.35">
      <c r="A1519" t="s">
        <v>2268</v>
      </c>
      <c r="B1519" t="s">
        <v>322</v>
      </c>
      <c r="C1519" t="s">
        <v>569</v>
      </c>
      <c r="D1519" t="s">
        <v>46</v>
      </c>
      <c r="E1519" t="s">
        <v>70</v>
      </c>
      <c r="F1519" t="s">
        <v>18</v>
      </c>
      <c r="G1519" t="s">
        <v>107</v>
      </c>
      <c r="H1519">
        <v>417</v>
      </c>
      <c r="I1519">
        <v>30</v>
      </c>
      <c r="J1519">
        <v>0</v>
      </c>
      <c r="K1519" t="s">
        <v>20</v>
      </c>
      <c r="L1519">
        <v>35</v>
      </c>
      <c r="M1519" t="s">
        <v>21</v>
      </c>
      <c r="N1519">
        <f>COUNTIF(order_data[Order_ID],order_data[[#This Row],[Order_ID]])</f>
        <v>1</v>
      </c>
      <c r="O1519">
        <f>order_data[[#This Row],[Order_Value]]-order_data[[#This Row],[Discount]]</f>
        <v>417</v>
      </c>
      <c r="P1519">
        <f>order_data[[#This Row],[Order_Value]]+order_data[[#This Row],[Delivery_Fee]]-order_data[[#This Row],[Discount]]</f>
        <v>447</v>
      </c>
      <c r="Q1519" t="str">
        <f>TEXT(order_data[[#This Row],[Order_Date]],"mmm")</f>
        <v>Jan</v>
      </c>
      <c r="R1519">
        <f>MONTH(order_data[[#This Row],[Order_Date]])</f>
        <v>1</v>
      </c>
    </row>
    <row r="1520" spans="1:18" x14ac:dyDescent="0.35">
      <c r="A1520" t="s">
        <v>2269</v>
      </c>
      <c r="B1520" t="s">
        <v>398</v>
      </c>
      <c r="C1520" t="s">
        <v>1505</v>
      </c>
      <c r="D1520" t="s">
        <v>40</v>
      </c>
      <c r="E1520" t="s">
        <v>41</v>
      </c>
      <c r="F1520" t="s">
        <v>27</v>
      </c>
      <c r="G1520" t="s">
        <v>49</v>
      </c>
      <c r="H1520">
        <v>696</v>
      </c>
      <c r="I1520">
        <v>50</v>
      </c>
      <c r="J1520">
        <v>20</v>
      </c>
      <c r="K1520" t="s">
        <v>36</v>
      </c>
      <c r="L1520">
        <v>38</v>
      </c>
      <c r="M1520" t="s">
        <v>21</v>
      </c>
      <c r="N1520">
        <f>COUNTIF(order_data[Order_ID],order_data[[#This Row],[Order_ID]])</f>
        <v>1</v>
      </c>
      <c r="O1520">
        <f>order_data[[#This Row],[Order_Value]]-order_data[[#This Row],[Discount]]</f>
        <v>676</v>
      </c>
      <c r="P1520">
        <f>order_data[[#This Row],[Order_Value]]+order_data[[#This Row],[Delivery_Fee]]-order_data[[#This Row],[Discount]]</f>
        <v>726</v>
      </c>
      <c r="Q1520" t="str">
        <f>TEXT(order_data[[#This Row],[Order_Date]],"mmm")</f>
        <v>Feb</v>
      </c>
      <c r="R1520">
        <f>MONTH(order_data[[#This Row],[Order_Date]])</f>
        <v>2</v>
      </c>
    </row>
    <row r="1521" spans="1:18" x14ac:dyDescent="0.35">
      <c r="A1521" t="s">
        <v>2270</v>
      </c>
      <c r="B1521" t="s">
        <v>199</v>
      </c>
      <c r="C1521" t="s">
        <v>2271</v>
      </c>
      <c r="D1521" t="s">
        <v>40</v>
      </c>
      <c r="E1521" t="s">
        <v>41</v>
      </c>
      <c r="F1521" t="s">
        <v>27</v>
      </c>
      <c r="G1521" t="s">
        <v>59</v>
      </c>
      <c r="H1521">
        <v>487</v>
      </c>
      <c r="I1521">
        <v>50</v>
      </c>
      <c r="J1521">
        <v>30</v>
      </c>
      <c r="K1521" t="s">
        <v>29</v>
      </c>
      <c r="L1521">
        <v>37</v>
      </c>
      <c r="M1521" t="s">
        <v>21</v>
      </c>
      <c r="N1521">
        <f>COUNTIF(order_data[Order_ID],order_data[[#This Row],[Order_ID]])</f>
        <v>1</v>
      </c>
      <c r="O1521">
        <f>order_data[[#This Row],[Order_Value]]-order_data[[#This Row],[Discount]]</f>
        <v>457</v>
      </c>
      <c r="P1521">
        <f>order_data[[#This Row],[Order_Value]]+order_data[[#This Row],[Delivery_Fee]]-order_data[[#This Row],[Discount]]</f>
        <v>507</v>
      </c>
      <c r="Q1521" t="str">
        <f>TEXT(order_data[[#This Row],[Order_Date]],"mmm")</f>
        <v>Jan</v>
      </c>
      <c r="R1521">
        <f>MONTH(order_data[[#This Row],[Order_Date]])</f>
        <v>1</v>
      </c>
    </row>
    <row r="1522" spans="1:18" x14ac:dyDescent="0.35">
      <c r="A1522" t="s">
        <v>2272</v>
      </c>
      <c r="B1522" t="s">
        <v>473</v>
      </c>
      <c r="C1522" t="s">
        <v>1311</v>
      </c>
      <c r="D1522" t="s">
        <v>16</v>
      </c>
      <c r="E1522" t="s">
        <v>131</v>
      </c>
      <c r="F1522" t="s">
        <v>55</v>
      </c>
      <c r="G1522" t="s">
        <v>28</v>
      </c>
      <c r="H1522">
        <v>273</v>
      </c>
      <c r="I1522">
        <v>40</v>
      </c>
      <c r="J1522">
        <v>100</v>
      </c>
      <c r="K1522" t="s">
        <v>29</v>
      </c>
      <c r="L1522">
        <v>37</v>
      </c>
      <c r="M1522" t="s">
        <v>21</v>
      </c>
      <c r="N1522">
        <f>COUNTIF(order_data[Order_ID],order_data[[#This Row],[Order_ID]])</f>
        <v>1</v>
      </c>
      <c r="O1522">
        <f>order_data[[#This Row],[Order_Value]]-order_data[[#This Row],[Discount]]</f>
        <v>173</v>
      </c>
      <c r="P1522">
        <f>order_data[[#This Row],[Order_Value]]+order_data[[#This Row],[Delivery_Fee]]-order_data[[#This Row],[Discount]]</f>
        <v>213</v>
      </c>
      <c r="Q1522" t="str">
        <f>TEXT(order_data[[#This Row],[Order_Date]],"mmm")</f>
        <v>Mar</v>
      </c>
      <c r="R1522">
        <f>MONTH(order_data[[#This Row],[Order_Date]])</f>
        <v>3</v>
      </c>
    </row>
    <row r="1523" spans="1:18" x14ac:dyDescent="0.35">
      <c r="A1523" t="s">
        <v>2273</v>
      </c>
      <c r="B1523" t="s">
        <v>568</v>
      </c>
      <c r="C1523" t="s">
        <v>2274</v>
      </c>
      <c r="D1523" t="s">
        <v>16</v>
      </c>
      <c r="E1523" t="s">
        <v>17</v>
      </c>
      <c r="F1523" t="s">
        <v>18</v>
      </c>
      <c r="G1523" t="s">
        <v>59</v>
      </c>
      <c r="H1523">
        <v>288</v>
      </c>
      <c r="I1523">
        <v>40</v>
      </c>
      <c r="J1523">
        <v>100</v>
      </c>
      <c r="K1523" t="s">
        <v>36</v>
      </c>
      <c r="L1523">
        <v>45</v>
      </c>
      <c r="M1523" t="s">
        <v>21</v>
      </c>
      <c r="N1523">
        <f>COUNTIF(order_data[Order_ID],order_data[[#This Row],[Order_ID]])</f>
        <v>1</v>
      </c>
      <c r="O1523">
        <f>order_data[[#This Row],[Order_Value]]-order_data[[#This Row],[Discount]]</f>
        <v>188</v>
      </c>
      <c r="P1523">
        <f>order_data[[#This Row],[Order_Value]]+order_data[[#This Row],[Delivery_Fee]]-order_data[[#This Row],[Discount]]</f>
        <v>228</v>
      </c>
      <c r="Q1523" t="str">
        <f>TEXT(order_data[[#This Row],[Order_Date]],"mmm")</f>
        <v>Mar</v>
      </c>
      <c r="R1523">
        <f>MONTH(order_data[[#This Row],[Order_Date]])</f>
        <v>3</v>
      </c>
    </row>
    <row r="1524" spans="1:18" x14ac:dyDescent="0.35">
      <c r="A1524" t="s">
        <v>2275</v>
      </c>
      <c r="B1524" t="s">
        <v>126</v>
      </c>
      <c r="C1524" t="s">
        <v>219</v>
      </c>
      <c r="D1524" t="s">
        <v>53</v>
      </c>
      <c r="E1524" t="s">
        <v>54</v>
      </c>
      <c r="F1524" t="s">
        <v>55</v>
      </c>
      <c r="G1524" t="s">
        <v>59</v>
      </c>
      <c r="H1524">
        <v>686</v>
      </c>
      <c r="I1524">
        <v>30</v>
      </c>
      <c r="J1524">
        <v>0</v>
      </c>
      <c r="K1524" t="s">
        <v>29</v>
      </c>
      <c r="L1524">
        <v>32</v>
      </c>
      <c r="M1524" t="s">
        <v>21</v>
      </c>
      <c r="N1524">
        <f>COUNTIF(order_data[Order_ID],order_data[[#This Row],[Order_ID]])</f>
        <v>1</v>
      </c>
      <c r="O1524">
        <f>order_data[[#This Row],[Order_Value]]-order_data[[#This Row],[Discount]]</f>
        <v>686</v>
      </c>
      <c r="P1524">
        <f>order_data[[#This Row],[Order_Value]]+order_data[[#This Row],[Delivery_Fee]]-order_data[[#This Row],[Discount]]</f>
        <v>716</v>
      </c>
      <c r="Q1524" t="str">
        <f>TEXT(order_data[[#This Row],[Order_Date]],"mmm")</f>
        <v>Mar</v>
      </c>
      <c r="R1524">
        <f>MONTH(order_data[[#This Row],[Order_Date]])</f>
        <v>3</v>
      </c>
    </row>
    <row r="1525" spans="1:18" x14ac:dyDescent="0.35">
      <c r="A1525" t="s">
        <v>2276</v>
      </c>
      <c r="B1525" t="s">
        <v>129</v>
      </c>
      <c r="C1525" t="s">
        <v>1571</v>
      </c>
      <c r="D1525" t="s">
        <v>46</v>
      </c>
      <c r="E1525" t="s">
        <v>47</v>
      </c>
      <c r="F1525" t="s">
        <v>48</v>
      </c>
      <c r="G1525" t="s">
        <v>28</v>
      </c>
      <c r="H1525">
        <v>167</v>
      </c>
      <c r="I1525">
        <v>50</v>
      </c>
      <c r="J1525">
        <v>100</v>
      </c>
      <c r="K1525" t="s">
        <v>29</v>
      </c>
      <c r="L1525">
        <v>53</v>
      </c>
      <c r="M1525" t="s">
        <v>21</v>
      </c>
      <c r="N1525">
        <f>COUNTIF(order_data[Order_ID],order_data[[#This Row],[Order_ID]])</f>
        <v>1</v>
      </c>
      <c r="O1525">
        <f>order_data[[#This Row],[Order_Value]]-order_data[[#This Row],[Discount]]</f>
        <v>67</v>
      </c>
      <c r="P1525">
        <f>order_data[[#This Row],[Order_Value]]+order_data[[#This Row],[Delivery_Fee]]-order_data[[#This Row],[Discount]]</f>
        <v>117</v>
      </c>
      <c r="Q1525" t="str">
        <f>TEXT(order_data[[#This Row],[Order_Date]],"mmm")</f>
        <v>Feb</v>
      </c>
      <c r="R1525">
        <f>MONTH(order_data[[#This Row],[Order_Date]])</f>
        <v>2</v>
      </c>
    </row>
    <row r="1526" spans="1:18" x14ac:dyDescent="0.35">
      <c r="A1526" t="s">
        <v>2277</v>
      </c>
      <c r="B1526" t="s">
        <v>388</v>
      </c>
      <c r="C1526" t="s">
        <v>771</v>
      </c>
      <c r="D1526" t="s">
        <v>53</v>
      </c>
      <c r="E1526" t="s">
        <v>152</v>
      </c>
      <c r="F1526" t="s">
        <v>18</v>
      </c>
      <c r="G1526" t="s">
        <v>19</v>
      </c>
      <c r="H1526">
        <v>392</v>
      </c>
      <c r="I1526">
        <v>50</v>
      </c>
      <c r="J1526">
        <v>30</v>
      </c>
      <c r="K1526" t="s">
        <v>20</v>
      </c>
      <c r="L1526">
        <v>48</v>
      </c>
      <c r="M1526" t="s">
        <v>21</v>
      </c>
      <c r="N1526">
        <f>COUNTIF(order_data[Order_ID],order_data[[#This Row],[Order_ID]])</f>
        <v>1</v>
      </c>
      <c r="O1526">
        <f>order_data[[#This Row],[Order_Value]]-order_data[[#This Row],[Discount]]</f>
        <v>362</v>
      </c>
      <c r="P1526">
        <f>order_data[[#This Row],[Order_Value]]+order_data[[#This Row],[Delivery_Fee]]-order_data[[#This Row],[Discount]]</f>
        <v>412</v>
      </c>
      <c r="Q1526" t="str">
        <f>TEXT(order_data[[#This Row],[Order_Date]],"mmm")</f>
        <v>Mar</v>
      </c>
      <c r="R1526">
        <f>MONTH(order_data[[#This Row],[Order_Date]])</f>
        <v>3</v>
      </c>
    </row>
    <row r="1527" spans="1:18" x14ac:dyDescent="0.35">
      <c r="A1527" t="s">
        <v>2278</v>
      </c>
      <c r="B1527" t="s">
        <v>329</v>
      </c>
      <c r="C1527" t="s">
        <v>592</v>
      </c>
      <c r="D1527" t="s">
        <v>40</v>
      </c>
      <c r="E1527" t="s">
        <v>41</v>
      </c>
      <c r="F1527" t="s">
        <v>27</v>
      </c>
      <c r="G1527" t="s">
        <v>74</v>
      </c>
      <c r="H1527">
        <v>261</v>
      </c>
      <c r="I1527">
        <v>40</v>
      </c>
      <c r="J1527">
        <v>0</v>
      </c>
      <c r="K1527" t="s">
        <v>29</v>
      </c>
      <c r="L1527">
        <v>45</v>
      </c>
      <c r="M1527" t="s">
        <v>21</v>
      </c>
      <c r="N1527">
        <f>COUNTIF(order_data[Order_ID],order_data[[#This Row],[Order_ID]])</f>
        <v>1</v>
      </c>
      <c r="O1527">
        <f>order_data[[#This Row],[Order_Value]]-order_data[[#This Row],[Discount]]</f>
        <v>261</v>
      </c>
      <c r="P1527">
        <f>order_data[[#This Row],[Order_Value]]+order_data[[#This Row],[Delivery_Fee]]-order_data[[#This Row],[Discount]]</f>
        <v>301</v>
      </c>
      <c r="Q1527" t="str">
        <f>TEXT(order_data[[#This Row],[Order_Date]],"mmm")</f>
        <v>Mar</v>
      </c>
      <c r="R1527">
        <f>MONTH(order_data[[#This Row],[Order_Date]])</f>
        <v>3</v>
      </c>
    </row>
    <row r="1528" spans="1:18" x14ac:dyDescent="0.35">
      <c r="A1528" t="s">
        <v>2279</v>
      </c>
      <c r="B1528" t="s">
        <v>133</v>
      </c>
      <c r="C1528" t="s">
        <v>521</v>
      </c>
      <c r="D1528" t="s">
        <v>16</v>
      </c>
      <c r="E1528" t="s">
        <v>131</v>
      </c>
      <c r="F1528" t="s">
        <v>55</v>
      </c>
      <c r="G1528" t="s">
        <v>19</v>
      </c>
      <c r="H1528">
        <v>677</v>
      </c>
      <c r="I1528">
        <v>20</v>
      </c>
      <c r="J1528">
        <v>30</v>
      </c>
      <c r="K1528" t="s">
        <v>29</v>
      </c>
      <c r="L1528">
        <v>31</v>
      </c>
      <c r="M1528" t="s">
        <v>21</v>
      </c>
      <c r="N1528">
        <f>COUNTIF(order_data[Order_ID],order_data[[#This Row],[Order_ID]])</f>
        <v>1</v>
      </c>
      <c r="O1528">
        <f>order_data[[#This Row],[Order_Value]]-order_data[[#This Row],[Discount]]</f>
        <v>647</v>
      </c>
      <c r="P1528">
        <f>order_data[[#This Row],[Order_Value]]+order_data[[#This Row],[Delivery_Fee]]-order_data[[#This Row],[Discount]]</f>
        <v>667</v>
      </c>
      <c r="Q1528" t="str">
        <f>TEXT(order_data[[#This Row],[Order_Date]],"mmm")</f>
        <v>Mar</v>
      </c>
      <c r="R1528">
        <f>MONTH(order_data[[#This Row],[Order_Date]])</f>
        <v>3</v>
      </c>
    </row>
    <row r="1529" spans="1:18" x14ac:dyDescent="0.35">
      <c r="A1529" t="s">
        <v>2280</v>
      </c>
      <c r="B1529" t="s">
        <v>326</v>
      </c>
      <c r="C1529" t="s">
        <v>734</v>
      </c>
      <c r="D1529" t="s">
        <v>16</v>
      </c>
      <c r="E1529" t="s">
        <v>89</v>
      </c>
      <c r="F1529" t="s">
        <v>18</v>
      </c>
      <c r="G1529" t="s">
        <v>176</v>
      </c>
      <c r="H1529">
        <v>421</v>
      </c>
      <c r="I1529">
        <v>20</v>
      </c>
      <c r="J1529">
        <v>100</v>
      </c>
      <c r="K1529" t="s">
        <v>36</v>
      </c>
      <c r="L1529">
        <v>34</v>
      </c>
      <c r="M1529" t="s">
        <v>21</v>
      </c>
      <c r="N1529">
        <f>COUNTIF(order_data[Order_ID],order_data[[#This Row],[Order_ID]])</f>
        <v>1</v>
      </c>
      <c r="O1529">
        <f>order_data[[#This Row],[Order_Value]]-order_data[[#This Row],[Discount]]</f>
        <v>321</v>
      </c>
      <c r="P1529">
        <f>order_data[[#This Row],[Order_Value]]+order_data[[#This Row],[Delivery_Fee]]-order_data[[#This Row],[Discount]]</f>
        <v>341</v>
      </c>
      <c r="Q1529" t="str">
        <f>TEXT(order_data[[#This Row],[Order_Date]],"mmm")</f>
        <v>Mar</v>
      </c>
      <c r="R1529">
        <f>MONTH(order_data[[#This Row],[Order_Date]])</f>
        <v>3</v>
      </c>
    </row>
    <row r="1530" spans="1:18" x14ac:dyDescent="0.35">
      <c r="A1530" t="s">
        <v>2281</v>
      </c>
      <c r="B1530" t="s">
        <v>379</v>
      </c>
      <c r="C1530" t="s">
        <v>1857</v>
      </c>
      <c r="D1530" t="s">
        <v>40</v>
      </c>
      <c r="E1530" t="s">
        <v>111</v>
      </c>
      <c r="F1530" t="s">
        <v>18</v>
      </c>
      <c r="G1530" t="s">
        <v>19</v>
      </c>
      <c r="H1530">
        <v>642</v>
      </c>
      <c r="I1530">
        <v>20</v>
      </c>
      <c r="J1530">
        <v>20</v>
      </c>
      <c r="K1530" t="s">
        <v>36</v>
      </c>
      <c r="L1530">
        <v>57</v>
      </c>
      <c r="M1530" t="s">
        <v>21</v>
      </c>
      <c r="N1530">
        <f>COUNTIF(order_data[Order_ID],order_data[[#This Row],[Order_ID]])</f>
        <v>1</v>
      </c>
      <c r="O1530">
        <f>order_data[[#This Row],[Order_Value]]-order_data[[#This Row],[Discount]]</f>
        <v>622</v>
      </c>
      <c r="P1530">
        <f>order_data[[#This Row],[Order_Value]]+order_data[[#This Row],[Delivery_Fee]]-order_data[[#This Row],[Discount]]</f>
        <v>642</v>
      </c>
      <c r="Q1530" t="str">
        <f>TEXT(order_data[[#This Row],[Order_Date]],"mmm")</f>
        <v>Mar</v>
      </c>
      <c r="R1530">
        <f>MONTH(order_data[[#This Row],[Order_Date]])</f>
        <v>3</v>
      </c>
    </row>
    <row r="1531" spans="1:18" x14ac:dyDescent="0.35">
      <c r="A1531" t="s">
        <v>2282</v>
      </c>
      <c r="B1531" t="s">
        <v>121</v>
      </c>
      <c r="C1531" t="s">
        <v>265</v>
      </c>
      <c r="D1531" t="s">
        <v>53</v>
      </c>
      <c r="E1531" t="s">
        <v>54</v>
      </c>
      <c r="F1531" t="s">
        <v>55</v>
      </c>
      <c r="G1531" t="s">
        <v>19</v>
      </c>
      <c r="H1531">
        <v>418</v>
      </c>
      <c r="I1531">
        <v>50</v>
      </c>
      <c r="J1531">
        <v>100</v>
      </c>
      <c r="K1531" t="s">
        <v>29</v>
      </c>
      <c r="L1531">
        <v>42</v>
      </c>
      <c r="M1531" t="s">
        <v>21</v>
      </c>
      <c r="N1531">
        <f>COUNTIF(order_data[Order_ID],order_data[[#This Row],[Order_ID]])</f>
        <v>1</v>
      </c>
      <c r="O1531">
        <f>order_data[[#This Row],[Order_Value]]-order_data[[#This Row],[Discount]]</f>
        <v>318</v>
      </c>
      <c r="P1531">
        <f>order_data[[#This Row],[Order_Value]]+order_data[[#This Row],[Delivery_Fee]]-order_data[[#This Row],[Discount]]</f>
        <v>368</v>
      </c>
      <c r="Q1531" t="str">
        <f>TEXT(order_data[[#This Row],[Order_Date]],"mmm")</f>
        <v>Feb</v>
      </c>
      <c r="R1531">
        <f>MONTH(order_data[[#This Row],[Order_Date]])</f>
        <v>2</v>
      </c>
    </row>
    <row r="1532" spans="1:18" x14ac:dyDescent="0.35">
      <c r="A1532" t="s">
        <v>2283</v>
      </c>
      <c r="B1532" t="s">
        <v>416</v>
      </c>
      <c r="C1532" t="s">
        <v>332</v>
      </c>
      <c r="D1532" t="s">
        <v>53</v>
      </c>
      <c r="E1532" t="s">
        <v>54</v>
      </c>
      <c r="F1532" t="s">
        <v>55</v>
      </c>
      <c r="G1532" t="s">
        <v>74</v>
      </c>
      <c r="H1532">
        <v>495</v>
      </c>
      <c r="I1532">
        <v>50</v>
      </c>
      <c r="J1532">
        <v>20</v>
      </c>
      <c r="K1532" t="s">
        <v>29</v>
      </c>
      <c r="L1532">
        <v>42</v>
      </c>
      <c r="M1532" t="s">
        <v>21</v>
      </c>
      <c r="N1532">
        <f>COUNTIF(order_data[Order_ID],order_data[[#This Row],[Order_ID]])</f>
        <v>1</v>
      </c>
      <c r="O1532">
        <f>order_data[[#This Row],[Order_Value]]-order_data[[#This Row],[Discount]]</f>
        <v>475</v>
      </c>
      <c r="P1532">
        <f>order_data[[#This Row],[Order_Value]]+order_data[[#This Row],[Delivery_Fee]]-order_data[[#This Row],[Discount]]</f>
        <v>525</v>
      </c>
      <c r="Q1532" t="str">
        <f>TEXT(order_data[[#This Row],[Order_Date]],"mmm")</f>
        <v>Mar</v>
      </c>
      <c r="R1532">
        <f>MONTH(order_data[[#This Row],[Order_Date]])</f>
        <v>3</v>
      </c>
    </row>
    <row r="1533" spans="1:18" x14ac:dyDescent="0.35">
      <c r="A1533" t="s">
        <v>2284</v>
      </c>
      <c r="B1533" t="s">
        <v>342</v>
      </c>
      <c r="C1533" t="s">
        <v>334</v>
      </c>
      <c r="D1533" t="s">
        <v>53</v>
      </c>
      <c r="E1533" t="s">
        <v>84</v>
      </c>
      <c r="F1533" t="s">
        <v>85</v>
      </c>
      <c r="G1533" t="s">
        <v>19</v>
      </c>
      <c r="H1533">
        <v>536</v>
      </c>
      <c r="I1533">
        <v>40</v>
      </c>
      <c r="J1533">
        <v>20</v>
      </c>
      <c r="K1533" t="s">
        <v>20</v>
      </c>
      <c r="L1533">
        <v>24</v>
      </c>
      <c r="M1533" t="s">
        <v>21</v>
      </c>
      <c r="N1533">
        <f>COUNTIF(order_data[Order_ID],order_data[[#This Row],[Order_ID]])</f>
        <v>1</v>
      </c>
      <c r="O1533">
        <f>order_data[[#This Row],[Order_Value]]-order_data[[#This Row],[Discount]]</f>
        <v>516</v>
      </c>
      <c r="P1533">
        <f>order_data[[#This Row],[Order_Value]]+order_data[[#This Row],[Delivery_Fee]]-order_data[[#This Row],[Discount]]</f>
        <v>556</v>
      </c>
      <c r="Q1533" t="str">
        <f>TEXT(order_data[[#This Row],[Order_Date]],"mmm")</f>
        <v>Jan</v>
      </c>
      <c r="R1533">
        <f>MONTH(order_data[[#This Row],[Order_Date]])</f>
        <v>1</v>
      </c>
    </row>
    <row r="1534" spans="1:18" x14ac:dyDescent="0.35">
      <c r="A1534" t="s">
        <v>2285</v>
      </c>
      <c r="B1534" t="s">
        <v>87</v>
      </c>
      <c r="C1534" t="s">
        <v>446</v>
      </c>
      <c r="D1534" t="s">
        <v>16</v>
      </c>
      <c r="E1534" t="s">
        <v>89</v>
      </c>
      <c r="F1534" t="s">
        <v>18</v>
      </c>
      <c r="G1534" t="s">
        <v>63</v>
      </c>
      <c r="H1534">
        <v>642</v>
      </c>
      <c r="I1534">
        <v>50</v>
      </c>
      <c r="J1534">
        <v>50</v>
      </c>
      <c r="K1534" t="s">
        <v>36</v>
      </c>
      <c r="L1534">
        <v>38</v>
      </c>
      <c r="M1534" t="s">
        <v>21</v>
      </c>
      <c r="N1534">
        <f>COUNTIF(order_data[Order_ID],order_data[[#This Row],[Order_ID]])</f>
        <v>1</v>
      </c>
      <c r="O1534">
        <f>order_data[[#This Row],[Order_Value]]-order_data[[#This Row],[Discount]]</f>
        <v>592</v>
      </c>
      <c r="P1534">
        <f>order_data[[#This Row],[Order_Value]]+order_data[[#This Row],[Delivery_Fee]]-order_data[[#This Row],[Discount]]</f>
        <v>642</v>
      </c>
      <c r="Q1534" t="str">
        <f>TEXT(order_data[[#This Row],[Order_Date]],"mmm")</f>
        <v>Jan</v>
      </c>
      <c r="R1534">
        <f>MONTH(order_data[[#This Row],[Order_Date]])</f>
        <v>1</v>
      </c>
    </row>
    <row r="1535" spans="1:18" x14ac:dyDescent="0.35">
      <c r="A1535" t="s">
        <v>2286</v>
      </c>
      <c r="B1535" t="s">
        <v>247</v>
      </c>
      <c r="C1535" t="s">
        <v>873</v>
      </c>
      <c r="D1535" t="s">
        <v>40</v>
      </c>
      <c r="E1535" t="s">
        <v>67</v>
      </c>
      <c r="F1535" t="s">
        <v>48</v>
      </c>
      <c r="G1535" t="s">
        <v>107</v>
      </c>
      <c r="H1535">
        <v>269</v>
      </c>
      <c r="I1535">
        <v>30</v>
      </c>
      <c r="J1535">
        <v>30</v>
      </c>
      <c r="K1535" t="s">
        <v>29</v>
      </c>
      <c r="L1535">
        <v>31</v>
      </c>
      <c r="M1535" t="s">
        <v>21</v>
      </c>
      <c r="N1535">
        <f>COUNTIF(order_data[Order_ID],order_data[[#This Row],[Order_ID]])</f>
        <v>1</v>
      </c>
      <c r="O1535">
        <f>order_data[[#This Row],[Order_Value]]-order_data[[#This Row],[Discount]]</f>
        <v>239</v>
      </c>
      <c r="P1535">
        <f>order_data[[#This Row],[Order_Value]]+order_data[[#This Row],[Delivery_Fee]]-order_data[[#This Row],[Discount]]</f>
        <v>269</v>
      </c>
      <c r="Q1535" t="str">
        <f>TEXT(order_data[[#This Row],[Order_Date]],"mmm")</f>
        <v>Mar</v>
      </c>
      <c r="R1535">
        <f>MONTH(order_data[[#This Row],[Order_Date]])</f>
        <v>3</v>
      </c>
    </row>
    <row r="1536" spans="1:18" x14ac:dyDescent="0.35">
      <c r="A1536" t="s">
        <v>2287</v>
      </c>
      <c r="B1536" t="s">
        <v>416</v>
      </c>
      <c r="C1536" t="s">
        <v>914</v>
      </c>
      <c r="D1536" t="s">
        <v>16</v>
      </c>
      <c r="E1536" t="s">
        <v>131</v>
      </c>
      <c r="F1536" t="s">
        <v>55</v>
      </c>
      <c r="G1536" t="s">
        <v>49</v>
      </c>
      <c r="H1536">
        <v>364</v>
      </c>
      <c r="I1536">
        <v>20</v>
      </c>
      <c r="J1536">
        <v>50</v>
      </c>
      <c r="K1536" t="s">
        <v>29</v>
      </c>
      <c r="L1536">
        <v>27</v>
      </c>
      <c r="M1536" t="s">
        <v>21</v>
      </c>
      <c r="N1536">
        <f>COUNTIF(order_data[Order_ID],order_data[[#This Row],[Order_ID]])</f>
        <v>1</v>
      </c>
      <c r="O1536">
        <f>order_data[[#This Row],[Order_Value]]-order_data[[#This Row],[Discount]]</f>
        <v>314</v>
      </c>
      <c r="P1536">
        <f>order_data[[#This Row],[Order_Value]]+order_data[[#This Row],[Delivery_Fee]]-order_data[[#This Row],[Discount]]</f>
        <v>334</v>
      </c>
      <c r="Q1536" t="str">
        <f>TEXT(order_data[[#This Row],[Order_Date]],"mmm")</f>
        <v>Mar</v>
      </c>
      <c r="R1536">
        <f>MONTH(order_data[[#This Row],[Order_Date]])</f>
        <v>3</v>
      </c>
    </row>
    <row r="1537" spans="1:18" x14ac:dyDescent="0.35">
      <c r="A1537" t="s">
        <v>2288</v>
      </c>
      <c r="B1537" t="s">
        <v>365</v>
      </c>
      <c r="C1537" t="s">
        <v>988</v>
      </c>
      <c r="D1537" t="s">
        <v>40</v>
      </c>
      <c r="E1537" t="s">
        <v>41</v>
      </c>
      <c r="F1537" t="s">
        <v>27</v>
      </c>
      <c r="G1537" t="s">
        <v>42</v>
      </c>
      <c r="H1537">
        <v>714</v>
      </c>
      <c r="I1537">
        <v>20</v>
      </c>
      <c r="J1537">
        <v>20</v>
      </c>
      <c r="K1537" t="s">
        <v>29</v>
      </c>
      <c r="L1537">
        <v>52</v>
      </c>
      <c r="M1537" t="s">
        <v>21</v>
      </c>
      <c r="N1537">
        <f>COUNTIF(order_data[Order_ID],order_data[[#This Row],[Order_ID]])</f>
        <v>1</v>
      </c>
      <c r="O1537">
        <f>order_data[[#This Row],[Order_Value]]-order_data[[#This Row],[Discount]]</f>
        <v>694</v>
      </c>
      <c r="P1537">
        <f>order_data[[#This Row],[Order_Value]]+order_data[[#This Row],[Delivery_Fee]]-order_data[[#This Row],[Discount]]</f>
        <v>714</v>
      </c>
      <c r="Q1537" t="str">
        <f>TEXT(order_data[[#This Row],[Order_Date]],"mmm")</f>
        <v>Jan</v>
      </c>
      <c r="R1537">
        <f>MONTH(order_data[[#This Row],[Order_Date]])</f>
        <v>1</v>
      </c>
    </row>
    <row r="1538" spans="1:18" x14ac:dyDescent="0.35">
      <c r="A1538" t="s">
        <v>2289</v>
      </c>
      <c r="B1538" t="s">
        <v>336</v>
      </c>
      <c r="C1538" t="s">
        <v>1152</v>
      </c>
      <c r="D1538" t="s">
        <v>53</v>
      </c>
      <c r="E1538" t="s">
        <v>152</v>
      </c>
      <c r="F1538" t="s">
        <v>18</v>
      </c>
      <c r="G1538" t="s">
        <v>49</v>
      </c>
      <c r="H1538">
        <v>180</v>
      </c>
      <c r="I1538">
        <v>30</v>
      </c>
      <c r="J1538">
        <v>20</v>
      </c>
      <c r="K1538" t="s">
        <v>29</v>
      </c>
      <c r="L1538">
        <v>31</v>
      </c>
      <c r="M1538" t="s">
        <v>21</v>
      </c>
      <c r="N1538">
        <f>COUNTIF(order_data[Order_ID],order_data[[#This Row],[Order_ID]])</f>
        <v>1</v>
      </c>
      <c r="O1538">
        <f>order_data[[#This Row],[Order_Value]]-order_data[[#This Row],[Discount]]</f>
        <v>160</v>
      </c>
      <c r="P1538">
        <f>order_data[[#This Row],[Order_Value]]+order_data[[#This Row],[Delivery_Fee]]-order_data[[#This Row],[Discount]]</f>
        <v>190</v>
      </c>
      <c r="Q1538" t="str">
        <f>TEXT(order_data[[#This Row],[Order_Date]],"mmm")</f>
        <v>Feb</v>
      </c>
      <c r="R1538">
        <f>MONTH(order_data[[#This Row],[Order_Date]])</f>
        <v>2</v>
      </c>
    </row>
    <row r="1539" spans="1:18" x14ac:dyDescent="0.35">
      <c r="A1539" t="s">
        <v>2290</v>
      </c>
      <c r="B1539" t="s">
        <v>568</v>
      </c>
      <c r="C1539" t="s">
        <v>529</v>
      </c>
      <c r="D1539" t="s">
        <v>46</v>
      </c>
      <c r="E1539" t="s">
        <v>70</v>
      </c>
      <c r="F1539" t="s">
        <v>18</v>
      </c>
      <c r="G1539" t="s">
        <v>176</v>
      </c>
      <c r="H1539">
        <v>293</v>
      </c>
      <c r="I1539">
        <v>20</v>
      </c>
      <c r="J1539">
        <v>50</v>
      </c>
      <c r="K1539" t="s">
        <v>29</v>
      </c>
      <c r="L1539">
        <v>53</v>
      </c>
      <c r="M1539" t="s">
        <v>21</v>
      </c>
      <c r="N1539">
        <f>COUNTIF(order_data[Order_ID],order_data[[#This Row],[Order_ID]])</f>
        <v>1</v>
      </c>
      <c r="O1539">
        <f>order_data[[#This Row],[Order_Value]]-order_data[[#This Row],[Discount]]</f>
        <v>243</v>
      </c>
      <c r="P1539">
        <f>order_data[[#This Row],[Order_Value]]+order_data[[#This Row],[Delivery_Fee]]-order_data[[#This Row],[Discount]]</f>
        <v>263</v>
      </c>
      <c r="Q1539" t="str">
        <f>TEXT(order_data[[#This Row],[Order_Date]],"mmm")</f>
        <v>Mar</v>
      </c>
      <c r="R1539">
        <f>MONTH(order_data[[#This Row],[Order_Date]])</f>
        <v>3</v>
      </c>
    </row>
    <row r="1540" spans="1:18" x14ac:dyDescent="0.35">
      <c r="A1540" t="s">
        <v>2291</v>
      </c>
      <c r="B1540" t="s">
        <v>388</v>
      </c>
      <c r="C1540" t="s">
        <v>274</v>
      </c>
      <c r="D1540" t="s">
        <v>25</v>
      </c>
      <c r="E1540" t="s">
        <v>26</v>
      </c>
      <c r="F1540" t="s">
        <v>27</v>
      </c>
      <c r="G1540" t="s">
        <v>107</v>
      </c>
      <c r="H1540">
        <v>694</v>
      </c>
      <c r="I1540">
        <v>30</v>
      </c>
      <c r="J1540">
        <v>30</v>
      </c>
      <c r="K1540" t="s">
        <v>29</v>
      </c>
      <c r="L1540">
        <v>44</v>
      </c>
      <c r="M1540" t="s">
        <v>21</v>
      </c>
      <c r="N1540">
        <f>COUNTIF(order_data[Order_ID],order_data[[#This Row],[Order_ID]])</f>
        <v>1</v>
      </c>
      <c r="O1540">
        <f>order_data[[#This Row],[Order_Value]]-order_data[[#This Row],[Discount]]</f>
        <v>664</v>
      </c>
      <c r="P1540">
        <f>order_data[[#This Row],[Order_Value]]+order_data[[#This Row],[Delivery_Fee]]-order_data[[#This Row],[Discount]]</f>
        <v>694</v>
      </c>
      <c r="Q1540" t="str">
        <f>TEXT(order_data[[#This Row],[Order_Date]],"mmm")</f>
        <v>Mar</v>
      </c>
      <c r="R1540">
        <f>MONTH(order_data[[#This Row],[Order_Date]])</f>
        <v>3</v>
      </c>
    </row>
    <row r="1541" spans="1:18" x14ac:dyDescent="0.35">
      <c r="A1541" t="s">
        <v>2292</v>
      </c>
      <c r="B1541" t="s">
        <v>273</v>
      </c>
      <c r="C1541" t="s">
        <v>2293</v>
      </c>
      <c r="D1541" t="s">
        <v>16</v>
      </c>
      <c r="E1541" t="s">
        <v>17</v>
      </c>
      <c r="F1541" t="s">
        <v>18</v>
      </c>
      <c r="G1541" t="s">
        <v>19</v>
      </c>
      <c r="H1541">
        <v>577</v>
      </c>
      <c r="I1541">
        <v>20</v>
      </c>
      <c r="J1541">
        <v>20</v>
      </c>
      <c r="K1541" t="s">
        <v>36</v>
      </c>
      <c r="L1541">
        <v>58</v>
      </c>
      <c r="M1541" t="s">
        <v>21</v>
      </c>
      <c r="N1541">
        <f>COUNTIF(order_data[Order_ID],order_data[[#This Row],[Order_ID]])</f>
        <v>1</v>
      </c>
      <c r="O1541">
        <f>order_data[[#This Row],[Order_Value]]-order_data[[#This Row],[Discount]]</f>
        <v>557</v>
      </c>
      <c r="P1541">
        <f>order_data[[#This Row],[Order_Value]]+order_data[[#This Row],[Delivery_Fee]]-order_data[[#This Row],[Discount]]</f>
        <v>577</v>
      </c>
      <c r="Q1541" t="str">
        <f>TEXT(order_data[[#This Row],[Order_Date]],"mmm")</f>
        <v>Mar</v>
      </c>
      <c r="R1541">
        <f>MONTH(order_data[[#This Row],[Order_Date]])</f>
        <v>3</v>
      </c>
    </row>
    <row r="1542" spans="1:18" x14ac:dyDescent="0.35">
      <c r="A1542" t="s">
        <v>2294</v>
      </c>
      <c r="B1542" t="s">
        <v>244</v>
      </c>
      <c r="C1542" t="s">
        <v>2295</v>
      </c>
      <c r="D1542" t="s">
        <v>53</v>
      </c>
      <c r="E1542" t="s">
        <v>152</v>
      </c>
      <c r="F1542" t="s">
        <v>18</v>
      </c>
      <c r="G1542" t="s">
        <v>107</v>
      </c>
      <c r="H1542">
        <v>259</v>
      </c>
      <c r="I1542">
        <v>30</v>
      </c>
      <c r="J1542">
        <v>30</v>
      </c>
      <c r="K1542" t="s">
        <v>36</v>
      </c>
      <c r="L1542">
        <v>22</v>
      </c>
      <c r="M1542" t="s">
        <v>30</v>
      </c>
      <c r="N1542">
        <f>COUNTIF(order_data[Order_ID],order_data[[#This Row],[Order_ID]])</f>
        <v>1</v>
      </c>
      <c r="O1542">
        <f>order_data[[#This Row],[Order_Value]]-order_data[[#This Row],[Discount]]</f>
        <v>229</v>
      </c>
      <c r="P1542">
        <f>order_data[[#This Row],[Order_Value]]+order_data[[#This Row],[Delivery_Fee]]-order_data[[#This Row],[Discount]]</f>
        <v>259</v>
      </c>
      <c r="Q1542" t="str">
        <f>TEXT(order_data[[#This Row],[Order_Date]],"mmm")</f>
        <v>Feb</v>
      </c>
      <c r="R1542">
        <f>MONTH(order_data[[#This Row],[Order_Date]])</f>
        <v>2</v>
      </c>
    </row>
    <row r="1543" spans="1:18" x14ac:dyDescent="0.35">
      <c r="A1543" t="s">
        <v>2296</v>
      </c>
      <c r="B1543" t="s">
        <v>126</v>
      </c>
      <c r="C1543" t="s">
        <v>311</v>
      </c>
      <c r="D1543" t="s">
        <v>46</v>
      </c>
      <c r="E1543" t="s">
        <v>47</v>
      </c>
      <c r="F1543" t="s">
        <v>48</v>
      </c>
      <c r="G1543" t="s">
        <v>63</v>
      </c>
      <c r="H1543">
        <v>519</v>
      </c>
      <c r="I1543">
        <v>30</v>
      </c>
      <c r="J1543">
        <v>30</v>
      </c>
      <c r="K1543" t="s">
        <v>29</v>
      </c>
      <c r="L1543">
        <v>46</v>
      </c>
      <c r="M1543" t="s">
        <v>21</v>
      </c>
      <c r="N1543">
        <f>COUNTIF(order_data[Order_ID],order_data[[#This Row],[Order_ID]])</f>
        <v>1</v>
      </c>
      <c r="O1543">
        <f>order_data[[#This Row],[Order_Value]]-order_data[[#This Row],[Discount]]</f>
        <v>489</v>
      </c>
      <c r="P1543">
        <f>order_data[[#This Row],[Order_Value]]+order_data[[#This Row],[Delivery_Fee]]-order_data[[#This Row],[Discount]]</f>
        <v>519</v>
      </c>
      <c r="Q1543" t="str">
        <f>TEXT(order_data[[#This Row],[Order_Date]],"mmm")</f>
        <v>Mar</v>
      </c>
      <c r="R1543">
        <f>MONTH(order_data[[#This Row],[Order_Date]])</f>
        <v>3</v>
      </c>
    </row>
    <row r="1544" spans="1:18" x14ac:dyDescent="0.35">
      <c r="A1544" t="s">
        <v>2297</v>
      </c>
      <c r="B1544" t="s">
        <v>136</v>
      </c>
      <c r="C1544" t="s">
        <v>549</v>
      </c>
      <c r="D1544" t="s">
        <v>25</v>
      </c>
      <c r="E1544" t="s">
        <v>34</v>
      </c>
      <c r="F1544" t="s">
        <v>27</v>
      </c>
      <c r="G1544" t="s">
        <v>28</v>
      </c>
      <c r="H1544">
        <v>428</v>
      </c>
      <c r="I1544">
        <v>30</v>
      </c>
      <c r="J1544">
        <v>50</v>
      </c>
      <c r="K1544" t="s">
        <v>36</v>
      </c>
      <c r="L1544">
        <v>50</v>
      </c>
      <c r="M1544" t="s">
        <v>21</v>
      </c>
      <c r="N1544">
        <f>COUNTIF(order_data[Order_ID],order_data[[#This Row],[Order_ID]])</f>
        <v>1</v>
      </c>
      <c r="O1544">
        <f>order_data[[#This Row],[Order_Value]]-order_data[[#This Row],[Discount]]</f>
        <v>378</v>
      </c>
      <c r="P1544">
        <f>order_data[[#This Row],[Order_Value]]+order_data[[#This Row],[Delivery_Fee]]-order_data[[#This Row],[Discount]]</f>
        <v>408</v>
      </c>
      <c r="Q1544" t="str">
        <f>TEXT(order_data[[#This Row],[Order_Date]],"mmm")</f>
        <v>Feb</v>
      </c>
      <c r="R1544">
        <f>MONTH(order_data[[#This Row],[Order_Date]])</f>
        <v>2</v>
      </c>
    </row>
    <row r="1545" spans="1:18" x14ac:dyDescent="0.35">
      <c r="A1545" t="s">
        <v>2298</v>
      </c>
      <c r="B1545" t="s">
        <v>562</v>
      </c>
      <c r="C1545" t="s">
        <v>1423</v>
      </c>
      <c r="D1545" t="s">
        <v>25</v>
      </c>
      <c r="E1545" t="s">
        <v>26</v>
      </c>
      <c r="F1545" t="s">
        <v>27</v>
      </c>
      <c r="G1545" t="s">
        <v>49</v>
      </c>
      <c r="H1545">
        <v>764</v>
      </c>
      <c r="I1545">
        <v>20</v>
      </c>
      <c r="J1545">
        <v>100</v>
      </c>
      <c r="K1545" t="s">
        <v>20</v>
      </c>
      <c r="L1545">
        <v>24</v>
      </c>
      <c r="M1545" t="s">
        <v>21</v>
      </c>
      <c r="N1545">
        <f>COUNTIF(order_data[Order_ID],order_data[[#This Row],[Order_ID]])</f>
        <v>1</v>
      </c>
      <c r="O1545">
        <f>order_data[[#This Row],[Order_Value]]-order_data[[#This Row],[Discount]]</f>
        <v>664</v>
      </c>
      <c r="P1545">
        <f>order_data[[#This Row],[Order_Value]]+order_data[[#This Row],[Delivery_Fee]]-order_data[[#This Row],[Discount]]</f>
        <v>684</v>
      </c>
      <c r="Q1545" t="str">
        <f>TEXT(order_data[[#This Row],[Order_Date]],"mmm")</f>
        <v>Feb</v>
      </c>
      <c r="R1545">
        <f>MONTH(order_data[[#This Row],[Order_Date]])</f>
        <v>2</v>
      </c>
    </row>
    <row r="1546" spans="1:18" x14ac:dyDescent="0.35">
      <c r="A1546" t="s">
        <v>2299</v>
      </c>
      <c r="B1546" t="s">
        <v>286</v>
      </c>
      <c r="C1546" t="s">
        <v>648</v>
      </c>
      <c r="D1546" t="s">
        <v>40</v>
      </c>
      <c r="E1546" t="s">
        <v>41</v>
      </c>
      <c r="F1546" t="s">
        <v>27</v>
      </c>
      <c r="G1546" t="s">
        <v>59</v>
      </c>
      <c r="H1546">
        <v>646</v>
      </c>
      <c r="I1546">
        <v>50</v>
      </c>
      <c r="J1546">
        <v>20</v>
      </c>
      <c r="K1546" t="s">
        <v>29</v>
      </c>
      <c r="L1546">
        <v>49</v>
      </c>
      <c r="M1546" t="s">
        <v>30</v>
      </c>
      <c r="N1546">
        <f>COUNTIF(order_data[Order_ID],order_data[[#This Row],[Order_ID]])</f>
        <v>1</v>
      </c>
      <c r="O1546">
        <f>order_data[[#This Row],[Order_Value]]-order_data[[#This Row],[Discount]]</f>
        <v>626</v>
      </c>
      <c r="P1546">
        <f>order_data[[#This Row],[Order_Value]]+order_data[[#This Row],[Delivery_Fee]]-order_data[[#This Row],[Discount]]</f>
        <v>676</v>
      </c>
      <c r="Q1546" t="str">
        <f>TEXT(order_data[[#This Row],[Order_Date]],"mmm")</f>
        <v>Mar</v>
      </c>
      <c r="R1546">
        <f>MONTH(order_data[[#This Row],[Order_Date]])</f>
        <v>3</v>
      </c>
    </row>
    <row r="1547" spans="1:18" x14ac:dyDescent="0.35">
      <c r="A1547" t="s">
        <v>2300</v>
      </c>
      <c r="B1547" t="s">
        <v>297</v>
      </c>
      <c r="C1547" t="s">
        <v>250</v>
      </c>
      <c r="D1547" t="s">
        <v>16</v>
      </c>
      <c r="E1547" t="s">
        <v>131</v>
      </c>
      <c r="F1547" t="s">
        <v>55</v>
      </c>
      <c r="G1547" t="s">
        <v>176</v>
      </c>
      <c r="H1547">
        <v>220</v>
      </c>
      <c r="I1547">
        <v>20</v>
      </c>
      <c r="J1547">
        <v>20</v>
      </c>
      <c r="K1547" t="s">
        <v>36</v>
      </c>
      <c r="L1547">
        <v>45</v>
      </c>
      <c r="M1547" t="s">
        <v>21</v>
      </c>
      <c r="N1547">
        <f>COUNTIF(order_data[Order_ID],order_data[[#This Row],[Order_ID]])</f>
        <v>1</v>
      </c>
      <c r="O1547">
        <f>order_data[[#This Row],[Order_Value]]-order_data[[#This Row],[Discount]]</f>
        <v>200</v>
      </c>
      <c r="P1547">
        <f>order_data[[#This Row],[Order_Value]]+order_data[[#This Row],[Delivery_Fee]]-order_data[[#This Row],[Discount]]</f>
        <v>220</v>
      </c>
      <c r="Q1547" t="str">
        <f>TEXT(order_data[[#This Row],[Order_Date]],"mmm")</f>
        <v>Feb</v>
      </c>
      <c r="R1547">
        <f>MONTH(order_data[[#This Row],[Order_Date]])</f>
        <v>2</v>
      </c>
    </row>
    <row r="1548" spans="1:18" x14ac:dyDescent="0.35">
      <c r="A1548" t="s">
        <v>2301</v>
      </c>
      <c r="B1548" t="s">
        <v>413</v>
      </c>
      <c r="C1548" t="s">
        <v>765</v>
      </c>
      <c r="D1548" t="s">
        <v>46</v>
      </c>
      <c r="E1548" t="s">
        <v>70</v>
      </c>
      <c r="F1548" t="s">
        <v>18</v>
      </c>
      <c r="G1548" t="s">
        <v>176</v>
      </c>
      <c r="H1548">
        <v>189</v>
      </c>
      <c r="I1548">
        <v>40</v>
      </c>
      <c r="J1548">
        <v>0</v>
      </c>
      <c r="K1548" t="s">
        <v>29</v>
      </c>
      <c r="L1548">
        <v>38</v>
      </c>
      <c r="M1548" t="s">
        <v>30</v>
      </c>
      <c r="N1548">
        <f>COUNTIF(order_data[Order_ID],order_data[[#This Row],[Order_ID]])</f>
        <v>1</v>
      </c>
      <c r="O1548">
        <f>order_data[[#This Row],[Order_Value]]-order_data[[#This Row],[Discount]]</f>
        <v>189</v>
      </c>
      <c r="P1548">
        <f>order_data[[#This Row],[Order_Value]]+order_data[[#This Row],[Delivery_Fee]]-order_data[[#This Row],[Discount]]</f>
        <v>229</v>
      </c>
      <c r="Q1548" t="str">
        <f>TEXT(order_data[[#This Row],[Order_Date]],"mmm")</f>
        <v>Mar</v>
      </c>
      <c r="R1548">
        <f>MONTH(order_data[[#This Row],[Order_Date]])</f>
        <v>3</v>
      </c>
    </row>
    <row r="1549" spans="1:18" x14ac:dyDescent="0.35">
      <c r="A1549" t="s">
        <v>2302</v>
      </c>
      <c r="B1549" t="s">
        <v>326</v>
      </c>
      <c r="C1549" t="s">
        <v>1162</v>
      </c>
      <c r="D1549" t="s">
        <v>40</v>
      </c>
      <c r="E1549" t="s">
        <v>111</v>
      </c>
      <c r="F1549" t="s">
        <v>18</v>
      </c>
      <c r="G1549" t="s">
        <v>49</v>
      </c>
      <c r="H1549">
        <v>236</v>
      </c>
      <c r="I1549">
        <v>50</v>
      </c>
      <c r="J1549">
        <v>100</v>
      </c>
      <c r="K1549" t="s">
        <v>20</v>
      </c>
      <c r="L1549">
        <v>27</v>
      </c>
      <c r="M1549" t="s">
        <v>21</v>
      </c>
      <c r="N1549">
        <f>COUNTIF(order_data[Order_ID],order_data[[#This Row],[Order_ID]])</f>
        <v>1</v>
      </c>
      <c r="O1549">
        <f>order_data[[#This Row],[Order_Value]]-order_data[[#This Row],[Discount]]</f>
        <v>136</v>
      </c>
      <c r="P1549">
        <f>order_data[[#This Row],[Order_Value]]+order_data[[#This Row],[Delivery_Fee]]-order_data[[#This Row],[Discount]]</f>
        <v>186</v>
      </c>
      <c r="Q1549" t="str">
        <f>TEXT(order_data[[#This Row],[Order_Date]],"mmm")</f>
        <v>Mar</v>
      </c>
      <c r="R1549">
        <f>MONTH(order_data[[#This Row],[Order_Date]])</f>
        <v>3</v>
      </c>
    </row>
    <row r="1550" spans="1:18" x14ac:dyDescent="0.35">
      <c r="A1550" t="s">
        <v>2303</v>
      </c>
      <c r="B1550" t="s">
        <v>192</v>
      </c>
      <c r="C1550" t="s">
        <v>2148</v>
      </c>
      <c r="D1550" t="s">
        <v>53</v>
      </c>
      <c r="E1550" t="s">
        <v>152</v>
      </c>
      <c r="F1550" t="s">
        <v>18</v>
      </c>
      <c r="G1550" t="s">
        <v>74</v>
      </c>
      <c r="H1550">
        <v>567</v>
      </c>
      <c r="I1550">
        <v>50</v>
      </c>
      <c r="J1550">
        <v>50</v>
      </c>
      <c r="K1550" t="s">
        <v>20</v>
      </c>
      <c r="L1550">
        <v>27</v>
      </c>
      <c r="M1550" t="s">
        <v>21</v>
      </c>
      <c r="N1550">
        <f>COUNTIF(order_data[Order_ID],order_data[[#This Row],[Order_ID]])</f>
        <v>1</v>
      </c>
      <c r="O1550">
        <f>order_data[[#This Row],[Order_Value]]-order_data[[#This Row],[Discount]]</f>
        <v>517</v>
      </c>
      <c r="P1550">
        <f>order_data[[#This Row],[Order_Value]]+order_data[[#This Row],[Delivery_Fee]]-order_data[[#This Row],[Discount]]</f>
        <v>567</v>
      </c>
      <c r="Q1550" t="str">
        <f>TEXT(order_data[[#This Row],[Order_Date]],"mmm")</f>
        <v>Mar</v>
      </c>
      <c r="R1550">
        <f>MONTH(order_data[[#This Row],[Order_Date]])</f>
        <v>3</v>
      </c>
    </row>
    <row r="1551" spans="1:18" x14ac:dyDescent="0.35">
      <c r="A1551" t="s">
        <v>2304</v>
      </c>
      <c r="B1551" t="s">
        <v>154</v>
      </c>
      <c r="C1551" t="s">
        <v>1687</v>
      </c>
      <c r="D1551" t="s">
        <v>53</v>
      </c>
      <c r="E1551" t="s">
        <v>84</v>
      </c>
      <c r="F1551" t="s">
        <v>85</v>
      </c>
      <c r="G1551" t="s">
        <v>176</v>
      </c>
      <c r="H1551">
        <v>210</v>
      </c>
      <c r="I1551">
        <v>40</v>
      </c>
      <c r="J1551">
        <v>0</v>
      </c>
      <c r="K1551" t="s">
        <v>36</v>
      </c>
      <c r="L1551">
        <v>50</v>
      </c>
      <c r="M1551" t="s">
        <v>21</v>
      </c>
      <c r="N1551">
        <f>COUNTIF(order_data[Order_ID],order_data[[#This Row],[Order_ID]])</f>
        <v>1</v>
      </c>
      <c r="O1551">
        <f>order_data[[#This Row],[Order_Value]]-order_data[[#This Row],[Discount]]</f>
        <v>210</v>
      </c>
      <c r="P1551">
        <f>order_data[[#This Row],[Order_Value]]+order_data[[#This Row],[Delivery_Fee]]-order_data[[#This Row],[Discount]]</f>
        <v>250</v>
      </c>
      <c r="Q1551" t="str">
        <f>TEXT(order_data[[#This Row],[Order_Date]],"mmm")</f>
        <v>Jan</v>
      </c>
      <c r="R1551">
        <f>MONTH(order_data[[#This Row],[Order_Date]])</f>
        <v>1</v>
      </c>
    </row>
    <row r="1552" spans="1:18" x14ac:dyDescent="0.35">
      <c r="A1552" t="s">
        <v>2305</v>
      </c>
      <c r="B1552" t="s">
        <v>199</v>
      </c>
      <c r="C1552" t="s">
        <v>560</v>
      </c>
      <c r="D1552" t="s">
        <v>46</v>
      </c>
      <c r="E1552" t="s">
        <v>70</v>
      </c>
      <c r="F1552" t="s">
        <v>18</v>
      </c>
      <c r="G1552" t="s">
        <v>107</v>
      </c>
      <c r="H1552">
        <v>648</v>
      </c>
      <c r="I1552">
        <v>40</v>
      </c>
      <c r="J1552">
        <v>100</v>
      </c>
      <c r="K1552" t="s">
        <v>29</v>
      </c>
      <c r="L1552">
        <v>45</v>
      </c>
      <c r="M1552" t="s">
        <v>21</v>
      </c>
      <c r="N1552">
        <f>COUNTIF(order_data[Order_ID],order_data[[#This Row],[Order_ID]])</f>
        <v>1</v>
      </c>
      <c r="O1552">
        <f>order_data[[#This Row],[Order_Value]]-order_data[[#This Row],[Discount]]</f>
        <v>548</v>
      </c>
      <c r="P1552">
        <f>order_data[[#This Row],[Order_Value]]+order_data[[#This Row],[Delivery_Fee]]-order_data[[#This Row],[Discount]]</f>
        <v>588</v>
      </c>
      <c r="Q1552" t="str">
        <f>TEXT(order_data[[#This Row],[Order_Date]],"mmm")</f>
        <v>Jan</v>
      </c>
      <c r="R1552">
        <f>MONTH(order_data[[#This Row],[Order_Date]])</f>
        <v>1</v>
      </c>
    </row>
    <row r="1553" spans="1:18" x14ac:dyDescent="0.35">
      <c r="A1553" t="s">
        <v>2306</v>
      </c>
      <c r="B1553" t="s">
        <v>181</v>
      </c>
      <c r="C1553" t="s">
        <v>480</v>
      </c>
      <c r="D1553" t="s">
        <v>40</v>
      </c>
      <c r="E1553" t="s">
        <v>67</v>
      </c>
      <c r="F1553" t="s">
        <v>48</v>
      </c>
      <c r="G1553" t="s">
        <v>107</v>
      </c>
      <c r="H1553">
        <v>682</v>
      </c>
      <c r="I1553">
        <v>30</v>
      </c>
      <c r="J1553">
        <v>50</v>
      </c>
      <c r="K1553" t="s">
        <v>20</v>
      </c>
      <c r="L1553">
        <v>49</v>
      </c>
      <c r="M1553" t="s">
        <v>30</v>
      </c>
      <c r="N1553">
        <f>COUNTIF(order_data[Order_ID],order_data[[#This Row],[Order_ID]])</f>
        <v>1</v>
      </c>
      <c r="O1553">
        <f>order_data[[#This Row],[Order_Value]]-order_data[[#This Row],[Discount]]</f>
        <v>632</v>
      </c>
      <c r="P1553">
        <f>order_data[[#This Row],[Order_Value]]+order_data[[#This Row],[Delivery_Fee]]-order_data[[#This Row],[Discount]]</f>
        <v>662</v>
      </c>
      <c r="Q1553" t="str">
        <f>TEXT(order_data[[#This Row],[Order_Date]],"mmm")</f>
        <v>Feb</v>
      </c>
      <c r="R1553">
        <f>MONTH(order_data[[#This Row],[Order_Date]])</f>
        <v>2</v>
      </c>
    </row>
    <row r="1554" spans="1:18" x14ac:dyDescent="0.35">
      <c r="A1554" t="s">
        <v>2307</v>
      </c>
      <c r="B1554" t="s">
        <v>189</v>
      </c>
      <c r="C1554" t="s">
        <v>1256</v>
      </c>
      <c r="D1554" t="s">
        <v>40</v>
      </c>
      <c r="E1554" t="s">
        <v>111</v>
      </c>
      <c r="F1554" t="s">
        <v>18</v>
      </c>
      <c r="G1554" t="s">
        <v>19</v>
      </c>
      <c r="H1554">
        <v>564</v>
      </c>
      <c r="I1554">
        <v>40</v>
      </c>
      <c r="J1554">
        <v>0</v>
      </c>
      <c r="K1554" t="s">
        <v>20</v>
      </c>
      <c r="L1554">
        <v>39</v>
      </c>
      <c r="M1554" t="s">
        <v>21</v>
      </c>
      <c r="N1554">
        <f>COUNTIF(order_data[Order_ID],order_data[[#This Row],[Order_ID]])</f>
        <v>1</v>
      </c>
      <c r="O1554">
        <f>order_data[[#This Row],[Order_Value]]-order_data[[#This Row],[Discount]]</f>
        <v>564</v>
      </c>
      <c r="P1554">
        <f>order_data[[#This Row],[Order_Value]]+order_data[[#This Row],[Delivery_Fee]]-order_data[[#This Row],[Discount]]</f>
        <v>604</v>
      </c>
      <c r="Q1554" t="str">
        <f>TEXT(order_data[[#This Row],[Order_Date]],"mmm")</f>
        <v>Feb</v>
      </c>
      <c r="R1554">
        <f>MONTH(order_data[[#This Row],[Order_Date]])</f>
        <v>2</v>
      </c>
    </row>
    <row r="1555" spans="1:18" x14ac:dyDescent="0.35">
      <c r="A1555" t="s">
        <v>2308</v>
      </c>
      <c r="B1555" t="s">
        <v>113</v>
      </c>
      <c r="C1555" t="s">
        <v>471</v>
      </c>
      <c r="D1555" t="s">
        <v>16</v>
      </c>
      <c r="E1555" t="s">
        <v>89</v>
      </c>
      <c r="F1555" t="s">
        <v>18</v>
      </c>
      <c r="G1555" t="s">
        <v>42</v>
      </c>
      <c r="H1555">
        <v>543</v>
      </c>
      <c r="I1555">
        <v>20</v>
      </c>
      <c r="J1555">
        <v>0</v>
      </c>
      <c r="K1555" t="s">
        <v>36</v>
      </c>
      <c r="L1555">
        <v>39</v>
      </c>
      <c r="M1555" t="s">
        <v>21</v>
      </c>
      <c r="N1555">
        <f>COUNTIF(order_data[Order_ID],order_data[[#This Row],[Order_ID]])</f>
        <v>1</v>
      </c>
      <c r="O1555">
        <f>order_data[[#This Row],[Order_Value]]-order_data[[#This Row],[Discount]]</f>
        <v>543</v>
      </c>
      <c r="P1555">
        <f>order_data[[#This Row],[Order_Value]]+order_data[[#This Row],[Delivery_Fee]]-order_data[[#This Row],[Discount]]</f>
        <v>563</v>
      </c>
      <c r="Q1555" t="str">
        <f>TEXT(order_data[[#This Row],[Order_Date]],"mmm")</f>
        <v>Mar</v>
      </c>
      <c r="R1555">
        <f>MONTH(order_data[[#This Row],[Order_Date]])</f>
        <v>3</v>
      </c>
    </row>
    <row r="1556" spans="1:18" x14ac:dyDescent="0.35">
      <c r="A1556" t="s">
        <v>2309</v>
      </c>
      <c r="B1556" t="s">
        <v>322</v>
      </c>
      <c r="C1556" t="s">
        <v>1081</v>
      </c>
      <c r="D1556" t="s">
        <v>40</v>
      </c>
      <c r="E1556" t="s">
        <v>111</v>
      </c>
      <c r="F1556" t="s">
        <v>18</v>
      </c>
      <c r="G1556" t="s">
        <v>63</v>
      </c>
      <c r="H1556">
        <v>398</v>
      </c>
      <c r="I1556">
        <v>50</v>
      </c>
      <c r="J1556">
        <v>20</v>
      </c>
      <c r="K1556" t="s">
        <v>20</v>
      </c>
      <c r="L1556">
        <v>51</v>
      </c>
      <c r="M1556" t="s">
        <v>21</v>
      </c>
      <c r="N1556">
        <f>COUNTIF(order_data[Order_ID],order_data[[#This Row],[Order_ID]])</f>
        <v>1</v>
      </c>
      <c r="O1556">
        <f>order_data[[#This Row],[Order_Value]]-order_data[[#This Row],[Discount]]</f>
        <v>378</v>
      </c>
      <c r="P1556">
        <f>order_data[[#This Row],[Order_Value]]+order_data[[#This Row],[Delivery_Fee]]-order_data[[#This Row],[Discount]]</f>
        <v>428</v>
      </c>
      <c r="Q1556" t="str">
        <f>TEXT(order_data[[#This Row],[Order_Date]],"mmm")</f>
        <v>Jan</v>
      </c>
      <c r="R1556">
        <f>MONTH(order_data[[#This Row],[Order_Date]])</f>
        <v>1</v>
      </c>
    </row>
    <row r="1557" spans="1:18" x14ac:dyDescent="0.35">
      <c r="A1557" t="s">
        <v>2310</v>
      </c>
      <c r="B1557" t="s">
        <v>150</v>
      </c>
      <c r="C1557" t="s">
        <v>141</v>
      </c>
      <c r="D1557" t="s">
        <v>25</v>
      </c>
      <c r="E1557" t="s">
        <v>34</v>
      </c>
      <c r="F1557" t="s">
        <v>27</v>
      </c>
      <c r="G1557" t="s">
        <v>176</v>
      </c>
      <c r="H1557">
        <v>213</v>
      </c>
      <c r="I1557">
        <v>30</v>
      </c>
      <c r="J1557">
        <v>30</v>
      </c>
      <c r="K1557" t="s">
        <v>36</v>
      </c>
      <c r="L1557">
        <v>33</v>
      </c>
      <c r="M1557" t="s">
        <v>21</v>
      </c>
      <c r="N1557">
        <f>COUNTIF(order_data[Order_ID],order_data[[#This Row],[Order_ID]])</f>
        <v>1</v>
      </c>
      <c r="O1557">
        <f>order_data[[#This Row],[Order_Value]]-order_data[[#This Row],[Discount]]</f>
        <v>183</v>
      </c>
      <c r="P1557">
        <f>order_data[[#This Row],[Order_Value]]+order_data[[#This Row],[Delivery_Fee]]-order_data[[#This Row],[Discount]]</f>
        <v>213</v>
      </c>
      <c r="Q1557" t="str">
        <f>TEXT(order_data[[#This Row],[Order_Date]],"mmm")</f>
        <v>Feb</v>
      </c>
      <c r="R1557">
        <f>MONTH(order_data[[#This Row],[Order_Date]])</f>
        <v>2</v>
      </c>
    </row>
    <row r="1558" spans="1:18" x14ac:dyDescent="0.35">
      <c r="A1558" t="s">
        <v>2311</v>
      </c>
      <c r="B1558" t="s">
        <v>121</v>
      </c>
      <c r="C1558" t="s">
        <v>1521</v>
      </c>
      <c r="D1558" t="s">
        <v>25</v>
      </c>
      <c r="E1558" t="s">
        <v>34</v>
      </c>
      <c r="F1558" t="s">
        <v>27</v>
      </c>
      <c r="G1558" t="s">
        <v>19</v>
      </c>
      <c r="H1558">
        <v>211</v>
      </c>
      <c r="I1558">
        <v>50</v>
      </c>
      <c r="J1558">
        <v>20</v>
      </c>
      <c r="K1558" t="s">
        <v>36</v>
      </c>
      <c r="L1558">
        <v>56</v>
      </c>
      <c r="M1558" t="s">
        <v>21</v>
      </c>
      <c r="N1558">
        <f>COUNTIF(order_data[Order_ID],order_data[[#This Row],[Order_ID]])</f>
        <v>1</v>
      </c>
      <c r="O1558">
        <f>order_data[[#This Row],[Order_Value]]-order_data[[#This Row],[Discount]]</f>
        <v>191</v>
      </c>
      <c r="P1558">
        <f>order_data[[#This Row],[Order_Value]]+order_data[[#This Row],[Delivery_Fee]]-order_data[[#This Row],[Discount]]</f>
        <v>241</v>
      </c>
      <c r="Q1558" t="str">
        <f>TEXT(order_data[[#This Row],[Order_Date]],"mmm")</f>
        <v>Feb</v>
      </c>
      <c r="R1558">
        <f>MONTH(order_data[[#This Row],[Order_Date]])</f>
        <v>2</v>
      </c>
    </row>
    <row r="1559" spans="1:18" x14ac:dyDescent="0.35">
      <c r="A1559" t="s">
        <v>2312</v>
      </c>
      <c r="B1559" t="s">
        <v>368</v>
      </c>
      <c r="C1559" t="s">
        <v>1170</v>
      </c>
      <c r="D1559" t="s">
        <v>40</v>
      </c>
      <c r="E1559" t="s">
        <v>41</v>
      </c>
      <c r="F1559" t="s">
        <v>27</v>
      </c>
      <c r="G1559" t="s">
        <v>74</v>
      </c>
      <c r="H1559">
        <v>495</v>
      </c>
      <c r="I1559">
        <v>50</v>
      </c>
      <c r="J1559">
        <v>50</v>
      </c>
      <c r="K1559" t="s">
        <v>36</v>
      </c>
      <c r="L1559">
        <v>35</v>
      </c>
      <c r="M1559" t="s">
        <v>21</v>
      </c>
      <c r="N1559">
        <f>COUNTIF(order_data[Order_ID],order_data[[#This Row],[Order_ID]])</f>
        <v>1</v>
      </c>
      <c r="O1559">
        <f>order_data[[#This Row],[Order_Value]]-order_data[[#This Row],[Discount]]</f>
        <v>445</v>
      </c>
      <c r="P1559">
        <f>order_data[[#This Row],[Order_Value]]+order_data[[#This Row],[Delivery_Fee]]-order_data[[#This Row],[Discount]]</f>
        <v>495</v>
      </c>
      <c r="Q1559" t="str">
        <f>TEXT(order_data[[#This Row],[Order_Date]],"mmm")</f>
        <v>Feb</v>
      </c>
      <c r="R1559">
        <f>MONTH(order_data[[#This Row],[Order_Date]])</f>
        <v>2</v>
      </c>
    </row>
    <row r="1560" spans="1:18" x14ac:dyDescent="0.35">
      <c r="A1560" t="s">
        <v>2313</v>
      </c>
      <c r="B1560" t="s">
        <v>365</v>
      </c>
      <c r="C1560" t="s">
        <v>895</v>
      </c>
      <c r="D1560" t="s">
        <v>25</v>
      </c>
      <c r="E1560" t="s">
        <v>78</v>
      </c>
      <c r="F1560" t="s">
        <v>48</v>
      </c>
      <c r="G1560" t="s">
        <v>107</v>
      </c>
      <c r="H1560">
        <v>560</v>
      </c>
      <c r="I1560">
        <v>30</v>
      </c>
      <c r="J1560">
        <v>20</v>
      </c>
      <c r="K1560" t="s">
        <v>36</v>
      </c>
      <c r="L1560">
        <v>23</v>
      </c>
      <c r="M1560" t="s">
        <v>21</v>
      </c>
      <c r="N1560">
        <f>COUNTIF(order_data[Order_ID],order_data[[#This Row],[Order_ID]])</f>
        <v>1</v>
      </c>
      <c r="O1560">
        <f>order_data[[#This Row],[Order_Value]]-order_data[[#This Row],[Discount]]</f>
        <v>540</v>
      </c>
      <c r="P1560">
        <f>order_data[[#This Row],[Order_Value]]+order_data[[#This Row],[Delivery_Fee]]-order_data[[#This Row],[Discount]]</f>
        <v>570</v>
      </c>
      <c r="Q1560" t="str">
        <f>TEXT(order_data[[#This Row],[Order_Date]],"mmm")</f>
        <v>Jan</v>
      </c>
      <c r="R1560">
        <f>MONTH(order_data[[#This Row],[Order_Date]])</f>
        <v>1</v>
      </c>
    </row>
    <row r="1561" spans="1:18" x14ac:dyDescent="0.35">
      <c r="A1561" t="s">
        <v>2314</v>
      </c>
      <c r="B1561" t="s">
        <v>252</v>
      </c>
      <c r="C1561" t="s">
        <v>606</v>
      </c>
      <c r="D1561" t="s">
        <v>40</v>
      </c>
      <c r="E1561" t="s">
        <v>67</v>
      </c>
      <c r="F1561" t="s">
        <v>48</v>
      </c>
      <c r="G1561" t="s">
        <v>59</v>
      </c>
      <c r="H1561">
        <v>693</v>
      </c>
      <c r="I1561">
        <v>20</v>
      </c>
      <c r="J1561">
        <v>20</v>
      </c>
      <c r="K1561" t="s">
        <v>29</v>
      </c>
      <c r="L1561">
        <v>24</v>
      </c>
      <c r="M1561" t="s">
        <v>21</v>
      </c>
      <c r="N1561">
        <f>COUNTIF(order_data[Order_ID],order_data[[#This Row],[Order_ID]])</f>
        <v>1</v>
      </c>
      <c r="O1561">
        <f>order_data[[#This Row],[Order_Value]]-order_data[[#This Row],[Discount]]</f>
        <v>673</v>
      </c>
      <c r="P1561">
        <f>order_data[[#This Row],[Order_Value]]+order_data[[#This Row],[Delivery_Fee]]-order_data[[#This Row],[Discount]]</f>
        <v>693</v>
      </c>
      <c r="Q1561" t="str">
        <f>TEXT(order_data[[#This Row],[Order_Date]],"mmm")</f>
        <v>Jan</v>
      </c>
      <c r="R1561">
        <f>MONTH(order_data[[#This Row],[Order_Date]])</f>
        <v>1</v>
      </c>
    </row>
    <row r="1562" spans="1:18" x14ac:dyDescent="0.35">
      <c r="A1562" t="s">
        <v>2315</v>
      </c>
      <c r="B1562" t="s">
        <v>241</v>
      </c>
      <c r="C1562" t="s">
        <v>902</v>
      </c>
      <c r="D1562" t="s">
        <v>16</v>
      </c>
      <c r="E1562" t="s">
        <v>17</v>
      </c>
      <c r="F1562" t="s">
        <v>18</v>
      </c>
      <c r="G1562" t="s">
        <v>19</v>
      </c>
      <c r="H1562">
        <v>527</v>
      </c>
      <c r="I1562">
        <v>50</v>
      </c>
      <c r="J1562">
        <v>30</v>
      </c>
      <c r="K1562" t="s">
        <v>29</v>
      </c>
      <c r="L1562">
        <v>22</v>
      </c>
      <c r="M1562" t="s">
        <v>21</v>
      </c>
      <c r="N1562">
        <f>COUNTIF(order_data[Order_ID],order_data[[#This Row],[Order_ID]])</f>
        <v>1</v>
      </c>
      <c r="O1562">
        <f>order_data[[#This Row],[Order_Value]]-order_data[[#This Row],[Discount]]</f>
        <v>497</v>
      </c>
      <c r="P1562">
        <f>order_data[[#This Row],[Order_Value]]+order_data[[#This Row],[Delivery_Fee]]-order_data[[#This Row],[Discount]]</f>
        <v>547</v>
      </c>
      <c r="Q1562" t="str">
        <f>TEXT(order_data[[#This Row],[Order_Date]],"mmm")</f>
        <v>Mar</v>
      </c>
      <c r="R1562">
        <f>MONTH(order_data[[#This Row],[Order_Date]])</f>
        <v>3</v>
      </c>
    </row>
    <row r="1563" spans="1:18" x14ac:dyDescent="0.35">
      <c r="A1563" t="s">
        <v>2316</v>
      </c>
      <c r="B1563" t="s">
        <v>118</v>
      </c>
      <c r="C1563" t="s">
        <v>916</v>
      </c>
      <c r="D1563" t="s">
        <v>40</v>
      </c>
      <c r="E1563" t="s">
        <v>41</v>
      </c>
      <c r="F1563" t="s">
        <v>27</v>
      </c>
      <c r="G1563" t="s">
        <v>59</v>
      </c>
      <c r="H1563">
        <v>552</v>
      </c>
      <c r="I1563">
        <v>50</v>
      </c>
      <c r="J1563">
        <v>20</v>
      </c>
      <c r="K1563" t="s">
        <v>29</v>
      </c>
      <c r="L1563">
        <v>27</v>
      </c>
      <c r="M1563" t="s">
        <v>21</v>
      </c>
      <c r="N1563">
        <f>COUNTIF(order_data[Order_ID],order_data[[#This Row],[Order_ID]])</f>
        <v>1</v>
      </c>
      <c r="O1563">
        <f>order_data[[#This Row],[Order_Value]]-order_data[[#This Row],[Discount]]</f>
        <v>532</v>
      </c>
      <c r="P1563">
        <f>order_data[[#This Row],[Order_Value]]+order_data[[#This Row],[Delivery_Fee]]-order_data[[#This Row],[Discount]]</f>
        <v>582</v>
      </c>
      <c r="Q1563" t="str">
        <f>TEXT(order_data[[#This Row],[Order_Date]],"mmm")</f>
        <v>Mar</v>
      </c>
      <c r="R1563">
        <f>MONTH(order_data[[#This Row],[Order_Date]])</f>
        <v>3</v>
      </c>
    </row>
    <row r="1564" spans="1:18" x14ac:dyDescent="0.35">
      <c r="A1564" t="s">
        <v>2317</v>
      </c>
      <c r="B1564" t="s">
        <v>393</v>
      </c>
      <c r="C1564" t="s">
        <v>1396</v>
      </c>
      <c r="D1564" t="s">
        <v>16</v>
      </c>
      <c r="E1564" t="s">
        <v>131</v>
      </c>
      <c r="F1564" t="s">
        <v>55</v>
      </c>
      <c r="G1564" t="s">
        <v>63</v>
      </c>
      <c r="H1564">
        <v>241</v>
      </c>
      <c r="I1564">
        <v>50</v>
      </c>
      <c r="J1564">
        <v>50</v>
      </c>
      <c r="K1564" t="s">
        <v>20</v>
      </c>
      <c r="L1564">
        <v>43</v>
      </c>
      <c r="M1564" t="s">
        <v>21</v>
      </c>
      <c r="N1564">
        <f>COUNTIF(order_data[Order_ID],order_data[[#This Row],[Order_ID]])</f>
        <v>1</v>
      </c>
      <c r="O1564">
        <f>order_data[[#This Row],[Order_Value]]-order_data[[#This Row],[Discount]]</f>
        <v>191</v>
      </c>
      <c r="P1564">
        <f>order_data[[#This Row],[Order_Value]]+order_data[[#This Row],[Delivery_Fee]]-order_data[[#This Row],[Discount]]</f>
        <v>241</v>
      </c>
      <c r="Q1564" t="str">
        <f>TEXT(order_data[[#This Row],[Order_Date]],"mmm")</f>
        <v>Feb</v>
      </c>
      <c r="R1564">
        <f>MONTH(order_data[[#This Row],[Order_Date]])</f>
        <v>2</v>
      </c>
    </row>
    <row r="1565" spans="1:18" x14ac:dyDescent="0.35">
      <c r="A1565" t="s">
        <v>2318</v>
      </c>
      <c r="B1565" t="s">
        <v>51</v>
      </c>
      <c r="C1565" t="s">
        <v>587</v>
      </c>
      <c r="D1565" t="s">
        <v>25</v>
      </c>
      <c r="E1565" t="s">
        <v>78</v>
      </c>
      <c r="F1565" t="s">
        <v>48</v>
      </c>
      <c r="G1565" t="s">
        <v>74</v>
      </c>
      <c r="H1565">
        <v>621</v>
      </c>
      <c r="I1565">
        <v>20</v>
      </c>
      <c r="J1565">
        <v>30</v>
      </c>
      <c r="K1565" t="s">
        <v>29</v>
      </c>
      <c r="L1565">
        <v>26</v>
      </c>
      <c r="M1565" t="s">
        <v>30</v>
      </c>
      <c r="N1565">
        <f>COUNTIF(order_data[Order_ID],order_data[[#This Row],[Order_ID]])</f>
        <v>1</v>
      </c>
      <c r="O1565">
        <f>order_data[[#This Row],[Order_Value]]-order_data[[#This Row],[Discount]]</f>
        <v>591</v>
      </c>
      <c r="P1565">
        <f>order_data[[#This Row],[Order_Value]]+order_data[[#This Row],[Delivery_Fee]]-order_data[[#This Row],[Discount]]</f>
        <v>611</v>
      </c>
      <c r="Q1565" t="str">
        <f>TEXT(order_data[[#This Row],[Order_Date]],"mmm")</f>
        <v>Feb</v>
      </c>
      <c r="R1565">
        <f>MONTH(order_data[[#This Row],[Order_Date]])</f>
        <v>2</v>
      </c>
    </row>
    <row r="1566" spans="1:18" x14ac:dyDescent="0.35">
      <c r="A1566" t="s">
        <v>2319</v>
      </c>
      <c r="B1566" t="s">
        <v>14</v>
      </c>
      <c r="C1566" t="s">
        <v>77</v>
      </c>
      <c r="D1566" t="s">
        <v>46</v>
      </c>
      <c r="E1566" t="s">
        <v>47</v>
      </c>
      <c r="F1566" t="s">
        <v>48</v>
      </c>
      <c r="G1566" t="s">
        <v>59</v>
      </c>
      <c r="H1566">
        <v>570</v>
      </c>
      <c r="I1566">
        <v>40</v>
      </c>
      <c r="J1566">
        <v>20</v>
      </c>
      <c r="K1566" t="s">
        <v>36</v>
      </c>
      <c r="L1566">
        <v>55</v>
      </c>
      <c r="M1566" t="s">
        <v>21</v>
      </c>
      <c r="N1566">
        <f>COUNTIF(order_data[Order_ID],order_data[[#This Row],[Order_ID]])</f>
        <v>1</v>
      </c>
      <c r="O1566">
        <f>order_data[[#This Row],[Order_Value]]-order_data[[#This Row],[Discount]]</f>
        <v>550</v>
      </c>
      <c r="P1566">
        <f>order_data[[#This Row],[Order_Value]]+order_data[[#This Row],[Delivery_Fee]]-order_data[[#This Row],[Discount]]</f>
        <v>590</v>
      </c>
      <c r="Q1566" t="str">
        <f>TEXT(order_data[[#This Row],[Order_Date]],"mmm")</f>
        <v>Mar</v>
      </c>
      <c r="R1566">
        <f>MONTH(order_data[[#This Row],[Order_Date]])</f>
        <v>3</v>
      </c>
    </row>
    <row r="1567" spans="1:18" x14ac:dyDescent="0.35">
      <c r="A1567" t="s">
        <v>2320</v>
      </c>
      <c r="B1567" t="s">
        <v>118</v>
      </c>
      <c r="C1567" t="s">
        <v>1495</v>
      </c>
      <c r="D1567" t="s">
        <v>53</v>
      </c>
      <c r="E1567" t="s">
        <v>152</v>
      </c>
      <c r="F1567" t="s">
        <v>18</v>
      </c>
      <c r="G1567" t="s">
        <v>107</v>
      </c>
      <c r="H1567">
        <v>150</v>
      </c>
      <c r="I1567">
        <v>40</v>
      </c>
      <c r="J1567">
        <v>50</v>
      </c>
      <c r="K1567" t="s">
        <v>20</v>
      </c>
      <c r="L1567">
        <v>30</v>
      </c>
      <c r="M1567" t="s">
        <v>21</v>
      </c>
      <c r="N1567">
        <f>COUNTIF(order_data[Order_ID],order_data[[#This Row],[Order_ID]])</f>
        <v>1</v>
      </c>
      <c r="O1567">
        <f>order_data[[#This Row],[Order_Value]]-order_data[[#This Row],[Discount]]</f>
        <v>100</v>
      </c>
      <c r="P1567">
        <f>order_data[[#This Row],[Order_Value]]+order_data[[#This Row],[Delivery_Fee]]-order_data[[#This Row],[Discount]]</f>
        <v>140</v>
      </c>
      <c r="Q1567" t="str">
        <f>TEXT(order_data[[#This Row],[Order_Date]],"mmm")</f>
        <v>Mar</v>
      </c>
      <c r="R1567">
        <f>MONTH(order_data[[#This Row],[Order_Date]])</f>
        <v>3</v>
      </c>
    </row>
    <row r="1568" spans="1:18" x14ac:dyDescent="0.35">
      <c r="A1568" t="s">
        <v>2321</v>
      </c>
      <c r="B1568" t="s">
        <v>186</v>
      </c>
      <c r="C1568" t="s">
        <v>496</v>
      </c>
      <c r="D1568" t="s">
        <v>25</v>
      </c>
      <c r="E1568" t="s">
        <v>78</v>
      </c>
      <c r="F1568" t="s">
        <v>48</v>
      </c>
      <c r="G1568" t="s">
        <v>74</v>
      </c>
      <c r="H1568">
        <v>542</v>
      </c>
      <c r="I1568">
        <v>30</v>
      </c>
      <c r="J1568">
        <v>30</v>
      </c>
      <c r="K1568" t="s">
        <v>36</v>
      </c>
      <c r="L1568">
        <v>47</v>
      </c>
      <c r="M1568" t="s">
        <v>30</v>
      </c>
      <c r="N1568">
        <f>COUNTIF(order_data[Order_ID],order_data[[#This Row],[Order_ID]])</f>
        <v>1</v>
      </c>
      <c r="O1568">
        <f>order_data[[#This Row],[Order_Value]]-order_data[[#This Row],[Discount]]</f>
        <v>512</v>
      </c>
      <c r="P1568">
        <f>order_data[[#This Row],[Order_Value]]+order_data[[#This Row],[Delivery_Fee]]-order_data[[#This Row],[Discount]]</f>
        <v>542</v>
      </c>
      <c r="Q1568" t="str">
        <f>TEXT(order_data[[#This Row],[Order_Date]],"mmm")</f>
        <v>Mar</v>
      </c>
      <c r="R1568">
        <f>MONTH(order_data[[#This Row],[Order_Date]])</f>
        <v>3</v>
      </c>
    </row>
    <row r="1569" spans="1:18" x14ac:dyDescent="0.35">
      <c r="A1569" t="s">
        <v>2322</v>
      </c>
      <c r="B1569" t="s">
        <v>476</v>
      </c>
      <c r="C1569" t="s">
        <v>589</v>
      </c>
      <c r="D1569" t="s">
        <v>25</v>
      </c>
      <c r="E1569" t="s">
        <v>78</v>
      </c>
      <c r="F1569" t="s">
        <v>48</v>
      </c>
      <c r="G1569" t="s">
        <v>35</v>
      </c>
      <c r="H1569">
        <v>391</v>
      </c>
      <c r="I1569">
        <v>40</v>
      </c>
      <c r="J1569">
        <v>30</v>
      </c>
      <c r="K1569" t="s">
        <v>29</v>
      </c>
      <c r="L1569">
        <v>47</v>
      </c>
      <c r="M1569" t="s">
        <v>21</v>
      </c>
      <c r="N1569">
        <f>COUNTIF(order_data[Order_ID],order_data[[#This Row],[Order_ID]])</f>
        <v>1</v>
      </c>
      <c r="O1569">
        <f>order_data[[#This Row],[Order_Value]]-order_data[[#This Row],[Discount]]</f>
        <v>361</v>
      </c>
      <c r="P1569">
        <f>order_data[[#This Row],[Order_Value]]+order_data[[#This Row],[Delivery_Fee]]-order_data[[#This Row],[Discount]]</f>
        <v>401</v>
      </c>
      <c r="Q1569" t="str">
        <f>TEXT(order_data[[#This Row],[Order_Date]],"mmm")</f>
        <v>Jan</v>
      </c>
      <c r="R1569">
        <f>MONTH(order_data[[#This Row],[Order_Date]])</f>
        <v>1</v>
      </c>
    </row>
    <row r="1570" spans="1:18" x14ac:dyDescent="0.35">
      <c r="A1570" t="s">
        <v>2323</v>
      </c>
      <c r="B1570" t="s">
        <v>244</v>
      </c>
      <c r="C1570" t="s">
        <v>1334</v>
      </c>
      <c r="D1570" t="s">
        <v>16</v>
      </c>
      <c r="E1570" t="s">
        <v>89</v>
      </c>
      <c r="F1570" t="s">
        <v>18</v>
      </c>
      <c r="G1570" t="s">
        <v>74</v>
      </c>
      <c r="H1570">
        <v>318</v>
      </c>
      <c r="I1570">
        <v>20</v>
      </c>
      <c r="J1570">
        <v>50</v>
      </c>
      <c r="K1570" t="s">
        <v>29</v>
      </c>
      <c r="L1570">
        <v>56</v>
      </c>
      <c r="M1570" t="s">
        <v>21</v>
      </c>
      <c r="N1570">
        <f>COUNTIF(order_data[Order_ID],order_data[[#This Row],[Order_ID]])</f>
        <v>1</v>
      </c>
      <c r="O1570">
        <f>order_data[[#This Row],[Order_Value]]-order_data[[#This Row],[Discount]]</f>
        <v>268</v>
      </c>
      <c r="P1570">
        <f>order_data[[#This Row],[Order_Value]]+order_data[[#This Row],[Delivery_Fee]]-order_data[[#This Row],[Discount]]</f>
        <v>288</v>
      </c>
      <c r="Q1570" t="str">
        <f>TEXT(order_data[[#This Row],[Order_Date]],"mmm")</f>
        <v>Feb</v>
      </c>
      <c r="R1570">
        <f>MONTH(order_data[[#This Row],[Order_Date]])</f>
        <v>2</v>
      </c>
    </row>
    <row r="1571" spans="1:18" x14ac:dyDescent="0.35">
      <c r="A1571" t="s">
        <v>2324</v>
      </c>
      <c r="B1571" t="s">
        <v>476</v>
      </c>
      <c r="C1571" t="s">
        <v>589</v>
      </c>
      <c r="D1571" t="s">
        <v>40</v>
      </c>
      <c r="E1571" t="s">
        <v>67</v>
      </c>
      <c r="F1571" t="s">
        <v>48</v>
      </c>
      <c r="G1571" t="s">
        <v>28</v>
      </c>
      <c r="H1571">
        <v>188</v>
      </c>
      <c r="I1571">
        <v>20</v>
      </c>
      <c r="J1571">
        <v>30</v>
      </c>
      <c r="K1571" t="s">
        <v>36</v>
      </c>
      <c r="L1571">
        <v>24</v>
      </c>
      <c r="M1571" t="s">
        <v>21</v>
      </c>
      <c r="N1571">
        <f>COUNTIF(order_data[Order_ID],order_data[[#This Row],[Order_ID]])</f>
        <v>1</v>
      </c>
      <c r="O1571">
        <f>order_data[[#This Row],[Order_Value]]-order_data[[#This Row],[Discount]]</f>
        <v>158</v>
      </c>
      <c r="P1571">
        <f>order_data[[#This Row],[Order_Value]]+order_data[[#This Row],[Delivery_Fee]]-order_data[[#This Row],[Discount]]</f>
        <v>178</v>
      </c>
      <c r="Q1571" t="str">
        <f>TEXT(order_data[[#This Row],[Order_Date]],"mmm")</f>
        <v>Jan</v>
      </c>
      <c r="R1571">
        <f>MONTH(order_data[[#This Row],[Order_Date]])</f>
        <v>1</v>
      </c>
    </row>
    <row r="1572" spans="1:18" x14ac:dyDescent="0.35">
      <c r="A1572" t="s">
        <v>2325</v>
      </c>
      <c r="B1572" t="s">
        <v>189</v>
      </c>
      <c r="C1572" t="s">
        <v>2072</v>
      </c>
      <c r="D1572" t="s">
        <v>46</v>
      </c>
      <c r="E1572" t="s">
        <v>148</v>
      </c>
      <c r="F1572" t="s">
        <v>27</v>
      </c>
      <c r="G1572" t="s">
        <v>35</v>
      </c>
      <c r="H1572">
        <v>480</v>
      </c>
      <c r="I1572">
        <v>40</v>
      </c>
      <c r="J1572">
        <v>0</v>
      </c>
      <c r="K1572" t="s">
        <v>20</v>
      </c>
      <c r="L1572">
        <v>46</v>
      </c>
      <c r="M1572" t="s">
        <v>21</v>
      </c>
      <c r="N1572">
        <f>COUNTIF(order_data[Order_ID],order_data[[#This Row],[Order_ID]])</f>
        <v>1</v>
      </c>
      <c r="O1572">
        <f>order_data[[#This Row],[Order_Value]]-order_data[[#This Row],[Discount]]</f>
        <v>480</v>
      </c>
      <c r="P1572">
        <f>order_data[[#This Row],[Order_Value]]+order_data[[#This Row],[Delivery_Fee]]-order_data[[#This Row],[Discount]]</f>
        <v>520</v>
      </c>
      <c r="Q1572" t="str">
        <f>TEXT(order_data[[#This Row],[Order_Date]],"mmm")</f>
        <v>Feb</v>
      </c>
      <c r="R1572">
        <f>MONTH(order_data[[#This Row],[Order_Date]])</f>
        <v>2</v>
      </c>
    </row>
    <row r="1573" spans="1:18" x14ac:dyDescent="0.35">
      <c r="A1573" t="s">
        <v>2326</v>
      </c>
      <c r="B1573" t="s">
        <v>118</v>
      </c>
      <c r="C1573" t="s">
        <v>2327</v>
      </c>
      <c r="D1573" t="s">
        <v>25</v>
      </c>
      <c r="E1573" t="s">
        <v>78</v>
      </c>
      <c r="F1573" t="s">
        <v>48</v>
      </c>
      <c r="G1573" t="s">
        <v>35</v>
      </c>
      <c r="H1573">
        <v>452</v>
      </c>
      <c r="I1573">
        <v>40</v>
      </c>
      <c r="J1573">
        <v>0</v>
      </c>
      <c r="K1573" t="s">
        <v>20</v>
      </c>
      <c r="L1573">
        <v>34</v>
      </c>
      <c r="M1573" t="s">
        <v>30</v>
      </c>
      <c r="N1573">
        <f>COUNTIF(order_data[Order_ID],order_data[[#This Row],[Order_ID]])</f>
        <v>1</v>
      </c>
      <c r="O1573">
        <f>order_data[[#This Row],[Order_Value]]-order_data[[#This Row],[Discount]]</f>
        <v>452</v>
      </c>
      <c r="P1573">
        <f>order_data[[#This Row],[Order_Value]]+order_data[[#This Row],[Delivery_Fee]]-order_data[[#This Row],[Discount]]</f>
        <v>492</v>
      </c>
      <c r="Q1573" t="str">
        <f>TEXT(order_data[[#This Row],[Order_Date]],"mmm")</f>
        <v>Mar</v>
      </c>
      <c r="R1573">
        <f>MONTH(order_data[[#This Row],[Order_Date]])</f>
        <v>3</v>
      </c>
    </row>
    <row r="1574" spans="1:18" x14ac:dyDescent="0.35">
      <c r="A1574" t="s">
        <v>2328</v>
      </c>
      <c r="B1574" t="s">
        <v>133</v>
      </c>
      <c r="C1574" t="s">
        <v>259</v>
      </c>
      <c r="D1574" t="s">
        <v>46</v>
      </c>
      <c r="E1574" t="s">
        <v>47</v>
      </c>
      <c r="F1574" t="s">
        <v>48</v>
      </c>
      <c r="G1574" t="s">
        <v>42</v>
      </c>
      <c r="H1574">
        <v>195</v>
      </c>
      <c r="I1574">
        <v>30</v>
      </c>
      <c r="J1574">
        <v>20</v>
      </c>
      <c r="K1574" t="s">
        <v>20</v>
      </c>
      <c r="L1574">
        <v>59</v>
      </c>
      <c r="M1574" t="s">
        <v>30</v>
      </c>
      <c r="N1574">
        <f>COUNTIF(order_data[Order_ID],order_data[[#This Row],[Order_ID]])</f>
        <v>1</v>
      </c>
      <c r="O1574">
        <f>order_data[[#This Row],[Order_Value]]-order_data[[#This Row],[Discount]]</f>
        <v>175</v>
      </c>
      <c r="P1574">
        <f>order_data[[#This Row],[Order_Value]]+order_data[[#This Row],[Delivery_Fee]]-order_data[[#This Row],[Discount]]</f>
        <v>205</v>
      </c>
      <c r="Q1574" t="str">
        <f>TEXT(order_data[[#This Row],[Order_Date]],"mmm")</f>
        <v>Mar</v>
      </c>
      <c r="R1574">
        <f>MONTH(order_data[[#This Row],[Order_Date]])</f>
        <v>3</v>
      </c>
    </row>
    <row r="1575" spans="1:18" x14ac:dyDescent="0.35">
      <c r="A1575" t="s">
        <v>2329</v>
      </c>
      <c r="B1575" t="s">
        <v>181</v>
      </c>
      <c r="C1575" t="s">
        <v>644</v>
      </c>
      <c r="D1575" t="s">
        <v>16</v>
      </c>
      <c r="E1575" t="s">
        <v>131</v>
      </c>
      <c r="F1575" t="s">
        <v>55</v>
      </c>
      <c r="G1575" t="s">
        <v>74</v>
      </c>
      <c r="H1575">
        <v>332</v>
      </c>
      <c r="I1575">
        <v>30</v>
      </c>
      <c r="J1575">
        <v>20</v>
      </c>
      <c r="K1575" t="s">
        <v>29</v>
      </c>
      <c r="L1575">
        <v>57</v>
      </c>
      <c r="M1575" t="s">
        <v>21</v>
      </c>
      <c r="N1575">
        <f>COUNTIF(order_data[Order_ID],order_data[[#This Row],[Order_ID]])</f>
        <v>1</v>
      </c>
      <c r="O1575">
        <f>order_data[[#This Row],[Order_Value]]-order_data[[#This Row],[Discount]]</f>
        <v>312</v>
      </c>
      <c r="P1575">
        <f>order_data[[#This Row],[Order_Value]]+order_data[[#This Row],[Delivery_Fee]]-order_data[[#This Row],[Discount]]</f>
        <v>342</v>
      </c>
      <c r="Q1575" t="str">
        <f>TEXT(order_data[[#This Row],[Order_Date]],"mmm")</f>
        <v>Feb</v>
      </c>
      <c r="R1575">
        <f>MONTH(order_data[[#This Row],[Order_Date]])</f>
        <v>2</v>
      </c>
    </row>
    <row r="1576" spans="1:18" x14ac:dyDescent="0.35">
      <c r="A1576" t="s">
        <v>2330</v>
      </c>
      <c r="B1576" t="s">
        <v>252</v>
      </c>
      <c r="C1576" t="s">
        <v>163</v>
      </c>
      <c r="D1576" t="s">
        <v>25</v>
      </c>
      <c r="E1576" t="s">
        <v>34</v>
      </c>
      <c r="F1576" t="s">
        <v>27</v>
      </c>
      <c r="G1576" t="s">
        <v>49</v>
      </c>
      <c r="H1576">
        <v>284</v>
      </c>
      <c r="I1576">
        <v>40</v>
      </c>
      <c r="J1576">
        <v>20</v>
      </c>
      <c r="K1576" t="s">
        <v>36</v>
      </c>
      <c r="L1576">
        <v>53</v>
      </c>
      <c r="M1576" t="s">
        <v>21</v>
      </c>
      <c r="N1576">
        <f>COUNTIF(order_data[Order_ID],order_data[[#This Row],[Order_ID]])</f>
        <v>1</v>
      </c>
      <c r="O1576">
        <f>order_data[[#This Row],[Order_Value]]-order_data[[#This Row],[Discount]]</f>
        <v>264</v>
      </c>
      <c r="P1576">
        <f>order_data[[#This Row],[Order_Value]]+order_data[[#This Row],[Delivery_Fee]]-order_data[[#This Row],[Discount]]</f>
        <v>304</v>
      </c>
      <c r="Q1576" t="str">
        <f>TEXT(order_data[[#This Row],[Order_Date]],"mmm")</f>
        <v>Jan</v>
      </c>
      <c r="R1576">
        <f>MONTH(order_data[[#This Row],[Order_Date]])</f>
        <v>1</v>
      </c>
    </row>
    <row r="1577" spans="1:18" x14ac:dyDescent="0.35">
      <c r="A1577" t="s">
        <v>2331</v>
      </c>
      <c r="B1577" t="s">
        <v>329</v>
      </c>
      <c r="C1577" t="s">
        <v>2127</v>
      </c>
      <c r="D1577" t="s">
        <v>46</v>
      </c>
      <c r="E1577" t="s">
        <v>47</v>
      </c>
      <c r="F1577" t="s">
        <v>48</v>
      </c>
      <c r="G1577" t="s">
        <v>28</v>
      </c>
      <c r="H1577">
        <v>790</v>
      </c>
      <c r="I1577">
        <v>50</v>
      </c>
      <c r="J1577">
        <v>20</v>
      </c>
      <c r="K1577" t="s">
        <v>36</v>
      </c>
      <c r="L1577">
        <v>34</v>
      </c>
      <c r="M1577" t="s">
        <v>30</v>
      </c>
      <c r="N1577">
        <f>COUNTIF(order_data[Order_ID],order_data[[#This Row],[Order_ID]])</f>
        <v>1</v>
      </c>
      <c r="O1577">
        <f>order_data[[#This Row],[Order_Value]]-order_data[[#This Row],[Discount]]</f>
        <v>770</v>
      </c>
      <c r="P1577">
        <f>order_data[[#This Row],[Order_Value]]+order_data[[#This Row],[Delivery_Fee]]-order_data[[#This Row],[Discount]]</f>
        <v>820</v>
      </c>
      <c r="Q1577" t="str">
        <f>TEXT(order_data[[#This Row],[Order_Date]],"mmm")</f>
        <v>Mar</v>
      </c>
      <c r="R1577">
        <f>MONTH(order_data[[#This Row],[Order_Date]])</f>
        <v>3</v>
      </c>
    </row>
    <row r="1578" spans="1:18" x14ac:dyDescent="0.35">
      <c r="A1578" t="s">
        <v>2332</v>
      </c>
      <c r="B1578" t="s">
        <v>310</v>
      </c>
      <c r="C1578" t="s">
        <v>810</v>
      </c>
      <c r="D1578" t="s">
        <v>16</v>
      </c>
      <c r="E1578" t="s">
        <v>131</v>
      </c>
      <c r="F1578" t="s">
        <v>55</v>
      </c>
      <c r="G1578" t="s">
        <v>42</v>
      </c>
      <c r="H1578">
        <v>409</v>
      </c>
      <c r="I1578">
        <v>50</v>
      </c>
      <c r="J1578">
        <v>0</v>
      </c>
      <c r="K1578" t="s">
        <v>36</v>
      </c>
      <c r="L1578">
        <v>29</v>
      </c>
      <c r="M1578" t="s">
        <v>21</v>
      </c>
      <c r="N1578">
        <f>COUNTIF(order_data[Order_ID],order_data[[#This Row],[Order_ID]])</f>
        <v>1</v>
      </c>
      <c r="O1578">
        <f>order_data[[#This Row],[Order_Value]]-order_data[[#This Row],[Discount]]</f>
        <v>409</v>
      </c>
      <c r="P1578">
        <f>order_data[[#This Row],[Order_Value]]+order_data[[#This Row],[Delivery_Fee]]-order_data[[#This Row],[Discount]]</f>
        <v>459</v>
      </c>
      <c r="Q1578" t="str">
        <f>TEXT(order_data[[#This Row],[Order_Date]],"mmm")</f>
        <v>Feb</v>
      </c>
      <c r="R1578">
        <f>MONTH(order_data[[#This Row],[Order_Date]])</f>
        <v>2</v>
      </c>
    </row>
    <row r="1579" spans="1:18" x14ac:dyDescent="0.35">
      <c r="A1579" t="s">
        <v>2333</v>
      </c>
      <c r="B1579" t="s">
        <v>393</v>
      </c>
      <c r="C1579" t="s">
        <v>100</v>
      </c>
      <c r="D1579" t="s">
        <v>46</v>
      </c>
      <c r="E1579" t="s">
        <v>47</v>
      </c>
      <c r="F1579" t="s">
        <v>48</v>
      </c>
      <c r="G1579" t="s">
        <v>28</v>
      </c>
      <c r="H1579">
        <v>335</v>
      </c>
      <c r="I1579">
        <v>30</v>
      </c>
      <c r="J1579">
        <v>100</v>
      </c>
      <c r="K1579" t="s">
        <v>29</v>
      </c>
      <c r="L1579">
        <v>59</v>
      </c>
      <c r="M1579" t="s">
        <v>30</v>
      </c>
      <c r="N1579">
        <f>COUNTIF(order_data[Order_ID],order_data[[#This Row],[Order_ID]])</f>
        <v>1</v>
      </c>
      <c r="O1579">
        <f>order_data[[#This Row],[Order_Value]]-order_data[[#This Row],[Discount]]</f>
        <v>235</v>
      </c>
      <c r="P1579">
        <f>order_data[[#This Row],[Order_Value]]+order_data[[#This Row],[Delivery_Fee]]-order_data[[#This Row],[Discount]]</f>
        <v>265</v>
      </c>
      <c r="Q1579" t="str">
        <f>TEXT(order_data[[#This Row],[Order_Date]],"mmm")</f>
        <v>Feb</v>
      </c>
      <c r="R1579">
        <f>MONTH(order_data[[#This Row],[Order_Date]])</f>
        <v>2</v>
      </c>
    </row>
    <row r="1580" spans="1:18" x14ac:dyDescent="0.35">
      <c r="A1580" t="s">
        <v>2334</v>
      </c>
      <c r="B1580" t="s">
        <v>513</v>
      </c>
      <c r="C1580" t="s">
        <v>596</v>
      </c>
      <c r="D1580" t="s">
        <v>25</v>
      </c>
      <c r="E1580" t="s">
        <v>78</v>
      </c>
      <c r="F1580" t="s">
        <v>48</v>
      </c>
      <c r="G1580" t="s">
        <v>63</v>
      </c>
      <c r="H1580">
        <v>316</v>
      </c>
      <c r="I1580">
        <v>20</v>
      </c>
      <c r="J1580">
        <v>20</v>
      </c>
      <c r="K1580" t="s">
        <v>20</v>
      </c>
      <c r="L1580">
        <v>51</v>
      </c>
      <c r="M1580" t="s">
        <v>21</v>
      </c>
      <c r="N1580">
        <f>COUNTIF(order_data[Order_ID],order_data[[#This Row],[Order_ID]])</f>
        <v>1</v>
      </c>
      <c r="O1580">
        <f>order_data[[#This Row],[Order_Value]]-order_data[[#This Row],[Discount]]</f>
        <v>296</v>
      </c>
      <c r="P1580">
        <f>order_data[[#This Row],[Order_Value]]+order_data[[#This Row],[Delivery_Fee]]-order_data[[#This Row],[Discount]]</f>
        <v>316</v>
      </c>
      <c r="Q1580" t="str">
        <f>TEXT(order_data[[#This Row],[Order_Date]],"mmm")</f>
        <v>Feb</v>
      </c>
      <c r="R1580">
        <f>MONTH(order_data[[#This Row],[Order_Date]])</f>
        <v>2</v>
      </c>
    </row>
    <row r="1581" spans="1:18" x14ac:dyDescent="0.35">
      <c r="A1581" t="s">
        <v>2335</v>
      </c>
      <c r="B1581" t="s">
        <v>305</v>
      </c>
      <c r="C1581" t="s">
        <v>315</v>
      </c>
      <c r="D1581" t="s">
        <v>25</v>
      </c>
      <c r="E1581" t="s">
        <v>34</v>
      </c>
      <c r="F1581" t="s">
        <v>27</v>
      </c>
      <c r="G1581" t="s">
        <v>74</v>
      </c>
      <c r="H1581">
        <v>667</v>
      </c>
      <c r="I1581">
        <v>20</v>
      </c>
      <c r="J1581">
        <v>0</v>
      </c>
      <c r="K1581" t="s">
        <v>36</v>
      </c>
      <c r="L1581">
        <v>48</v>
      </c>
      <c r="M1581" t="s">
        <v>21</v>
      </c>
      <c r="N1581">
        <f>COUNTIF(order_data[Order_ID],order_data[[#This Row],[Order_ID]])</f>
        <v>1</v>
      </c>
      <c r="O1581">
        <f>order_data[[#This Row],[Order_Value]]-order_data[[#This Row],[Discount]]</f>
        <v>667</v>
      </c>
      <c r="P1581">
        <f>order_data[[#This Row],[Order_Value]]+order_data[[#This Row],[Delivery_Fee]]-order_data[[#This Row],[Discount]]</f>
        <v>687</v>
      </c>
      <c r="Q1581" t="str">
        <f>TEXT(order_data[[#This Row],[Order_Date]],"mmm")</f>
        <v>Jan</v>
      </c>
      <c r="R1581">
        <f>MONTH(order_data[[#This Row],[Order_Date]])</f>
        <v>1</v>
      </c>
    </row>
    <row r="1582" spans="1:18" x14ac:dyDescent="0.35">
      <c r="A1582" t="s">
        <v>2336</v>
      </c>
      <c r="B1582" t="s">
        <v>69</v>
      </c>
      <c r="C1582" t="s">
        <v>694</v>
      </c>
      <c r="D1582" t="s">
        <v>25</v>
      </c>
      <c r="E1582" t="s">
        <v>34</v>
      </c>
      <c r="F1582" t="s">
        <v>27</v>
      </c>
      <c r="G1582" t="s">
        <v>74</v>
      </c>
      <c r="H1582">
        <v>524</v>
      </c>
      <c r="I1582">
        <v>40</v>
      </c>
      <c r="J1582">
        <v>0</v>
      </c>
      <c r="K1582" t="s">
        <v>36</v>
      </c>
      <c r="L1582">
        <v>36</v>
      </c>
      <c r="M1582" t="s">
        <v>21</v>
      </c>
      <c r="N1582">
        <f>COUNTIF(order_data[Order_ID],order_data[[#This Row],[Order_ID]])</f>
        <v>1</v>
      </c>
      <c r="O1582">
        <f>order_data[[#This Row],[Order_Value]]-order_data[[#This Row],[Discount]]</f>
        <v>524</v>
      </c>
      <c r="P1582">
        <f>order_data[[#This Row],[Order_Value]]+order_data[[#This Row],[Delivery_Fee]]-order_data[[#This Row],[Discount]]</f>
        <v>564</v>
      </c>
      <c r="Q1582" t="str">
        <f>TEXT(order_data[[#This Row],[Order_Date]],"mmm")</f>
        <v>Feb</v>
      </c>
      <c r="R1582">
        <f>MONTH(order_data[[#This Row],[Order_Date]])</f>
        <v>2</v>
      </c>
    </row>
    <row r="1583" spans="1:18" x14ac:dyDescent="0.35">
      <c r="A1583" t="s">
        <v>2337</v>
      </c>
      <c r="B1583" t="s">
        <v>271</v>
      </c>
      <c r="C1583" t="s">
        <v>1647</v>
      </c>
      <c r="D1583" t="s">
        <v>53</v>
      </c>
      <c r="E1583" t="s">
        <v>84</v>
      </c>
      <c r="F1583" t="s">
        <v>85</v>
      </c>
      <c r="G1583" t="s">
        <v>28</v>
      </c>
      <c r="H1583">
        <v>629</v>
      </c>
      <c r="I1583">
        <v>50</v>
      </c>
      <c r="J1583">
        <v>0</v>
      </c>
      <c r="K1583" t="s">
        <v>36</v>
      </c>
      <c r="L1583">
        <v>59</v>
      </c>
      <c r="M1583" t="s">
        <v>21</v>
      </c>
      <c r="N1583">
        <f>COUNTIF(order_data[Order_ID],order_data[[#This Row],[Order_ID]])</f>
        <v>1</v>
      </c>
      <c r="O1583">
        <f>order_data[[#This Row],[Order_Value]]-order_data[[#This Row],[Discount]]</f>
        <v>629</v>
      </c>
      <c r="P1583">
        <f>order_data[[#This Row],[Order_Value]]+order_data[[#This Row],[Delivery_Fee]]-order_data[[#This Row],[Discount]]</f>
        <v>679</v>
      </c>
      <c r="Q1583" t="str">
        <f>TEXT(order_data[[#This Row],[Order_Date]],"mmm")</f>
        <v>Jan</v>
      </c>
      <c r="R1583">
        <f>MONTH(order_data[[#This Row],[Order_Date]])</f>
        <v>1</v>
      </c>
    </row>
    <row r="1584" spans="1:18" x14ac:dyDescent="0.35">
      <c r="A1584" t="s">
        <v>2338</v>
      </c>
      <c r="B1584" t="s">
        <v>526</v>
      </c>
      <c r="C1584" t="s">
        <v>1168</v>
      </c>
      <c r="D1584" t="s">
        <v>40</v>
      </c>
      <c r="E1584" t="s">
        <v>67</v>
      </c>
      <c r="F1584" t="s">
        <v>48</v>
      </c>
      <c r="G1584" t="s">
        <v>19</v>
      </c>
      <c r="H1584">
        <v>447</v>
      </c>
      <c r="I1584">
        <v>40</v>
      </c>
      <c r="J1584">
        <v>100</v>
      </c>
      <c r="K1584" t="s">
        <v>29</v>
      </c>
      <c r="L1584">
        <v>41</v>
      </c>
      <c r="M1584" t="s">
        <v>21</v>
      </c>
      <c r="N1584">
        <f>COUNTIF(order_data[Order_ID],order_data[[#This Row],[Order_ID]])</f>
        <v>1</v>
      </c>
      <c r="O1584">
        <f>order_data[[#This Row],[Order_Value]]-order_data[[#This Row],[Discount]]</f>
        <v>347</v>
      </c>
      <c r="P1584">
        <f>order_data[[#This Row],[Order_Value]]+order_data[[#This Row],[Delivery_Fee]]-order_data[[#This Row],[Discount]]</f>
        <v>387</v>
      </c>
      <c r="Q1584" t="str">
        <f>TEXT(order_data[[#This Row],[Order_Date]],"mmm")</f>
        <v>Jan</v>
      </c>
      <c r="R1584">
        <f>MONTH(order_data[[#This Row],[Order_Date]])</f>
        <v>1</v>
      </c>
    </row>
    <row r="1585" spans="1:18" x14ac:dyDescent="0.35">
      <c r="A1585" t="s">
        <v>2339</v>
      </c>
      <c r="B1585" t="s">
        <v>192</v>
      </c>
      <c r="C1585" t="s">
        <v>1518</v>
      </c>
      <c r="D1585" t="s">
        <v>53</v>
      </c>
      <c r="E1585" t="s">
        <v>152</v>
      </c>
      <c r="F1585" t="s">
        <v>18</v>
      </c>
      <c r="G1585" t="s">
        <v>59</v>
      </c>
      <c r="H1585">
        <v>740</v>
      </c>
      <c r="I1585">
        <v>20</v>
      </c>
      <c r="J1585">
        <v>50</v>
      </c>
      <c r="K1585" t="s">
        <v>36</v>
      </c>
      <c r="L1585">
        <v>46</v>
      </c>
      <c r="M1585" t="s">
        <v>21</v>
      </c>
      <c r="N1585">
        <f>COUNTIF(order_data[Order_ID],order_data[[#This Row],[Order_ID]])</f>
        <v>1</v>
      </c>
      <c r="O1585">
        <f>order_data[[#This Row],[Order_Value]]-order_data[[#This Row],[Discount]]</f>
        <v>690</v>
      </c>
      <c r="P1585">
        <f>order_data[[#This Row],[Order_Value]]+order_data[[#This Row],[Delivery_Fee]]-order_data[[#This Row],[Discount]]</f>
        <v>710</v>
      </c>
      <c r="Q1585" t="str">
        <f>TEXT(order_data[[#This Row],[Order_Date]],"mmm")</f>
        <v>Mar</v>
      </c>
      <c r="R1585">
        <f>MONTH(order_data[[#This Row],[Order_Date]])</f>
        <v>3</v>
      </c>
    </row>
    <row r="1586" spans="1:18" x14ac:dyDescent="0.35">
      <c r="A1586" t="s">
        <v>2340</v>
      </c>
      <c r="B1586" t="s">
        <v>118</v>
      </c>
      <c r="C1586" t="s">
        <v>323</v>
      </c>
      <c r="D1586" t="s">
        <v>40</v>
      </c>
      <c r="E1586" t="s">
        <v>67</v>
      </c>
      <c r="F1586" t="s">
        <v>48</v>
      </c>
      <c r="G1586" t="s">
        <v>19</v>
      </c>
      <c r="H1586">
        <v>797</v>
      </c>
      <c r="I1586">
        <v>30</v>
      </c>
      <c r="J1586">
        <v>100</v>
      </c>
      <c r="K1586" t="s">
        <v>36</v>
      </c>
      <c r="L1586">
        <v>39</v>
      </c>
      <c r="M1586" t="s">
        <v>21</v>
      </c>
      <c r="N1586">
        <f>COUNTIF(order_data[Order_ID],order_data[[#This Row],[Order_ID]])</f>
        <v>1</v>
      </c>
      <c r="O1586">
        <f>order_data[[#This Row],[Order_Value]]-order_data[[#This Row],[Discount]]</f>
        <v>697</v>
      </c>
      <c r="P1586">
        <f>order_data[[#This Row],[Order_Value]]+order_data[[#This Row],[Delivery_Fee]]-order_data[[#This Row],[Discount]]</f>
        <v>727</v>
      </c>
      <c r="Q1586" t="str">
        <f>TEXT(order_data[[#This Row],[Order_Date]],"mmm")</f>
        <v>Mar</v>
      </c>
      <c r="R1586">
        <f>MONTH(order_data[[#This Row],[Order_Date]])</f>
        <v>3</v>
      </c>
    </row>
    <row r="1587" spans="1:18" x14ac:dyDescent="0.35">
      <c r="A1587" t="s">
        <v>2341</v>
      </c>
      <c r="B1587" t="s">
        <v>167</v>
      </c>
      <c r="C1587" t="s">
        <v>195</v>
      </c>
      <c r="D1587" t="s">
        <v>25</v>
      </c>
      <c r="E1587" t="s">
        <v>78</v>
      </c>
      <c r="F1587" t="s">
        <v>48</v>
      </c>
      <c r="G1587" t="s">
        <v>107</v>
      </c>
      <c r="H1587">
        <v>187</v>
      </c>
      <c r="I1587">
        <v>20</v>
      </c>
      <c r="J1587">
        <v>50</v>
      </c>
      <c r="K1587" t="s">
        <v>29</v>
      </c>
      <c r="L1587">
        <v>24</v>
      </c>
      <c r="M1587" t="s">
        <v>21</v>
      </c>
      <c r="N1587">
        <f>COUNTIF(order_data[Order_ID],order_data[[#This Row],[Order_ID]])</f>
        <v>1</v>
      </c>
      <c r="O1587">
        <f>order_data[[#This Row],[Order_Value]]-order_data[[#This Row],[Discount]]</f>
        <v>137</v>
      </c>
      <c r="P1587">
        <f>order_data[[#This Row],[Order_Value]]+order_data[[#This Row],[Delivery_Fee]]-order_data[[#This Row],[Discount]]</f>
        <v>157</v>
      </c>
      <c r="Q1587" t="str">
        <f>TEXT(order_data[[#This Row],[Order_Date]],"mmm")</f>
        <v>Feb</v>
      </c>
      <c r="R1587">
        <f>MONTH(order_data[[#This Row],[Order_Date]])</f>
        <v>2</v>
      </c>
    </row>
    <row r="1588" spans="1:18" x14ac:dyDescent="0.35">
      <c r="A1588" t="s">
        <v>2342</v>
      </c>
      <c r="B1588" t="s">
        <v>562</v>
      </c>
      <c r="C1588" t="s">
        <v>170</v>
      </c>
      <c r="D1588" t="s">
        <v>53</v>
      </c>
      <c r="E1588" t="s">
        <v>152</v>
      </c>
      <c r="F1588" t="s">
        <v>18</v>
      </c>
      <c r="G1588" t="s">
        <v>28</v>
      </c>
      <c r="H1588">
        <v>207</v>
      </c>
      <c r="I1588">
        <v>20</v>
      </c>
      <c r="J1588">
        <v>20</v>
      </c>
      <c r="K1588" t="s">
        <v>36</v>
      </c>
      <c r="L1588">
        <v>36</v>
      </c>
      <c r="M1588" t="s">
        <v>21</v>
      </c>
      <c r="N1588">
        <f>COUNTIF(order_data[Order_ID],order_data[[#This Row],[Order_ID]])</f>
        <v>1</v>
      </c>
      <c r="O1588">
        <f>order_data[[#This Row],[Order_Value]]-order_data[[#This Row],[Discount]]</f>
        <v>187</v>
      </c>
      <c r="P1588">
        <f>order_data[[#This Row],[Order_Value]]+order_data[[#This Row],[Delivery_Fee]]-order_data[[#This Row],[Discount]]</f>
        <v>207</v>
      </c>
      <c r="Q1588" t="str">
        <f>TEXT(order_data[[#This Row],[Order_Date]],"mmm")</f>
        <v>Feb</v>
      </c>
      <c r="R1588">
        <f>MONTH(order_data[[#This Row],[Order_Date]])</f>
        <v>2</v>
      </c>
    </row>
    <row r="1589" spans="1:18" x14ac:dyDescent="0.35">
      <c r="A1589" t="s">
        <v>2343</v>
      </c>
      <c r="B1589" t="s">
        <v>76</v>
      </c>
      <c r="C1589" t="s">
        <v>2344</v>
      </c>
      <c r="D1589" t="s">
        <v>46</v>
      </c>
      <c r="E1589" t="s">
        <v>47</v>
      </c>
      <c r="F1589" t="s">
        <v>48</v>
      </c>
      <c r="G1589" t="s">
        <v>42</v>
      </c>
      <c r="H1589">
        <v>536</v>
      </c>
      <c r="I1589">
        <v>40</v>
      </c>
      <c r="J1589">
        <v>20</v>
      </c>
      <c r="K1589" t="s">
        <v>20</v>
      </c>
      <c r="L1589">
        <v>25</v>
      </c>
      <c r="M1589" t="s">
        <v>21</v>
      </c>
      <c r="N1589">
        <f>COUNTIF(order_data[Order_ID],order_data[[#This Row],[Order_ID]])</f>
        <v>1</v>
      </c>
      <c r="O1589">
        <f>order_data[[#This Row],[Order_Value]]-order_data[[#This Row],[Discount]]</f>
        <v>516</v>
      </c>
      <c r="P1589">
        <f>order_data[[#This Row],[Order_Value]]+order_data[[#This Row],[Delivery_Fee]]-order_data[[#This Row],[Discount]]</f>
        <v>556</v>
      </c>
      <c r="Q1589" t="str">
        <f>TEXT(order_data[[#This Row],[Order_Date]],"mmm")</f>
        <v>Feb</v>
      </c>
      <c r="R1589">
        <f>MONTH(order_data[[#This Row],[Order_Date]])</f>
        <v>2</v>
      </c>
    </row>
    <row r="1590" spans="1:18" x14ac:dyDescent="0.35">
      <c r="A1590" t="s">
        <v>2345</v>
      </c>
      <c r="B1590" t="s">
        <v>273</v>
      </c>
      <c r="C1590" t="s">
        <v>976</v>
      </c>
      <c r="D1590" t="s">
        <v>53</v>
      </c>
      <c r="E1590" t="s">
        <v>152</v>
      </c>
      <c r="F1590" t="s">
        <v>18</v>
      </c>
      <c r="G1590" t="s">
        <v>28</v>
      </c>
      <c r="H1590">
        <v>161</v>
      </c>
      <c r="I1590">
        <v>20</v>
      </c>
      <c r="J1590">
        <v>20</v>
      </c>
      <c r="K1590" t="s">
        <v>36</v>
      </c>
      <c r="L1590">
        <v>59</v>
      </c>
      <c r="M1590" t="s">
        <v>21</v>
      </c>
      <c r="N1590">
        <f>COUNTIF(order_data[Order_ID],order_data[[#This Row],[Order_ID]])</f>
        <v>1</v>
      </c>
      <c r="O1590">
        <f>order_data[[#This Row],[Order_Value]]-order_data[[#This Row],[Discount]]</f>
        <v>141</v>
      </c>
      <c r="P1590">
        <f>order_data[[#This Row],[Order_Value]]+order_data[[#This Row],[Delivery_Fee]]-order_data[[#This Row],[Discount]]</f>
        <v>161</v>
      </c>
      <c r="Q1590" t="str">
        <f>TEXT(order_data[[#This Row],[Order_Date]],"mmm")</f>
        <v>Mar</v>
      </c>
      <c r="R1590">
        <f>MONTH(order_data[[#This Row],[Order_Date]])</f>
        <v>3</v>
      </c>
    </row>
    <row r="1591" spans="1:18" x14ac:dyDescent="0.35">
      <c r="A1591" t="s">
        <v>2346</v>
      </c>
      <c r="B1591" t="s">
        <v>181</v>
      </c>
      <c r="C1591" t="s">
        <v>1683</v>
      </c>
      <c r="D1591" t="s">
        <v>46</v>
      </c>
      <c r="E1591" t="s">
        <v>70</v>
      </c>
      <c r="F1591" t="s">
        <v>18</v>
      </c>
      <c r="G1591" t="s">
        <v>28</v>
      </c>
      <c r="H1591">
        <v>250</v>
      </c>
      <c r="I1591">
        <v>20</v>
      </c>
      <c r="J1591">
        <v>20</v>
      </c>
      <c r="K1591" t="s">
        <v>20</v>
      </c>
      <c r="L1591">
        <v>45</v>
      </c>
      <c r="M1591" t="s">
        <v>21</v>
      </c>
      <c r="N1591">
        <f>COUNTIF(order_data[Order_ID],order_data[[#This Row],[Order_ID]])</f>
        <v>1</v>
      </c>
      <c r="O1591">
        <f>order_data[[#This Row],[Order_Value]]-order_data[[#This Row],[Discount]]</f>
        <v>230</v>
      </c>
      <c r="P1591">
        <f>order_data[[#This Row],[Order_Value]]+order_data[[#This Row],[Delivery_Fee]]-order_data[[#This Row],[Discount]]</f>
        <v>250</v>
      </c>
      <c r="Q1591" t="str">
        <f>TEXT(order_data[[#This Row],[Order_Date]],"mmm")</f>
        <v>Feb</v>
      </c>
      <c r="R1591">
        <f>MONTH(order_data[[#This Row],[Order_Date]])</f>
        <v>2</v>
      </c>
    </row>
    <row r="1592" spans="1:18" x14ac:dyDescent="0.35">
      <c r="A1592" t="s">
        <v>2347</v>
      </c>
      <c r="B1592" t="s">
        <v>205</v>
      </c>
      <c r="C1592" t="s">
        <v>905</v>
      </c>
      <c r="D1592" t="s">
        <v>16</v>
      </c>
      <c r="E1592" t="s">
        <v>89</v>
      </c>
      <c r="F1592" t="s">
        <v>18</v>
      </c>
      <c r="G1592" t="s">
        <v>107</v>
      </c>
      <c r="H1592">
        <v>756</v>
      </c>
      <c r="I1592">
        <v>40</v>
      </c>
      <c r="J1592">
        <v>30</v>
      </c>
      <c r="K1592" t="s">
        <v>36</v>
      </c>
      <c r="L1592">
        <v>37</v>
      </c>
      <c r="M1592" t="s">
        <v>21</v>
      </c>
      <c r="N1592">
        <f>COUNTIF(order_data[Order_ID],order_data[[#This Row],[Order_ID]])</f>
        <v>1</v>
      </c>
      <c r="O1592">
        <f>order_data[[#This Row],[Order_Value]]-order_data[[#This Row],[Discount]]</f>
        <v>726</v>
      </c>
      <c r="P1592">
        <f>order_data[[#This Row],[Order_Value]]+order_data[[#This Row],[Delivery_Fee]]-order_data[[#This Row],[Discount]]</f>
        <v>766</v>
      </c>
      <c r="Q1592" t="str">
        <f>TEXT(order_data[[#This Row],[Order_Date]],"mmm")</f>
        <v>Jan</v>
      </c>
      <c r="R1592">
        <f>MONTH(order_data[[#This Row],[Order_Date]])</f>
        <v>1</v>
      </c>
    </row>
    <row r="1593" spans="1:18" x14ac:dyDescent="0.35">
      <c r="A1593" t="s">
        <v>2348</v>
      </c>
      <c r="B1593" t="s">
        <v>143</v>
      </c>
      <c r="C1593" t="s">
        <v>2219</v>
      </c>
      <c r="D1593" t="s">
        <v>46</v>
      </c>
      <c r="E1593" t="s">
        <v>47</v>
      </c>
      <c r="F1593" t="s">
        <v>48</v>
      </c>
      <c r="G1593" t="s">
        <v>63</v>
      </c>
      <c r="H1593">
        <v>285</v>
      </c>
      <c r="I1593">
        <v>20</v>
      </c>
      <c r="J1593">
        <v>30</v>
      </c>
      <c r="K1593" t="s">
        <v>36</v>
      </c>
      <c r="L1593">
        <v>60</v>
      </c>
      <c r="M1593" t="s">
        <v>21</v>
      </c>
      <c r="N1593">
        <f>COUNTIF(order_data[Order_ID],order_data[[#This Row],[Order_ID]])</f>
        <v>1</v>
      </c>
      <c r="O1593">
        <f>order_data[[#This Row],[Order_Value]]-order_data[[#This Row],[Discount]]</f>
        <v>255</v>
      </c>
      <c r="P1593">
        <f>order_data[[#This Row],[Order_Value]]+order_data[[#This Row],[Delivery_Fee]]-order_data[[#This Row],[Discount]]</f>
        <v>275</v>
      </c>
      <c r="Q1593" t="str">
        <f>TEXT(order_data[[#This Row],[Order_Date]],"mmm")</f>
        <v>Feb</v>
      </c>
      <c r="R1593">
        <f>MONTH(order_data[[#This Row],[Order_Date]])</f>
        <v>2</v>
      </c>
    </row>
    <row r="1594" spans="1:18" x14ac:dyDescent="0.35">
      <c r="A1594" t="s">
        <v>2349</v>
      </c>
      <c r="B1594" t="s">
        <v>23</v>
      </c>
      <c r="C1594" t="s">
        <v>2350</v>
      </c>
      <c r="D1594" t="s">
        <v>16</v>
      </c>
      <c r="E1594" t="s">
        <v>17</v>
      </c>
      <c r="F1594" t="s">
        <v>18</v>
      </c>
      <c r="G1594" t="s">
        <v>59</v>
      </c>
      <c r="H1594">
        <v>161</v>
      </c>
      <c r="I1594">
        <v>50</v>
      </c>
      <c r="J1594">
        <v>30</v>
      </c>
      <c r="K1594" t="s">
        <v>36</v>
      </c>
      <c r="L1594">
        <v>37</v>
      </c>
      <c r="M1594" t="s">
        <v>30</v>
      </c>
      <c r="N1594">
        <f>COUNTIF(order_data[Order_ID],order_data[[#This Row],[Order_ID]])</f>
        <v>1</v>
      </c>
      <c r="O1594">
        <f>order_data[[#This Row],[Order_Value]]-order_data[[#This Row],[Discount]]</f>
        <v>131</v>
      </c>
      <c r="P1594">
        <f>order_data[[#This Row],[Order_Value]]+order_data[[#This Row],[Delivery_Fee]]-order_data[[#This Row],[Discount]]</f>
        <v>181</v>
      </c>
      <c r="Q1594" t="str">
        <f>TEXT(order_data[[#This Row],[Order_Date]],"mmm")</f>
        <v>Mar</v>
      </c>
      <c r="R1594">
        <f>MONTH(order_data[[#This Row],[Order_Date]])</f>
        <v>3</v>
      </c>
    </row>
    <row r="1595" spans="1:18" x14ac:dyDescent="0.35">
      <c r="A1595" t="s">
        <v>2351</v>
      </c>
      <c r="B1595" t="s">
        <v>562</v>
      </c>
      <c r="C1595" t="s">
        <v>168</v>
      </c>
      <c r="D1595" t="s">
        <v>16</v>
      </c>
      <c r="E1595" t="s">
        <v>17</v>
      </c>
      <c r="F1595" t="s">
        <v>18</v>
      </c>
      <c r="G1595" t="s">
        <v>35</v>
      </c>
      <c r="H1595">
        <v>273</v>
      </c>
      <c r="I1595">
        <v>30</v>
      </c>
      <c r="J1595">
        <v>100</v>
      </c>
      <c r="K1595" t="s">
        <v>29</v>
      </c>
      <c r="L1595">
        <v>38</v>
      </c>
      <c r="M1595" t="s">
        <v>21</v>
      </c>
      <c r="N1595">
        <f>COUNTIF(order_data[Order_ID],order_data[[#This Row],[Order_ID]])</f>
        <v>1</v>
      </c>
      <c r="O1595">
        <f>order_data[[#This Row],[Order_Value]]-order_data[[#This Row],[Discount]]</f>
        <v>173</v>
      </c>
      <c r="P1595">
        <f>order_data[[#This Row],[Order_Value]]+order_data[[#This Row],[Delivery_Fee]]-order_data[[#This Row],[Discount]]</f>
        <v>203</v>
      </c>
      <c r="Q1595" t="str">
        <f>TEXT(order_data[[#This Row],[Order_Date]],"mmm")</f>
        <v>Feb</v>
      </c>
      <c r="R1595">
        <f>MONTH(order_data[[#This Row],[Order_Date]])</f>
        <v>2</v>
      </c>
    </row>
    <row r="1596" spans="1:18" x14ac:dyDescent="0.35">
      <c r="A1596" t="s">
        <v>2352</v>
      </c>
      <c r="B1596" t="s">
        <v>207</v>
      </c>
      <c r="C1596" t="s">
        <v>1598</v>
      </c>
      <c r="D1596" t="s">
        <v>16</v>
      </c>
      <c r="E1596" t="s">
        <v>131</v>
      </c>
      <c r="F1596" t="s">
        <v>55</v>
      </c>
      <c r="G1596" t="s">
        <v>74</v>
      </c>
      <c r="H1596">
        <v>346</v>
      </c>
      <c r="I1596">
        <v>30</v>
      </c>
      <c r="J1596">
        <v>50</v>
      </c>
      <c r="K1596" t="s">
        <v>36</v>
      </c>
      <c r="L1596">
        <v>26</v>
      </c>
      <c r="M1596" t="s">
        <v>21</v>
      </c>
      <c r="N1596">
        <f>COUNTIF(order_data[Order_ID],order_data[[#This Row],[Order_ID]])</f>
        <v>1</v>
      </c>
      <c r="O1596">
        <f>order_data[[#This Row],[Order_Value]]-order_data[[#This Row],[Discount]]</f>
        <v>296</v>
      </c>
      <c r="P1596">
        <f>order_data[[#This Row],[Order_Value]]+order_data[[#This Row],[Delivery_Fee]]-order_data[[#This Row],[Discount]]</f>
        <v>326</v>
      </c>
      <c r="Q1596" t="str">
        <f>TEXT(order_data[[#This Row],[Order_Date]],"mmm")</f>
        <v>Jan</v>
      </c>
      <c r="R1596">
        <f>MONTH(order_data[[#This Row],[Order_Date]])</f>
        <v>1</v>
      </c>
    </row>
    <row r="1597" spans="1:18" x14ac:dyDescent="0.35">
      <c r="A1597" t="s">
        <v>2353</v>
      </c>
      <c r="B1597" t="s">
        <v>57</v>
      </c>
      <c r="C1597" t="s">
        <v>575</v>
      </c>
      <c r="D1597" t="s">
        <v>25</v>
      </c>
      <c r="E1597" t="s">
        <v>26</v>
      </c>
      <c r="F1597" t="s">
        <v>27</v>
      </c>
      <c r="G1597" t="s">
        <v>107</v>
      </c>
      <c r="H1597">
        <v>201</v>
      </c>
      <c r="I1597">
        <v>30</v>
      </c>
      <c r="J1597">
        <v>50</v>
      </c>
      <c r="K1597" t="s">
        <v>20</v>
      </c>
      <c r="L1597">
        <v>34</v>
      </c>
      <c r="M1597" t="s">
        <v>21</v>
      </c>
      <c r="N1597">
        <f>COUNTIF(order_data[Order_ID],order_data[[#This Row],[Order_ID]])</f>
        <v>1</v>
      </c>
      <c r="O1597">
        <f>order_data[[#This Row],[Order_Value]]-order_data[[#This Row],[Discount]]</f>
        <v>151</v>
      </c>
      <c r="P1597">
        <f>order_data[[#This Row],[Order_Value]]+order_data[[#This Row],[Delivery_Fee]]-order_data[[#This Row],[Discount]]</f>
        <v>181</v>
      </c>
      <c r="Q1597" t="str">
        <f>TEXT(order_data[[#This Row],[Order_Date]],"mmm")</f>
        <v>Jan</v>
      </c>
      <c r="R1597">
        <f>MONTH(order_data[[#This Row],[Order_Date]])</f>
        <v>1</v>
      </c>
    </row>
    <row r="1598" spans="1:18" x14ac:dyDescent="0.35">
      <c r="A1598" t="s">
        <v>2354</v>
      </c>
      <c r="B1598" t="s">
        <v>226</v>
      </c>
      <c r="C1598" t="s">
        <v>1000</v>
      </c>
      <c r="D1598" t="s">
        <v>46</v>
      </c>
      <c r="E1598" t="s">
        <v>47</v>
      </c>
      <c r="F1598" t="s">
        <v>48</v>
      </c>
      <c r="G1598" t="s">
        <v>59</v>
      </c>
      <c r="H1598">
        <v>692</v>
      </c>
      <c r="I1598">
        <v>40</v>
      </c>
      <c r="J1598">
        <v>30</v>
      </c>
      <c r="K1598" t="s">
        <v>29</v>
      </c>
      <c r="L1598">
        <v>55</v>
      </c>
      <c r="M1598" t="s">
        <v>21</v>
      </c>
      <c r="N1598">
        <f>COUNTIF(order_data[Order_ID],order_data[[#This Row],[Order_ID]])</f>
        <v>1</v>
      </c>
      <c r="O1598">
        <f>order_data[[#This Row],[Order_Value]]-order_data[[#This Row],[Discount]]</f>
        <v>662</v>
      </c>
      <c r="P1598">
        <f>order_data[[#This Row],[Order_Value]]+order_data[[#This Row],[Delivery_Fee]]-order_data[[#This Row],[Discount]]</f>
        <v>702</v>
      </c>
      <c r="Q1598" t="str">
        <f>TEXT(order_data[[#This Row],[Order_Date]],"mmm")</f>
        <v>Jan</v>
      </c>
      <c r="R1598">
        <f>MONTH(order_data[[#This Row],[Order_Date]])</f>
        <v>1</v>
      </c>
    </row>
    <row r="1599" spans="1:18" x14ac:dyDescent="0.35">
      <c r="A1599" t="s">
        <v>2355</v>
      </c>
      <c r="B1599" t="s">
        <v>267</v>
      </c>
      <c r="C1599" t="s">
        <v>1978</v>
      </c>
      <c r="D1599" t="s">
        <v>40</v>
      </c>
      <c r="E1599" t="s">
        <v>111</v>
      </c>
      <c r="F1599" t="s">
        <v>18</v>
      </c>
      <c r="G1599" t="s">
        <v>63</v>
      </c>
      <c r="H1599">
        <v>153</v>
      </c>
      <c r="I1599">
        <v>50</v>
      </c>
      <c r="J1599">
        <v>50</v>
      </c>
      <c r="K1599" t="s">
        <v>36</v>
      </c>
      <c r="L1599">
        <v>34</v>
      </c>
      <c r="M1599" t="s">
        <v>21</v>
      </c>
      <c r="N1599">
        <f>COUNTIF(order_data[Order_ID],order_data[[#This Row],[Order_ID]])</f>
        <v>1</v>
      </c>
      <c r="O1599">
        <f>order_data[[#This Row],[Order_Value]]-order_data[[#This Row],[Discount]]</f>
        <v>103</v>
      </c>
      <c r="P1599">
        <f>order_data[[#This Row],[Order_Value]]+order_data[[#This Row],[Delivery_Fee]]-order_data[[#This Row],[Discount]]</f>
        <v>153</v>
      </c>
      <c r="Q1599" t="str">
        <f>TEXT(order_data[[#This Row],[Order_Date]],"mmm")</f>
        <v>Jan</v>
      </c>
      <c r="R1599">
        <f>MONTH(order_data[[#This Row],[Order_Date]])</f>
        <v>1</v>
      </c>
    </row>
    <row r="1600" spans="1:18" x14ac:dyDescent="0.35">
      <c r="A1600" t="s">
        <v>2356</v>
      </c>
      <c r="B1600" t="s">
        <v>186</v>
      </c>
      <c r="C1600" t="s">
        <v>2357</v>
      </c>
      <c r="D1600" t="s">
        <v>46</v>
      </c>
      <c r="E1600" t="s">
        <v>47</v>
      </c>
      <c r="F1600" t="s">
        <v>48</v>
      </c>
      <c r="G1600" t="s">
        <v>59</v>
      </c>
      <c r="H1600">
        <v>491</v>
      </c>
      <c r="I1600">
        <v>40</v>
      </c>
      <c r="J1600">
        <v>100</v>
      </c>
      <c r="K1600" t="s">
        <v>29</v>
      </c>
      <c r="L1600">
        <v>55</v>
      </c>
      <c r="M1600" t="s">
        <v>21</v>
      </c>
      <c r="N1600">
        <f>COUNTIF(order_data[Order_ID],order_data[[#This Row],[Order_ID]])</f>
        <v>1</v>
      </c>
      <c r="O1600">
        <f>order_data[[#This Row],[Order_Value]]-order_data[[#This Row],[Discount]]</f>
        <v>391</v>
      </c>
      <c r="P1600">
        <f>order_data[[#This Row],[Order_Value]]+order_data[[#This Row],[Delivery_Fee]]-order_data[[#This Row],[Discount]]</f>
        <v>431</v>
      </c>
      <c r="Q1600" t="str">
        <f>TEXT(order_data[[#This Row],[Order_Date]],"mmm")</f>
        <v>Mar</v>
      </c>
      <c r="R1600">
        <f>MONTH(order_data[[#This Row],[Order_Date]])</f>
        <v>3</v>
      </c>
    </row>
    <row r="1601" spans="1:18" x14ac:dyDescent="0.35">
      <c r="A1601" t="s">
        <v>2358</v>
      </c>
      <c r="B1601" t="s">
        <v>305</v>
      </c>
      <c r="C1601" t="s">
        <v>1179</v>
      </c>
      <c r="D1601" t="s">
        <v>53</v>
      </c>
      <c r="E1601" t="s">
        <v>84</v>
      </c>
      <c r="F1601" t="s">
        <v>85</v>
      </c>
      <c r="G1601" t="s">
        <v>59</v>
      </c>
      <c r="H1601">
        <v>664</v>
      </c>
      <c r="I1601">
        <v>50</v>
      </c>
      <c r="J1601">
        <v>50</v>
      </c>
      <c r="K1601" t="s">
        <v>29</v>
      </c>
      <c r="L1601">
        <v>48</v>
      </c>
      <c r="M1601" t="s">
        <v>21</v>
      </c>
      <c r="N1601">
        <f>COUNTIF(order_data[Order_ID],order_data[[#This Row],[Order_ID]])</f>
        <v>1</v>
      </c>
      <c r="O1601">
        <f>order_data[[#This Row],[Order_Value]]-order_data[[#This Row],[Discount]]</f>
        <v>614</v>
      </c>
      <c r="P1601">
        <f>order_data[[#This Row],[Order_Value]]+order_data[[#This Row],[Delivery_Fee]]-order_data[[#This Row],[Discount]]</f>
        <v>664</v>
      </c>
      <c r="Q1601" t="str">
        <f>TEXT(order_data[[#This Row],[Order_Date]],"mmm")</f>
        <v>Jan</v>
      </c>
      <c r="R1601">
        <f>MONTH(order_data[[#This Row],[Order_Date]])</f>
        <v>1</v>
      </c>
    </row>
    <row r="1602" spans="1:18" x14ac:dyDescent="0.35">
      <c r="A1602" t="s">
        <v>2359</v>
      </c>
      <c r="B1602" t="s">
        <v>192</v>
      </c>
      <c r="C1602" t="s">
        <v>1295</v>
      </c>
      <c r="D1602" t="s">
        <v>46</v>
      </c>
      <c r="E1602" t="s">
        <v>148</v>
      </c>
      <c r="F1602" t="s">
        <v>27</v>
      </c>
      <c r="G1602" t="s">
        <v>107</v>
      </c>
      <c r="H1602">
        <v>158</v>
      </c>
      <c r="I1602">
        <v>20</v>
      </c>
      <c r="J1602">
        <v>50</v>
      </c>
      <c r="K1602" t="s">
        <v>20</v>
      </c>
      <c r="L1602">
        <v>57</v>
      </c>
      <c r="M1602" t="s">
        <v>21</v>
      </c>
      <c r="N1602">
        <f>COUNTIF(order_data[Order_ID],order_data[[#This Row],[Order_ID]])</f>
        <v>1</v>
      </c>
      <c r="O1602">
        <f>order_data[[#This Row],[Order_Value]]-order_data[[#This Row],[Discount]]</f>
        <v>108</v>
      </c>
      <c r="P1602">
        <f>order_data[[#This Row],[Order_Value]]+order_data[[#This Row],[Delivery_Fee]]-order_data[[#This Row],[Discount]]</f>
        <v>128</v>
      </c>
      <c r="Q1602" t="str">
        <f>TEXT(order_data[[#This Row],[Order_Date]],"mmm")</f>
        <v>Mar</v>
      </c>
      <c r="R1602">
        <f>MONTH(order_data[[#This Row],[Order_Date]])</f>
        <v>3</v>
      </c>
    </row>
    <row r="1603" spans="1:18" x14ac:dyDescent="0.35">
      <c r="A1603" t="s">
        <v>2360</v>
      </c>
      <c r="B1603" t="s">
        <v>121</v>
      </c>
      <c r="C1603" t="s">
        <v>659</v>
      </c>
      <c r="D1603" t="s">
        <v>40</v>
      </c>
      <c r="E1603" t="s">
        <v>111</v>
      </c>
      <c r="F1603" t="s">
        <v>18</v>
      </c>
      <c r="G1603" t="s">
        <v>49</v>
      </c>
      <c r="H1603">
        <v>654</v>
      </c>
      <c r="I1603">
        <v>50</v>
      </c>
      <c r="J1603">
        <v>50</v>
      </c>
      <c r="K1603" t="s">
        <v>36</v>
      </c>
      <c r="L1603">
        <v>59</v>
      </c>
      <c r="M1603" t="s">
        <v>21</v>
      </c>
      <c r="N1603">
        <f>COUNTIF(order_data[Order_ID],order_data[[#This Row],[Order_ID]])</f>
        <v>1</v>
      </c>
      <c r="O1603">
        <f>order_data[[#This Row],[Order_Value]]-order_data[[#This Row],[Discount]]</f>
        <v>604</v>
      </c>
      <c r="P1603">
        <f>order_data[[#This Row],[Order_Value]]+order_data[[#This Row],[Delivery_Fee]]-order_data[[#This Row],[Discount]]</f>
        <v>654</v>
      </c>
      <c r="Q1603" t="str">
        <f>TEXT(order_data[[#This Row],[Order_Date]],"mmm")</f>
        <v>Feb</v>
      </c>
      <c r="R1603">
        <f>MONTH(order_data[[#This Row],[Order_Date]])</f>
        <v>2</v>
      </c>
    </row>
    <row r="1604" spans="1:18" x14ac:dyDescent="0.35">
      <c r="A1604" t="s">
        <v>2361</v>
      </c>
      <c r="B1604" t="s">
        <v>99</v>
      </c>
      <c r="C1604" t="s">
        <v>610</v>
      </c>
      <c r="D1604" t="s">
        <v>46</v>
      </c>
      <c r="E1604" t="s">
        <v>70</v>
      </c>
      <c r="F1604" t="s">
        <v>18</v>
      </c>
      <c r="G1604" t="s">
        <v>176</v>
      </c>
      <c r="H1604">
        <v>216</v>
      </c>
      <c r="I1604">
        <v>30</v>
      </c>
      <c r="J1604">
        <v>100</v>
      </c>
      <c r="K1604" t="s">
        <v>20</v>
      </c>
      <c r="L1604">
        <v>26</v>
      </c>
      <c r="M1604" t="s">
        <v>21</v>
      </c>
      <c r="N1604">
        <f>COUNTIF(order_data[Order_ID],order_data[[#This Row],[Order_ID]])</f>
        <v>1</v>
      </c>
      <c r="O1604">
        <f>order_data[[#This Row],[Order_Value]]-order_data[[#This Row],[Discount]]</f>
        <v>116</v>
      </c>
      <c r="P1604">
        <f>order_data[[#This Row],[Order_Value]]+order_data[[#This Row],[Delivery_Fee]]-order_data[[#This Row],[Discount]]</f>
        <v>146</v>
      </c>
      <c r="Q1604" t="str">
        <f>TEXT(order_data[[#This Row],[Order_Date]],"mmm")</f>
        <v>Mar</v>
      </c>
      <c r="R1604">
        <f>MONTH(order_data[[#This Row],[Order_Date]])</f>
        <v>3</v>
      </c>
    </row>
    <row r="1605" spans="1:18" x14ac:dyDescent="0.35">
      <c r="A1605" t="s">
        <v>2362</v>
      </c>
      <c r="B1605" t="s">
        <v>150</v>
      </c>
      <c r="C1605" t="s">
        <v>137</v>
      </c>
      <c r="D1605" t="s">
        <v>46</v>
      </c>
      <c r="E1605" t="s">
        <v>148</v>
      </c>
      <c r="F1605" t="s">
        <v>27</v>
      </c>
      <c r="G1605" t="s">
        <v>176</v>
      </c>
      <c r="H1605">
        <v>177</v>
      </c>
      <c r="I1605">
        <v>50</v>
      </c>
      <c r="J1605">
        <v>50</v>
      </c>
      <c r="K1605" t="s">
        <v>20</v>
      </c>
      <c r="L1605">
        <v>58</v>
      </c>
      <c r="M1605" t="s">
        <v>21</v>
      </c>
      <c r="N1605">
        <f>COUNTIF(order_data[Order_ID],order_data[[#This Row],[Order_ID]])</f>
        <v>1</v>
      </c>
      <c r="O1605">
        <f>order_data[[#This Row],[Order_Value]]-order_data[[#This Row],[Discount]]</f>
        <v>127</v>
      </c>
      <c r="P1605">
        <f>order_data[[#This Row],[Order_Value]]+order_data[[#This Row],[Delivery_Fee]]-order_data[[#This Row],[Discount]]</f>
        <v>177</v>
      </c>
      <c r="Q1605" t="str">
        <f>TEXT(order_data[[#This Row],[Order_Date]],"mmm")</f>
        <v>Feb</v>
      </c>
      <c r="R1605">
        <f>MONTH(order_data[[#This Row],[Order_Date]])</f>
        <v>2</v>
      </c>
    </row>
    <row r="1606" spans="1:18" x14ac:dyDescent="0.35">
      <c r="A1606" t="s">
        <v>2363</v>
      </c>
      <c r="B1606" t="s">
        <v>486</v>
      </c>
      <c r="C1606" t="s">
        <v>1951</v>
      </c>
      <c r="D1606" t="s">
        <v>25</v>
      </c>
      <c r="E1606" t="s">
        <v>26</v>
      </c>
      <c r="F1606" t="s">
        <v>27</v>
      </c>
      <c r="G1606" t="s">
        <v>107</v>
      </c>
      <c r="H1606">
        <v>608</v>
      </c>
      <c r="I1606">
        <v>50</v>
      </c>
      <c r="J1606">
        <v>50</v>
      </c>
      <c r="K1606" t="s">
        <v>20</v>
      </c>
      <c r="L1606">
        <v>20</v>
      </c>
      <c r="M1606" t="s">
        <v>21</v>
      </c>
      <c r="N1606">
        <f>COUNTIF(order_data[Order_ID],order_data[[#This Row],[Order_ID]])</f>
        <v>1</v>
      </c>
      <c r="O1606">
        <f>order_data[[#This Row],[Order_Value]]-order_data[[#This Row],[Discount]]</f>
        <v>558</v>
      </c>
      <c r="P1606">
        <f>order_data[[#This Row],[Order_Value]]+order_data[[#This Row],[Delivery_Fee]]-order_data[[#This Row],[Discount]]</f>
        <v>608</v>
      </c>
      <c r="Q1606" t="str">
        <f>TEXT(order_data[[#This Row],[Order_Date]],"mmm")</f>
        <v>Jan</v>
      </c>
      <c r="R1606">
        <f>MONTH(order_data[[#This Row],[Order_Date]])</f>
        <v>1</v>
      </c>
    </row>
    <row r="1607" spans="1:18" x14ac:dyDescent="0.35">
      <c r="A1607" t="s">
        <v>2364</v>
      </c>
      <c r="B1607" t="s">
        <v>167</v>
      </c>
      <c r="C1607" t="s">
        <v>596</v>
      </c>
      <c r="D1607" t="s">
        <v>40</v>
      </c>
      <c r="E1607" t="s">
        <v>41</v>
      </c>
      <c r="F1607" t="s">
        <v>27</v>
      </c>
      <c r="G1607" t="s">
        <v>59</v>
      </c>
      <c r="H1607">
        <v>721</v>
      </c>
      <c r="I1607">
        <v>30</v>
      </c>
      <c r="J1607">
        <v>50</v>
      </c>
      <c r="K1607" t="s">
        <v>36</v>
      </c>
      <c r="L1607">
        <v>55</v>
      </c>
      <c r="M1607" t="s">
        <v>21</v>
      </c>
      <c r="N1607">
        <f>COUNTIF(order_data[Order_ID],order_data[[#This Row],[Order_ID]])</f>
        <v>1</v>
      </c>
      <c r="O1607">
        <f>order_data[[#This Row],[Order_Value]]-order_data[[#This Row],[Discount]]</f>
        <v>671</v>
      </c>
      <c r="P1607">
        <f>order_data[[#This Row],[Order_Value]]+order_data[[#This Row],[Delivery_Fee]]-order_data[[#This Row],[Discount]]</f>
        <v>701</v>
      </c>
      <c r="Q1607" t="str">
        <f>TEXT(order_data[[#This Row],[Order_Date]],"mmm")</f>
        <v>Feb</v>
      </c>
      <c r="R1607">
        <f>MONTH(order_data[[#This Row],[Order_Date]])</f>
        <v>2</v>
      </c>
    </row>
    <row r="1608" spans="1:18" x14ac:dyDescent="0.35">
      <c r="A1608" t="s">
        <v>2365</v>
      </c>
      <c r="B1608" t="s">
        <v>326</v>
      </c>
      <c r="C1608" t="s">
        <v>1697</v>
      </c>
      <c r="D1608" t="s">
        <v>40</v>
      </c>
      <c r="E1608" t="s">
        <v>67</v>
      </c>
      <c r="F1608" t="s">
        <v>48</v>
      </c>
      <c r="G1608" t="s">
        <v>63</v>
      </c>
      <c r="H1608">
        <v>271</v>
      </c>
      <c r="I1608">
        <v>40</v>
      </c>
      <c r="J1608">
        <v>50</v>
      </c>
      <c r="K1608" t="s">
        <v>20</v>
      </c>
      <c r="L1608">
        <v>22</v>
      </c>
      <c r="M1608" t="s">
        <v>21</v>
      </c>
      <c r="N1608">
        <f>COUNTIF(order_data[Order_ID],order_data[[#This Row],[Order_ID]])</f>
        <v>1</v>
      </c>
      <c r="O1608">
        <f>order_data[[#This Row],[Order_Value]]-order_data[[#This Row],[Discount]]</f>
        <v>221</v>
      </c>
      <c r="P1608">
        <f>order_data[[#This Row],[Order_Value]]+order_data[[#This Row],[Delivery_Fee]]-order_data[[#This Row],[Discount]]</f>
        <v>261</v>
      </c>
      <c r="Q1608" t="str">
        <f>TEXT(order_data[[#This Row],[Order_Date]],"mmm")</f>
        <v>Mar</v>
      </c>
      <c r="R1608">
        <f>MONTH(order_data[[#This Row],[Order_Date]])</f>
        <v>3</v>
      </c>
    </row>
    <row r="1609" spans="1:18" x14ac:dyDescent="0.35">
      <c r="A1609" t="s">
        <v>2366</v>
      </c>
      <c r="B1609" t="s">
        <v>329</v>
      </c>
      <c r="C1609" t="s">
        <v>860</v>
      </c>
      <c r="D1609" t="s">
        <v>40</v>
      </c>
      <c r="E1609" t="s">
        <v>111</v>
      </c>
      <c r="F1609" t="s">
        <v>18</v>
      </c>
      <c r="G1609" t="s">
        <v>74</v>
      </c>
      <c r="H1609">
        <v>473</v>
      </c>
      <c r="I1609">
        <v>50</v>
      </c>
      <c r="J1609">
        <v>30</v>
      </c>
      <c r="K1609" t="s">
        <v>20</v>
      </c>
      <c r="L1609">
        <v>51</v>
      </c>
      <c r="M1609" t="s">
        <v>21</v>
      </c>
      <c r="N1609">
        <f>COUNTIF(order_data[Order_ID],order_data[[#This Row],[Order_ID]])</f>
        <v>1</v>
      </c>
      <c r="O1609">
        <f>order_data[[#This Row],[Order_Value]]-order_data[[#This Row],[Discount]]</f>
        <v>443</v>
      </c>
      <c r="P1609">
        <f>order_data[[#This Row],[Order_Value]]+order_data[[#This Row],[Delivery_Fee]]-order_data[[#This Row],[Discount]]</f>
        <v>493</v>
      </c>
      <c r="Q1609" t="str">
        <f>TEXT(order_data[[#This Row],[Order_Date]],"mmm")</f>
        <v>Mar</v>
      </c>
      <c r="R1609">
        <f>MONTH(order_data[[#This Row],[Order_Date]])</f>
        <v>3</v>
      </c>
    </row>
    <row r="1610" spans="1:18" x14ac:dyDescent="0.35">
      <c r="A1610" t="s">
        <v>2367</v>
      </c>
      <c r="B1610" t="s">
        <v>252</v>
      </c>
      <c r="C1610" t="s">
        <v>952</v>
      </c>
      <c r="D1610" t="s">
        <v>46</v>
      </c>
      <c r="E1610" t="s">
        <v>70</v>
      </c>
      <c r="F1610" t="s">
        <v>18</v>
      </c>
      <c r="G1610" t="s">
        <v>74</v>
      </c>
      <c r="H1610">
        <v>168</v>
      </c>
      <c r="I1610">
        <v>40</v>
      </c>
      <c r="J1610">
        <v>100</v>
      </c>
      <c r="K1610" t="s">
        <v>20</v>
      </c>
      <c r="L1610">
        <v>29</v>
      </c>
      <c r="M1610" t="s">
        <v>21</v>
      </c>
      <c r="N1610">
        <f>COUNTIF(order_data[Order_ID],order_data[[#This Row],[Order_ID]])</f>
        <v>1</v>
      </c>
      <c r="O1610">
        <f>order_data[[#This Row],[Order_Value]]-order_data[[#This Row],[Discount]]</f>
        <v>68</v>
      </c>
      <c r="P1610">
        <f>order_data[[#This Row],[Order_Value]]+order_data[[#This Row],[Delivery_Fee]]-order_data[[#This Row],[Discount]]</f>
        <v>108</v>
      </c>
      <c r="Q1610" t="str">
        <f>TEXT(order_data[[#This Row],[Order_Date]],"mmm")</f>
        <v>Jan</v>
      </c>
      <c r="R1610">
        <f>MONTH(order_data[[#This Row],[Order_Date]])</f>
        <v>1</v>
      </c>
    </row>
    <row r="1611" spans="1:18" x14ac:dyDescent="0.35">
      <c r="A1611" t="s">
        <v>2368</v>
      </c>
      <c r="B1611" t="s">
        <v>61</v>
      </c>
      <c r="C1611" t="s">
        <v>2369</v>
      </c>
      <c r="D1611" t="s">
        <v>25</v>
      </c>
      <c r="E1611" t="s">
        <v>78</v>
      </c>
      <c r="F1611" t="s">
        <v>48</v>
      </c>
      <c r="G1611" t="s">
        <v>107</v>
      </c>
      <c r="H1611">
        <v>634</v>
      </c>
      <c r="I1611">
        <v>50</v>
      </c>
      <c r="J1611">
        <v>100</v>
      </c>
      <c r="K1611" t="s">
        <v>20</v>
      </c>
      <c r="L1611">
        <v>29</v>
      </c>
      <c r="M1611" t="s">
        <v>21</v>
      </c>
      <c r="N1611">
        <f>COUNTIF(order_data[Order_ID],order_data[[#This Row],[Order_ID]])</f>
        <v>1</v>
      </c>
      <c r="O1611">
        <f>order_data[[#This Row],[Order_Value]]-order_data[[#This Row],[Discount]]</f>
        <v>534</v>
      </c>
      <c r="P1611">
        <f>order_data[[#This Row],[Order_Value]]+order_data[[#This Row],[Delivery_Fee]]-order_data[[#This Row],[Discount]]</f>
        <v>584</v>
      </c>
      <c r="Q1611" t="str">
        <f>TEXT(order_data[[#This Row],[Order_Date]],"mmm")</f>
        <v>Jan</v>
      </c>
      <c r="R1611">
        <f>MONTH(order_data[[#This Row],[Order_Date]])</f>
        <v>1</v>
      </c>
    </row>
    <row r="1612" spans="1:18" x14ac:dyDescent="0.35">
      <c r="A1612" t="s">
        <v>2370</v>
      </c>
      <c r="B1612" t="s">
        <v>526</v>
      </c>
      <c r="C1612" t="s">
        <v>1788</v>
      </c>
      <c r="D1612" t="s">
        <v>40</v>
      </c>
      <c r="E1612" t="s">
        <v>41</v>
      </c>
      <c r="F1612" t="s">
        <v>27</v>
      </c>
      <c r="G1612" t="s">
        <v>42</v>
      </c>
      <c r="H1612">
        <v>429</v>
      </c>
      <c r="I1612">
        <v>30</v>
      </c>
      <c r="J1612">
        <v>30</v>
      </c>
      <c r="K1612" t="s">
        <v>36</v>
      </c>
      <c r="L1612">
        <v>28</v>
      </c>
      <c r="M1612" t="s">
        <v>21</v>
      </c>
      <c r="N1612">
        <f>COUNTIF(order_data[Order_ID],order_data[[#This Row],[Order_ID]])</f>
        <v>1</v>
      </c>
      <c r="O1612">
        <f>order_data[[#This Row],[Order_Value]]-order_data[[#This Row],[Discount]]</f>
        <v>399</v>
      </c>
      <c r="P1612">
        <f>order_data[[#This Row],[Order_Value]]+order_data[[#This Row],[Delivery_Fee]]-order_data[[#This Row],[Discount]]</f>
        <v>429</v>
      </c>
      <c r="Q1612" t="str">
        <f>TEXT(order_data[[#This Row],[Order_Date]],"mmm")</f>
        <v>Jan</v>
      </c>
      <c r="R1612">
        <f>MONTH(order_data[[#This Row],[Order_Date]])</f>
        <v>1</v>
      </c>
    </row>
    <row r="1613" spans="1:18" x14ac:dyDescent="0.35">
      <c r="A1613" t="s">
        <v>2371</v>
      </c>
      <c r="B1613" t="s">
        <v>271</v>
      </c>
      <c r="C1613" t="s">
        <v>566</v>
      </c>
      <c r="D1613" t="s">
        <v>25</v>
      </c>
      <c r="E1613" t="s">
        <v>78</v>
      </c>
      <c r="F1613" t="s">
        <v>48</v>
      </c>
      <c r="G1613" t="s">
        <v>74</v>
      </c>
      <c r="H1613">
        <v>250</v>
      </c>
      <c r="I1613">
        <v>50</v>
      </c>
      <c r="J1613">
        <v>30</v>
      </c>
      <c r="K1613" t="s">
        <v>29</v>
      </c>
      <c r="L1613">
        <v>40</v>
      </c>
      <c r="M1613" t="s">
        <v>21</v>
      </c>
      <c r="N1613">
        <f>COUNTIF(order_data[Order_ID],order_data[[#This Row],[Order_ID]])</f>
        <v>1</v>
      </c>
      <c r="O1613">
        <f>order_data[[#This Row],[Order_Value]]-order_data[[#This Row],[Discount]]</f>
        <v>220</v>
      </c>
      <c r="P1613">
        <f>order_data[[#This Row],[Order_Value]]+order_data[[#This Row],[Delivery_Fee]]-order_data[[#This Row],[Discount]]</f>
        <v>270</v>
      </c>
      <c r="Q1613" t="str">
        <f>TEXT(order_data[[#This Row],[Order_Date]],"mmm")</f>
        <v>Jan</v>
      </c>
      <c r="R1613">
        <f>MONTH(order_data[[#This Row],[Order_Date]])</f>
        <v>1</v>
      </c>
    </row>
    <row r="1614" spans="1:18" x14ac:dyDescent="0.35">
      <c r="A1614" t="s">
        <v>2372</v>
      </c>
      <c r="B1614" t="s">
        <v>199</v>
      </c>
      <c r="C1614" t="s">
        <v>659</v>
      </c>
      <c r="D1614" t="s">
        <v>16</v>
      </c>
      <c r="E1614" t="s">
        <v>131</v>
      </c>
      <c r="F1614" t="s">
        <v>55</v>
      </c>
      <c r="G1614" t="s">
        <v>63</v>
      </c>
      <c r="H1614">
        <v>306</v>
      </c>
      <c r="I1614">
        <v>50</v>
      </c>
      <c r="J1614">
        <v>20</v>
      </c>
      <c r="K1614" t="s">
        <v>36</v>
      </c>
      <c r="L1614">
        <v>43</v>
      </c>
      <c r="M1614" t="s">
        <v>21</v>
      </c>
      <c r="N1614">
        <f>COUNTIF(order_data[Order_ID],order_data[[#This Row],[Order_ID]])</f>
        <v>1</v>
      </c>
      <c r="O1614">
        <f>order_data[[#This Row],[Order_Value]]-order_data[[#This Row],[Discount]]</f>
        <v>286</v>
      </c>
      <c r="P1614">
        <f>order_data[[#This Row],[Order_Value]]+order_data[[#This Row],[Delivery_Fee]]-order_data[[#This Row],[Discount]]</f>
        <v>336</v>
      </c>
      <c r="Q1614" t="str">
        <f>TEXT(order_data[[#This Row],[Order_Date]],"mmm")</f>
        <v>Jan</v>
      </c>
      <c r="R1614">
        <f>MONTH(order_data[[#This Row],[Order_Date]])</f>
        <v>1</v>
      </c>
    </row>
    <row r="1615" spans="1:18" x14ac:dyDescent="0.35">
      <c r="A1615" t="s">
        <v>2373</v>
      </c>
      <c r="B1615" t="s">
        <v>310</v>
      </c>
      <c r="C1615" t="s">
        <v>940</v>
      </c>
      <c r="D1615" t="s">
        <v>16</v>
      </c>
      <c r="E1615" t="s">
        <v>89</v>
      </c>
      <c r="F1615" t="s">
        <v>18</v>
      </c>
      <c r="G1615" t="s">
        <v>176</v>
      </c>
      <c r="H1615">
        <v>289</v>
      </c>
      <c r="I1615">
        <v>30</v>
      </c>
      <c r="J1615">
        <v>20</v>
      </c>
      <c r="K1615" t="s">
        <v>36</v>
      </c>
      <c r="L1615">
        <v>21</v>
      </c>
      <c r="M1615" t="s">
        <v>21</v>
      </c>
      <c r="N1615">
        <f>COUNTIF(order_data[Order_ID],order_data[[#This Row],[Order_ID]])</f>
        <v>1</v>
      </c>
      <c r="O1615">
        <f>order_data[[#This Row],[Order_Value]]-order_data[[#This Row],[Discount]]</f>
        <v>269</v>
      </c>
      <c r="P1615">
        <f>order_data[[#This Row],[Order_Value]]+order_data[[#This Row],[Delivery_Fee]]-order_data[[#This Row],[Discount]]</f>
        <v>299</v>
      </c>
      <c r="Q1615" t="str">
        <f>TEXT(order_data[[#This Row],[Order_Date]],"mmm")</f>
        <v>Feb</v>
      </c>
      <c r="R1615">
        <f>MONTH(order_data[[#This Row],[Order_Date]])</f>
        <v>2</v>
      </c>
    </row>
    <row r="1616" spans="1:18" x14ac:dyDescent="0.35">
      <c r="A1616" t="s">
        <v>2374</v>
      </c>
      <c r="B1616" t="s">
        <v>657</v>
      </c>
      <c r="C1616" t="s">
        <v>1432</v>
      </c>
      <c r="D1616" t="s">
        <v>16</v>
      </c>
      <c r="E1616" t="s">
        <v>89</v>
      </c>
      <c r="F1616" t="s">
        <v>18</v>
      </c>
      <c r="G1616" t="s">
        <v>35</v>
      </c>
      <c r="H1616">
        <v>227</v>
      </c>
      <c r="I1616">
        <v>20</v>
      </c>
      <c r="J1616">
        <v>50</v>
      </c>
      <c r="K1616" t="s">
        <v>20</v>
      </c>
      <c r="L1616">
        <v>34</v>
      </c>
      <c r="M1616" t="s">
        <v>21</v>
      </c>
      <c r="N1616">
        <f>COUNTIF(order_data[Order_ID],order_data[[#This Row],[Order_ID]])</f>
        <v>1</v>
      </c>
      <c r="O1616">
        <f>order_data[[#This Row],[Order_Value]]-order_data[[#This Row],[Discount]]</f>
        <v>177</v>
      </c>
      <c r="P1616">
        <f>order_data[[#This Row],[Order_Value]]+order_data[[#This Row],[Delivery_Fee]]-order_data[[#This Row],[Discount]]</f>
        <v>197</v>
      </c>
      <c r="Q1616" t="str">
        <f>TEXT(order_data[[#This Row],[Order_Date]],"mmm")</f>
        <v>Jan</v>
      </c>
      <c r="R1616">
        <f>MONTH(order_data[[#This Row],[Order_Date]])</f>
        <v>1</v>
      </c>
    </row>
    <row r="1617" spans="1:18" x14ac:dyDescent="0.35">
      <c r="A1617" t="s">
        <v>2375</v>
      </c>
      <c r="B1617" t="s">
        <v>449</v>
      </c>
      <c r="C1617" t="s">
        <v>1344</v>
      </c>
      <c r="D1617" t="s">
        <v>46</v>
      </c>
      <c r="E1617" t="s">
        <v>148</v>
      </c>
      <c r="F1617" t="s">
        <v>27</v>
      </c>
      <c r="G1617" t="s">
        <v>19</v>
      </c>
      <c r="H1617">
        <v>451</v>
      </c>
      <c r="I1617">
        <v>20</v>
      </c>
      <c r="J1617">
        <v>0</v>
      </c>
      <c r="K1617" t="s">
        <v>29</v>
      </c>
      <c r="L1617">
        <v>39</v>
      </c>
      <c r="M1617" t="s">
        <v>21</v>
      </c>
      <c r="N1617">
        <f>COUNTIF(order_data[Order_ID],order_data[[#This Row],[Order_ID]])</f>
        <v>1</v>
      </c>
      <c r="O1617">
        <f>order_data[[#This Row],[Order_Value]]-order_data[[#This Row],[Discount]]</f>
        <v>451</v>
      </c>
      <c r="P1617">
        <f>order_data[[#This Row],[Order_Value]]+order_data[[#This Row],[Delivery_Fee]]-order_data[[#This Row],[Discount]]</f>
        <v>471</v>
      </c>
      <c r="Q1617" t="str">
        <f>TEXT(order_data[[#This Row],[Order_Date]],"mmm")</f>
        <v>Mar</v>
      </c>
      <c r="R1617">
        <f>MONTH(order_data[[#This Row],[Order_Date]])</f>
        <v>3</v>
      </c>
    </row>
    <row r="1618" spans="1:18" x14ac:dyDescent="0.35">
      <c r="A1618" t="s">
        <v>2376</v>
      </c>
      <c r="B1618" t="s">
        <v>178</v>
      </c>
      <c r="C1618" t="s">
        <v>891</v>
      </c>
      <c r="D1618" t="s">
        <v>25</v>
      </c>
      <c r="E1618" t="s">
        <v>78</v>
      </c>
      <c r="F1618" t="s">
        <v>48</v>
      </c>
      <c r="G1618" t="s">
        <v>49</v>
      </c>
      <c r="H1618">
        <v>234</v>
      </c>
      <c r="I1618">
        <v>50</v>
      </c>
      <c r="J1618">
        <v>0</v>
      </c>
      <c r="K1618" t="s">
        <v>36</v>
      </c>
      <c r="L1618">
        <v>60</v>
      </c>
      <c r="M1618" t="s">
        <v>21</v>
      </c>
      <c r="N1618">
        <f>COUNTIF(order_data[Order_ID],order_data[[#This Row],[Order_ID]])</f>
        <v>1</v>
      </c>
      <c r="O1618">
        <f>order_data[[#This Row],[Order_Value]]-order_data[[#This Row],[Discount]]</f>
        <v>234</v>
      </c>
      <c r="P1618">
        <f>order_data[[#This Row],[Order_Value]]+order_data[[#This Row],[Delivery_Fee]]-order_data[[#This Row],[Discount]]</f>
        <v>284</v>
      </c>
      <c r="Q1618" t="str">
        <f>TEXT(order_data[[#This Row],[Order_Date]],"mmm")</f>
        <v>Feb</v>
      </c>
      <c r="R1618">
        <f>MONTH(order_data[[#This Row],[Order_Date]])</f>
        <v>2</v>
      </c>
    </row>
    <row r="1619" spans="1:18" x14ac:dyDescent="0.35">
      <c r="A1619" t="s">
        <v>2377</v>
      </c>
      <c r="B1619" t="s">
        <v>69</v>
      </c>
      <c r="C1619" t="s">
        <v>1173</v>
      </c>
      <c r="D1619" t="s">
        <v>16</v>
      </c>
      <c r="E1619" t="s">
        <v>17</v>
      </c>
      <c r="F1619" t="s">
        <v>18</v>
      </c>
      <c r="G1619" t="s">
        <v>63</v>
      </c>
      <c r="H1619">
        <v>192</v>
      </c>
      <c r="I1619">
        <v>50</v>
      </c>
      <c r="J1619">
        <v>20</v>
      </c>
      <c r="K1619" t="s">
        <v>20</v>
      </c>
      <c r="L1619">
        <v>31</v>
      </c>
      <c r="M1619" t="s">
        <v>30</v>
      </c>
      <c r="N1619">
        <f>COUNTIF(order_data[Order_ID],order_data[[#This Row],[Order_ID]])</f>
        <v>1</v>
      </c>
      <c r="O1619">
        <f>order_data[[#This Row],[Order_Value]]-order_data[[#This Row],[Discount]]</f>
        <v>172</v>
      </c>
      <c r="P1619">
        <f>order_data[[#This Row],[Order_Value]]+order_data[[#This Row],[Delivery_Fee]]-order_data[[#This Row],[Discount]]</f>
        <v>222</v>
      </c>
      <c r="Q1619" t="str">
        <f>TEXT(order_data[[#This Row],[Order_Date]],"mmm")</f>
        <v>Feb</v>
      </c>
      <c r="R1619">
        <f>MONTH(order_data[[#This Row],[Order_Date]])</f>
        <v>2</v>
      </c>
    </row>
    <row r="1620" spans="1:18" x14ac:dyDescent="0.35">
      <c r="A1620" t="s">
        <v>2378</v>
      </c>
      <c r="B1620" t="s">
        <v>76</v>
      </c>
      <c r="C1620" t="s">
        <v>988</v>
      </c>
      <c r="D1620" t="s">
        <v>46</v>
      </c>
      <c r="E1620" t="s">
        <v>148</v>
      </c>
      <c r="F1620" t="s">
        <v>27</v>
      </c>
      <c r="G1620" t="s">
        <v>42</v>
      </c>
      <c r="H1620">
        <v>721</v>
      </c>
      <c r="I1620">
        <v>50</v>
      </c>
      <c r="J1620">
        <v>30</v>
      </c>
      <c r="K1620" t="s">
        <v>36</v>
      </c>
      <c r="L1620">
        <v>25</v>
      </c>
      <c r="M1620" t="s">
        <v>21</v>
      </c>
      <c r="N1620">
        <f>COUNTIF(order_data[Order_ID],order_data[[#This Row],[Order_ID]])</f>
        <v>1</v>
      </c>
      <c r="O1620">
        <f>order_data[[#This Row],[Order_Value]]-order_data[[#This Row],[Discount]]</f>
        <v>691</v>
      </c>
      <c r="P1620">
        <f>order_data[[#This Row],[Order_Value]]+order_data[[#This Row],[Delivery_Fee]]-order_data[[#This Row],[Discount]]</f>
        <v>741</v>
      </c>
      <c r="Q1620" t="str">
        <f>TEXT(order_data[[#This Row],[Order_Date]],"mmm")</f>
        <v>Feb</v>
      </c>
      <c r="R1620">
        <f>MONTH(order_data[[#This Row],[Order_Date]])</f>
        <v>2</v>
      </c>
    </row>
    <row r="1621" spans="1:18" x14ac:dyDescent="0.35">
      <c r="A1621" t="s">
        <v>2379</v>
      </c>
      <c r="B1621" t="s">
        <v>72</v>
      </c>
      <c r="C1621" t="s">
        <v>396</v>
      </c>
      <c r="D1621" t="s">
        <v>53</v>
      </c>
      <c r="E1621" t="s">
        <v>152</v>
      </c>
      <c r="F1621" t="s">
        <v>18</v>
      </c>
      <c r="G1621" t="s">
        <v>59</v>
      </c>
      <c r="H1621">
        <v>219</v>
      </c>
      <c r="I1621">
        <v>30</v>
      </c>
      <c r="J1621">
        <v>20</v>
      </c>
      <c r="K1621" t="s">
        <v>20</v>
      </c>
      <c r="L1621">
        <v>39</v>
      </c>
      <c r="M1621" t="s">
        <v>30</v>
      </c>
      <c r="N1621">
        <f>COUNTIF(order_data[Order_ID],order_data[[#This Row],[Order_ID]])</f>
        <v>1</v>
      </c>
      <c r="O1621">
        <f>order_data[[#This Row],[Order_Value]]-order_data[[#This Row],[Discount]]</f>
        <v>199</v>
      </c>
      <c r="P1621">
        <f>order_data[[#This Row],[Order_Value]]+order_data[[#This Row],[Delivery_Fee]]-order_data[[#This Row],[Discount]]</f>
        <v>229</v>
      </c>
      <c r="Q1621" t="str">
        <f>TEXT(order_data[[#This Row],[Order_Date]],"mmm")</f>
        <v>Jan</v>
      </c>
      <c r="R1621">
        <f>MONTH(order_data[[#This Row],[Order_Date]])</f>
        <v>1</v>
      </c>
    </row>
    <row r="1622" spans="1:18" x14ac:dyDescent="0.35">
      <c r="A1622" t="s">
        <v>2380</v>
      </c>
      <c r="B1622" t="s">
        <v>189</v>
      </c>
      <c r="C1622" t="s">
        <v>1788</v>
      </c>
      <c r="D1622" t="s">
        <v>16</v>
      </c>
      <c r="E1622" t="s">
        <v>17</v>
      </c>
      <c r="F1622" t="s">
        <v>18</v>
      </c>
      <c r="G1622" t="s">
        <v>19</v>
      </c>
      <c r="H1622">
        <v>460</v>
      </c>
      <c r="I1622">
        <v>20</v>
      </c>
      <c r="J1622">
        <v>20</v>
      </c>
      <c r="K1622" t="s">
        <v>29</v>
      </c>
      <c r="L1622">
        <v>52</v>
      </c>
      <c r="M1622" t="s">
        <v>21</v>
      </c>
      <c r="N1622">
        <f>COUNTIF(order_data[Order_ID],order_data[[#This Row],[Order_ID]])</f>
        <v>1</v>
      </c>
      <c r="O1622">
        <f>order_data[[#This Row],[Order_Value]]-order_data[[#This Row],[Discount]]</f>
        <v>440</v>
      </c>
      <c r="P1622">
        <f>order_data[[#This Row],[Order_Value]]+order_data[[#This Row],[Delivery_Fee]]-order_data[[#This Row],[Discount]]</f>
        <v>460</v>
      </c>
      <c r="Q1622" t="str">
        <f>TEXT(order_data[[#This Row],[Order_Date]],"mmm")</f>
        <v>Feb</v>
      </c>
      <c r="R1622">
        <f>MONTH(order_data[[#This Row],[Order_Date]])</f>
        <v>2</v>
      </c>
    </row>
    <row r="1623" spans="1:18" x14ac:dyDescent="0.35">
      <c r="A1623" t="s">
        <v>2381</v>
      </c>
      <c r="B1623" t="s">
        <v>454</v>
      </c>
      <c r="C1623" t="s">
        <v>1124</v>
      </c>
      <c r="D1623" t="s">
        <v>40</v>
      </c>
      <c r="E1623" t="s">
        <v>67</v>
      </c>
      <c r="F1623" t="s">
        <v>48</v>
      </c>
      <c r="G1623" t="s">
        <v>49</v>
      </c>
      <c r="H1623">
        <v>675</v>
      </c>
      <c r="I1623">
        <v>50</v>
      </c>
      <c r="J1623">
        <v>100</v>
      </c>
      <c r="K1623" t="s">
        <v>29</v>
      </c>
      <c r="L1623">
        <v>57</v>
      </c>
      <c r="M1623" t="s">
        <v>21</v>
      </c>
      <c r="N1623">
        <f>COUNTIF(order_data[Order_ID],order_data[[#This Row],[Order_ID]])</f>
        <v>1</v>
      </c>
      <c r="O1623">
        <f>order_data[[#This Row],[Order_Value]]-order_data[[#This Row],[Discount]]</f>
        <v>575</v>
      </c>
      <c r="P1623">
        <f>order_data[[#This Row],[Order_Value]]+order_data[[#This Row],[Delivery_Fee]]-order_data[[#This Row],[Discount]]</f>
        <v>625</v>
      </c>
      <c r="Q1623" t="str">
        <f>TEXT(order_data[[#This Row],[Order_Date]],"mmm")</f>
        <v>Jan</v>
      </c>
      <c r="R1623">
        <f>MONTH(order_data[[#This Row],[Order_Date]])</f>
        <v>1</v>
      </c>
    </row>
    <row r="1624" spans="1:18" x14ac:dyDescent="0.35">
      <c r="A1624" t="s">
        <v>2382</v>
      </c>
      <c r="B1624" t="s">
        <v>154</v>
      </c>
      <c r="C1624" t="s">
        <v>642</v>
      </c>
      <c r="D1624" t="s">
        <v>53</v>
      </c>
      <c r="E1624" t="s">
        <v>152</v>
      </c>
      <c r="F1624" t="s">
        <v>18</v>
      </c>
      <c r="G1624" t="s">
        <v>63</v>
      </c>
      <c r="H1624">
        <v>791</v>
      </c>
      <c r="I1624">
        <v>30</v>
      </c>
      <c r="J1624">
        <v>30</v>
      </c>
      <c r="K1624" t="s">
        <v>20</v>
      </c>
      <c r="L1624">
        <v>45</v>
      </c>
      <c r="M1624" t="s">
        <v>21</v>
      </c>
      <c r="N1624">
        <f>COUNTIF(order_data[Order_ID],order_data[[#This Row],[Order_ID]])</f>
        <v>1</v>
      </c>
      <c r="O1624">
        <f>order_data[[#This Row],[Order_Value]]-order_data[[#This Row],[Discount]]</f>
        <v>761</v>
      </c>
      <c r="P1624">
        <f>order_data[[#This Row],[Order_Value]]+order_data[[#This Row],[Delivery_Fee]]-order_data[[#This Row],[Discount]]</f>
        <v>791</v>
      </c>
      <c r="Q1624" t="str">
        <f>TEXT(order_data[[#This Row],[Order_Date]],"mmm")</f>
        <v>Jan</v>
      </c>
      <c r="R1624">
        <f>MONTH(order_data[[#This Row],[Order_Date]])</f>
        <v>1</v>
      </c>
    </row>
    <row r="1625" spans="1:18" x14ac:dyDescent="0.35">
      <c r="A1625" t="s">
        <v>2383</v>
      </c>
      <c r="B1625" t="s">
        <v>398</v>
      </c>
      <c r="C1625" t="s">
        <v>2384</v>
      </c>
      <c r="D1625" t="s">
        <v>16</v>
      </c>
      <c r="E1625" t="s">
        <v>131</v>
      </c>
      <c r="F1625" t="s">
        <v>55</v>
      </c>
      <c r="G1625" t="s">
        <v>107</v>
      </c>
      <c r="H1625">
        <v>416</v>
      </c>
      <c r="I1625">
        <v>30</v>
      </c>
      <c r="J1625">
        <v>50</v>
      </c>
      <c r="K1625" t="s">
        <v>36</v>
      </c>
      <c r="L1625">
        <v>35</v>
      </c>
      <c r="M1625" t="s">
        <v>21</v>
      </c>
      <c r="N1625">
        <f>COUNTIF(order_data[Order_ID],order_data[[#This Row],[Order_ID]])</f>
        <v>1</v>
      </c>
      <c r="O1625">
        <f>order_data[[#This Row],[Order_Value]]-order_data[[#This Row],[Discount]]</f>
        <v>366</v>
      </c>
      <c r="P1625">
        <f>order_data[[#This Row],[Order_Value]]+order_data[[#This Row],[Delivery_Fee]]-order_data[[#This Row],[Discount]]</f>
        <v>396</v>
      </c>
      <c r="Q1625" t="str">
        <f>TEXT(order_data[[#This Row],[Order_Date]],"mmm")</f>
        <v>Feb</v>
      </c>
      <c r="R1625">
        <f>MONTH(order_data[[#This Row],[Order_Date]])</f>
        <v>2</v>
      </c>
    </row>
    <row r="1626" spans="1:18" x14ac:dyDescent="0.35">
      <c r="A1626" t="s">
        <v>2385</v>
      </c>
      <c r="B1626" t="s">
        <v>300</v>
      </c>
      <c r="C1626" t="s">
        <v>269</v>
      </c>
      <c r="D1626" t="s">
        <v>16</v>
      </c>
      <c r="E1626" t="s">
        <v>131</v>
      </c>
      <c r="F1626" t="s">
        <v>55</v>
      </c>
      <c r="G1626" t="s">
        <v>63</v>
      </c>
      <c r="H1626">
        <v>406</v>
      </c>
      <c r="I1626">
        <v>40</v>
      </c>
      <c r="J1626">
        <v>100</v>
      </c>
      <c r="K1626" t="s">
        <v>36</v>
      </c>
      <c r="L1626">
        <v>20</v>
      </c>
      <c r="M1626" t="s">
        <v>21</v>
      </c>
      <c r="N1626">
        <f>COUNTIF(order_data[Order_ID],order_data[[#This Row],[Order_ID]])</f>
        <v>1</v>
      </c>
      <c r="O1626">
        <f>order_data[[#This Row],[Order_Value]]-order_data[[#This Row],[Discount]]</f>
        <v>306</v>
      </c>
      <c r="P1626">
        <f>order_data[[#This Row],[Order_Value]]+order_data[[#This Row],[Delivery_Fee]]-order_data[[#This Row],[Discount]]</f>
        <v>346</v>
      </c>
      <c r="Q1626" t="str">
        <f>TEXT(order_data[[#This Row],[Order_Date]],"mmm")</f>
        <v>Mar</v>
      </c>
      <c r="R1626">
        <f>MONTH(order_data[[#This Row],[Order_Date]])</f>
        <v>3</v>
      </c>
    </row>
    <row r="1627" spans="1:18" x14ac:dyDescent="0.35">
      <c r="A1627" t="s">
        <v>2386</v>
      </c>
      <c r="B1627" t="s">
        <v>280</v>
      </c>
      <c r="C1627" t="s">
        <v>2122</v>
      </c>
      <c r="D1627" t="s">
        <v>25</v>
      </c>
      <c r="E1627" t="s">
        <v>34</v>
      </c>
      <c r="F1627" t="s">
        <v>27</v>
      </c>
      <c r="G1627" t="s">
        <v>59</v>
      </c>
      <c r="H1627">
        <v>267</v>
      </c>
      <c r="I1627">
        <v>20</v>
      </c>
      <c r="J1627">
        <v>100</v>
      </c>
      <c r="K1627" t="s">
        <v>29</v>
      </c>
      <c r="L1627">
        <v>20</v>
      </c>
      <c r="M1627" t="s">
        <v>21</v>
      </c>
      <c r="N1627">
        <f>COUNTIF(order_data[Order_ID],order_data[[#This Row],[Order_ID]])</f>
        <v>1</v>
      </c>
      <c r="O1627">
        <f>order_data[[#This Row],[Order_Value]]-order_data[[#This Row],[Discount]]</f>
        <v>167</v>
      </c>
      <c r="P1627">
        <f>order_data[[#This Row],[Order_Value]]+order_data[[#This Row],[Delivery_Fee]]-order_data[[#This Row],[Discount]]</f>
        <v>187</v>
      </c>
      <c r="Q1627" t="str">
        <f>TEXT(order_data[[#This Row],[Order_Date]],"mmm")</f>
        <v>Jan</v>
      </c>
      <c r="R1627">
        <f>MONTH(order_data[[#This Row],[Order_Date]])</f>
        <v>1</v>
      </c>
    </row>
    <row r="1628" spans="1:18" x14ac:dyDescent="0.35">
      <c r="A1628" t="s">
        <v>2387</v>
      </c>
      <c r="B1628" t="s">
        <v>541</v>
      </c>
      <c r="C1628" t="s">
        <v>343</v>
      </c>
      <c r="D1628" t="s">
        <v>40</v>
      </c>
      <c r="E1628" t="s">
        <v>111</v>
      </c>
      <c r="F1628" t="s">
        <v>18</v>
      </c>
      <c r="G1628" t="s">
        <v>28</v>
      </c>
      <c r="H1628">
        <v>302</v>
      </c>
      <c r="I1628">
        <v>40</v>
      </c>
      <c r="J1628">
        <v>30</v>
      </c>
      <c r="K1628" t="s">
        <v>29</v>
      </c>
      <c r="L1628">
        <v>42</v>
      </c>
      <c r="M1628" t="s">
        <v>21</v>
      </c>
      <c r="N1628">
        <f>COUNTIF(order_data[Order_ID],order_data[[#This Row],[Order_ID]])</f>
        <v>1</v>
      </c>
      <c r="O1628">
        <f>order_data[[#This Row],[Order_Value]]-order_data[[#This Row],[Discount]]</f>
        <v>272</v>
      </c>
      <c r="P1628">
        <f>order_data[[#This Row],[Order_Value]]+order_data[[#This Row],[Delivery_Fee]]-order_data[[#This Row],[Discount]]</f>
        <v>312</v>
      </c>
      <c r="Q1628" t="str">
        <f>TEXT(order_data[[#This Row],[Order_Date]],"mmm")</f>
        <v>Jan</v>
      </c>
      <c r="R1628">
        <f>MONTH(order_data[[#This Row],[Order_Date]])</f>
        <v>1</v>
      </c>
    </row>
    <row r="1629" spans="1:18" x14ac:dyDescent="0.35">
      <c r="A1629" t="s">
        <v>2388</v>
      </c>
      <c r="B1629" t="s">
        <v>181</v>
      </c>
      <c r="C1629" t="s">
        <v>1204</v>
      </c>
      <c r="D1629" t="s">
        <v>25</v>
      </c>
      <c r="E1629" t="s">
        <v>26</v>
      </c>
      <c r="F1629" t="s">
        <v>27</v>
      </c>
      <c r="G1629" t="s">
        <v>107</v>
      </c>
      <c r="H1629">
        <v>787</v>
      </c>
      <c r="I1629">
        <v>30</v>
      </c>
      <c r="J1629">
        <v>50</v>
      </c>
      <c r="K1629" t="s">
        <v>29</v>
      </c>
      <c r="L1629">
        <v>53</v>
      </c>
      <c r="M1629" t="s">
        <v>21</v>
      </c>
      <c r="N1629">
        <f>COUNTIF(order_data[Order_ID],order_data[[#This Row],[Order_ID]])</f>
        <v>1</v>
      </c>
      <c r="O1629">
        <f>order_data[[#This Row],[Order_Value]]-order_data[[#This Row],[Discount]]</f>
        <v>737</v>
      </c>
      <c r="P1629">
        <f>order_data[[#This Row],[Order_Value]]+order_data[[#This Row],[Delivery_Fee]]-order_data[[#This Row],[Discount]]</f>
        <v>767</v>
      </c>
      <c r="Q1629" t="str">
        <f>TEXT(order_data[[#This Row],[Order_Date]],"mmm")</f>
        <v>Feb</v>
      </c>
      <c r="R1629">
        <f>MONTH(order_data[[#This Row],[Order_Date]])</f>
        <v>2</v>
      </c>
    </row>
    <row r="1630" spans="1:18" x14ac:dyDescent="0.35">
      <c r="A1630" t="s">
        <v>2389</v>
      </c>
      <c r="B1630" t="s">
        <v>96</v>
      </c>
      <c r="C1630" t="s">
        <v>1948</v>
      </c>
      <c r="D1630" t="s">
        <v>40</v>
      </c>
      <c r="E1630" t="s">
        <v>111</v>
      </c>
      <c r="F1630" t="s">
        <v>18</v>
      </c>
      <c r="G1630" t="s">
        <v>63</v>
      </c>
      <c r="H1630">
        <v>164</v>
      </c>
      <c r="I1630">
        <v>40</v>
      </c>
      <c r="J1630">
        <v>50</v>
      </c>
      <c r="K1630" t="s">
        <v>36</v>
      </c>
      <c r="L1630">
        <v>40</v>
      </c>
      <c r="M1630" t="s">
        <v>21</v>
      </c>
      <c r="N1630">
        <f>COUNTIF(order_data[Order_ID],order_data[[#This Row],[Order_ID]])</f>
        <v>1</v>
      </c>
      <c r="O1630">
        <f>order_data[[#This Row],[Order_Value]]-order_data[[#This Row],[Discount]]</f>
        <v>114</v>
      </c>
      <c r="P1630">
        <f>order_data[[#This Row],[Order_Value]]+order_data[[#This Row],[Delivery_Fee]]-order_data[[#This Row],[Discount]]</f>
        <v>154</v>
      </c>
      <c r="Q1630" t="str">
        <f>TEXT(order_data[[#This Row],[Order_Date]],"mmm")</f>
        <v>Mar</v>
      </c>
      <c r="R1630">
        <f>MONTH(order_data[[#This Row],[Order_Date]])</f>
        <v>3</v>
      </c>
    </row>
    <row r="1631" spans="1:18" x14ac:dyDescent="0.35">
      <c r="A1631" t="s">
        <v>2390</v>
      </c>
      <c r="B1631" t="s">
        <v>102</v>
      </c>
      <c r="C1631" t="s">
        <v>24</v>
      </c>
      <c r="D1631" t="s">
        <v>25</v>
      </c>
      <c r="E1631" t="s">
        <v>26</v>
      </c>
      <c r="F1631" t="s">
        <v>27</v>
      </c>
      <c r="G1631" t="s">
        <v>176</v>
      </c>
      <c r="H1631">
        <v>387</v>
      </c>
      <c r="I1631">
        <v>20</v>
      </c>
      <c r="J1631">
        <v>50</v>
      </c>
      <c r="K1631" t="s">
        <v>36</v>
      </c>
      <c r="L1631">
        <v>40</v>
      </c>
      <c r="M1631" t="s">
        <v>21</v>
      </c>
      <c r="N1631">
        <f>COUNTIF(order_data[Order_ID],order_data[[#This Row],[Order_ID]])</f>
        <v>1</v>
      </c>
      <c r="O1631">
        <f>order_data[[#This Row],[Order_Value]]-order_data[[#This Row],[Discount]]</f>
        <v>337</v>
      </c>
      <c r="P1631">
        <f>order_data[[#This Row],[Order_Value]]+order_data[[#This Row],[Delivery_Fee]]-order_data[[#This Row],[Discount]]</f>
        <v>357</v>
      </c>
      <c r="Q1631" t="str">
        <f>TEXT(order_data[[#This Row],[Order_Date]],"mmm")</f>
        <v>Mar</v>
      </c>
      <c r="R1631">
        <f>MONTH(order_data[[#This Row],[Order_Date]])</f>
        <v>3</v>
      </c>
    </row>
    <row r="1632" spans="1:18" x14ac:dyDescent="0.35">
      <c r="A1632" t="s">
        <v>2391</v>
      </c>
      <c r="B1632" t="s">
        <v>207</v>
      </c>
      <c r="C1632" t="s">
        <v>1846</v>
      </c>
      <c r="D1632" t="s">
        <v>40</v>
      </c>
      <c r="E1632" t="s">
        <v>111</v>
      </c>
      <c r="F1632" t="s">
        <v>18</v>
      </c>
      <c r="G1632" t="s">
        <v>28</v>
      </c>
      <c r="H1632">
        <v>366</v>
      </c>
      <c r="I1632">
        <v>30</v>
      </c>
      <c r="J1632">
        <v>30</v>
      </c>
      <c r="K1632" t="s">
        <v>29</v>
      </c>
      <c r="L1632">
        <v>33</v>
      </c>
      <c r="M1632" t="s">
        <v>30</v>
      </c>
      <c r="N1632">
        <f>COUNTIF(order_data[Order_ID],order_data[[#This Row],[Order_ID]])</f>
        <v>1</v>
      </c>
      <c r="O1632">
        <f>order_data[[#This Row],[Order_Value]]-order_data[[#This Row],[Discount]]</f>
        <v>336</v>
      </c>
      <c r="P1632">
        <f>order_data[[#This Row],[Order_Value]]+order_data[[#This Row],[Delivery_Fee]]-order_data[[#This Row],[Discount]]</f>
        <v>366</v>
      </c>
      <c r="Q1632" t="str">
        <f>TEXT(order_data[[#This Row],[Order_Date]],"mmm")</f>
        <v>Jan</v>
      </c>
      <c r="R1632">
        <f>MONTH(order_data[[#This Row],[Order_Date]])</f>
        <v>1</v>
      </c>
    </row>
    <row r="1633" spans="1:18" x14ac:dyDescent="0.35">
      <c r="A1633" t="s">
        <v>2392</v>
      </c>
      <c r="B1633" t="s">
        <v>174</v>
      </c>
      <c r="C1633" t="s">
        <v>1006</v>
      </c>
      <c r="D1633" t="s">
        <v>25</v>
      </c>
      <c r="E1633" t="s">
        <v>26</v>
      </c>
      <c r="F1633" t="s">
        <v>27</v>
      </c>
      <c r="G1633" t="s">
        <v>49</v>
      </c>
      <c r="H1633">
        <v>341</v>
      </c>
      <c r="I1633">
        <v>30</v>
      </c>
      <c r="J1633">
        <v>100</v>
      </c>
      <c r="K1633" t="s">
        <v>29</v>
      </c>
      <c r="L1633">
        <v>52</v>
      </c>
      <c r="M1633" t="s">
        <v>21</v>
      </c>
      <c r="N1633">
        <f>COUNTIF(order_data[Order_ID],order_data[[#This Row],[Order_ID]])</f>
        <v>1</v>
      </c>
      <c r="O1633">
        <f>order_data[[#This Row],[Order_Value]]-order_data[[#This Row],[Discount]]</f>
        <v>241</v>
      </c>
      <c r="P1633">
        <f>order_data[[#This Row],[Order_Value]]+order_data[[#This Row],[Delivery_Fee]]-order_data[[#This Row],[Discount]]</f>
        <v>271</v>
      </c>
      <c r="Q1633" t="str">
        <f>TEXT(order_data[[#This Row],[Order_Date]],"mmm")</f>
        <v>Feb</v>
      </c>
      <c r="R1633">
        <f>MONTH(order_data[[#This Row],[Order_Date]])</f>
        <v>2</v>
      </c>
    </row>
    <row r="1634" spans="1:18" x14ac:dyDescent="0.35">
      <c r="A1634" t="s">
        <v>2393</v>
      </c>
      <c r="B1634" t="s">
        <v>218</v>
      </c>
      <c r="C1634" t="s">
        <v>1133</v>
      </c>
      <c r="D1634" t="s">
        <v>25</v>
      </c>
      <c r="E1634" t="s">
        <v>34</v>
      </c>
      <c r="F1634" t="s">
        <v>27</v>
      </c>
      <c r="G1634" t="s">
        <v>49</v>
      </c>
      <c r="H1634">
        <v>280</v>
      </c>
      <c r="I1634">
        <v>50</v>
      </c>
      <c r="J1634">
        <v>0</v>
      </c>
      <c r="K1634" t="s">
        <v>36</v>
      </c>
      <c r="L1634">
        <v>58</v>
      </c>
      <c r="M1634" t="s">
        <v>21</v>
      </c>
      <c r="N1634">
        <f>COUNTIF(order_data[Order_ID],order_data[[#This Row],[Order_ID]])</f>
        <v>1</v>
      </c>
      <c r="O1634">
        <f>order_data[[#This Row],[Order_Value]]-order_data[[#This Row],[Discount]]</f>
        <v>280</v>
      </c>
      <c r="P1634">
        <f>order_data[[#This Row],[Order_Value]]+order_data[[#This Row],[Delivery_Fee]]-order_data[[#This Row],[Discount]]</f>
        <v>330</v>
      </c>
      <c r="Q1634" t="str">
        <f>TEXT(order_data[[#This Row],[Order_Date]],"mmm")</f>
        <v>Feb</v>
      </c>
      <c r="R1634">
        <f>MONTH(order_data[[#This Row],[Order_Date]])</f>
        <v>2</v>
      </c>
    </row>
    <row r="1635" spans="1:18" x14ac:dyDescent="0.35">
      <c r="A1635" t="s">
        <v>2394</v>
      </c>
      <c r="B1635" t="s">
        <v>87</v>
      </c>
      <c r="C1635" t="s">
        <v>1141</v>
      </c>
      <c r="D1635" t="s">
        <v>16</v>
      </c>
      <c r="E1635" t="s">
        <v>17</v>
      </c>
      <c r="F1635" t="s">
        <v>18</v>
      </c>
      <c r="G1635" t="s">
        <v>59</v>
      </c>
      <c r="H1635">
        <v>280</v>
      </c>
      <c r="I1635">
        <v>30</v>
      </c>
      <c r="J1635">
        <v>0</v>
      </c>
      <c r="K1635" t="s">
        <v>36</v>
      </c>
      <c r="L1635">
        <v>35</v>
      </c>
      <c r="M1635" t="s">
        <v>21</v>
      </c>
      <c r="N1635">
        <f>COUNTIF(order_data[Order_ID],order_data[[#This Row],[Order_ID]])</f>
        <v>1</v>
      </c>
      <c r="O1635">
        <f>order_data[[#This Row],[Order_Value]]-order_data[[#This Row],[Discount]]</f>
        <v>280</v>
      </c>
      <c r="P1635">
        <f>order_data[[#This Row],[Order_Value]]+order_data[[#This Row],[Delivery_Fee]]-order_data[[#This Row],[Discount]]</f>
        <v>310</v>
      </c>
      <c r="Q1635" t="str">
        <f>TEXT(order_data[[#This Row],[Order_Date]],"mmm")</f>
        <v>Jan</v>
      </c>
      <c r="R1635">
        <f>MONTH(order_data[[#This Row],[Order_Date]])</f>
        <v>1</v>
      </c>
    </row>
    <row r="1636" spans="1:18" x14ac:dyDescent="0.35">
      <c r="A1636" t="s">
        <v>2395</v>
      </c>
      <c r="B1636" t="s">
        <v>213</v>
      </c>
      <c r="C1636" t="s">
        <v>1247</v>
      </c>
      <c r="D1636" t="s">
        <v>40</v>
      </c>
      <c r="E1636" t="s">
        <v>67</v>
      </c>
      <c r="F1636" t="s">
        <v>48</v>
      </c>
      <c r="G1636" t="s">
        <v>63</v>
      </c>
      <c r="H1636">
        <v>153</v>
      </c>
      <c r="I1636">
        <v>50</v>
      </c>
      <c r="J1636">
        <v>30</v>
      </c>
      <c r="K1636" t="s">
        <v>20</v>
      </c>
      <c r="L1636">
        <v>55</v>
      </c>
      <c r="M1636" t="s">
        <v>21</v>
      </c>
      <c r="N1636">
        <f>COUNTIF(order_data[Order_ID],order_data[[#This Row],[Order_ID]])</f>
        <v>1</v>
      </c>
      <c r="O1636">
        <f>order_data[[#This Row],[Order_Value]]-order_data[[#This Row],[Discount]]</f>
        <v>123</v>
      </c>
      <c r="P1636">
        <f>order_data[[#This Row],[Order_Value]]+order_data[[#This Row],[Delivery_Fee]]-order_data[[#This Row],[Discount]]</f>
        <v>173</v>
      </c>
      <c r="Q1636" t="str">
        <f>TEXT(order_data[[#This Row],[Order_Date]],"mmm")</f>
        <v>Jan</v>
      </c>
      <c r="R1636">
        <f>MONTH(order_data[[#This Row],[Order_Date]])</f>
        <v>1</v>
      </c>
    </row>
    <row r="1637" spans="1:18" x14ac:dyDescent="0.35">
      <c r="A1637" t="s">
        <v>2396</v>
      </c>
      <c r="B1637" t="s">
        <v>118</v>
      </c>
      <c r="C1637" t="s">
        <v>2397</v>
      </c>
      <c r="D1637" t="s">
        <v>40</v>
      </c>
      <c r="E1637" t="s">
        <v>41</v>
      </c>
      <c r="F1637" t="s">
        <v>27</v>
      </c>
      <c r="G1637" t="s">
        <v>35</v>
      </c>
      <c r="H1637">
        <v>477</v>
      </c>
      <c r="I1637">
        <v>40</v>
      </c>
      <c r="J1637">
        <v>50</v>
      </c>
      <c r="K1637" t="s">
        <v>29</v>
      </c>
      <c r="L1637">
        <v>49</v>
      </c>
      <c r="M1637" t="s">
        <v>21</v>
      </c>
      <c r="N1637">
        <f>COUNTIF(order_data[Order_ID],order_data[[#This Row],[Order_ID]])</f>
        <v>1</v>
      </c>
      <c r="O1637">
        <f>order_data[[#This Row],[Order_Value]]-order_data[[#This Row],[Discount]]</f>
        <v>427</v>
      </c>
      <c r="P1637">
        <f>order_data[[#This Row],[Order_Value]]+order_data[[#This Row],[Delivery_Fee]]-order_data[[#This Row],[Discount]]</f>
        <v>467</v>
      </c>
      <c r="Q1637" t="str">
        <f>TEXT(order_data[[#This Row],[Order_Date]],"mmm")</f>
        <v>Mar</v>
      </c>
      <c r="R1637">
        <f>MONTH(order_data[[#This Row],[Order_Date]])</f>
        <v>3</v>
      </c>
    </row>
    <row r="1638" spans="1:18" x14ac:dyDescent="0.35">
      <c r="A1638" t="s">
        <v>2398</v>
      </c>
      <c r="B1638" t="s">
        <v>297</v>
      </c>
      <c r="C1638" t="s">
        <v>956</v>
      </c>
      <c r="D1638" t="s">
        <v>40</v>
      </c>
      <c r="E1638" t="s">
        <v>111</v>
      </c>
      <c r="F1638" t="s">
        <v>18</v>
      </c>
      <c r="G1638" t="s">
        <v>49</v>
      </c>
      <c r="H1638">
        <v>520</v>
      </c>
      <c r="I1638">
        <v>40</v>
      </c>
      <c r="J1638">
        <v>20</v>
      </c>
      <c r="K1638" t="s">
        <v>20</v>
      </c>
      <c r="L1638">
        <v>23</v>
      </c>
      <c r="M1638" t="s">
        <v>21</v>
      </c>
      <c r="N1638">
        <f>COUNTIF(order_data[Order_ID],order_data[[#This Row],[Order_ID]])</f>
        <v>1</v>
      </c>
      <c r="O1638">
        <f>order_data[[#This Row],[Order_Value]]-order_data[[#This Row],[Discount]]</f>
        <v>500</v>
      </c>
      <c r="P1638">
        <f>order_data[[#This Row],[Order_Value]]+order_data[[#This Row],[Delivery_Fee]]-order_data[[#This Row],[Discount]]</f>
        <v>540</v>
      </c>
      <c r="Q1638" t="str">
        <f>TEXT(order_data[[#This Row],[Order_Date]],"mmm")</f>
        <v>Feb</v>
      </c>
      <c r="R1638">
        <f>MONTH(order_data[[#This Row],[Order_Date]])</f>
        <v>2</v>
      </c>
    </row>
    <row r="1639" spans="1:18" x14ac:dyDescent="0.35">
      <c r="A1639" t="s">
        <v>2399</v>
      </c>
      <c r="B1639" t="s">
        <v>252</v>
      </c>
      <c r="C1639" t="s">
        <v>1563</v>
      </c>
      <c r="D1639" t="s">
        <v>25</v>
      </c>
      <c r="E1639" t="s">
        <v>26</v>
      </c>
      <c r="F1639" t="s">
        <v>27</v>
      </c>
      <c r="G1639" t="s">
        <v>35</v>
      </c>
      <c r="H1639">
        <v>267</v>
      </c>
      <c r="I1639">
        <v>20</v>
      </c>
      <c r="J1639">
        <v>30</v>
      </c>
      <c r="K1639" t="s">
        <v>20</v>
      </c>
      <c r="L1639">
        <v>55</v>
      </c>
      <c r="M1639" t="s">
        <v>21</v>
      </c>
      <c r="N1639">
        <f>COUNTIF(order_data[Order_ID],order_data[[#This Row],[Order_ID]])</f>
        <v>1</v>
      </c>
      <c r="O1639">
        <f>order_data[[#This Row],[Order_Value]]-order_data[[#This Row],[Discount]]</f>
        <v>237</v>
      </c>
      <c r="P1639">
        <f>order_data[[#This Row],[Order_Value]]+order_data[[#This Row],[Delivery_Fee]]-order_data[[#This Row],[Discount]]</f>
        <v>257</v>
      </c>
      <c r="Q1639" t="str">
        <f>TEXT(order_data[[#This Row],[Order_Date]],"mmm")</f>
        <v>Jan</v>
      </c>
      <c r="R1639">
        <f>MONTH(order_data[[#This Row],[Order_Date]])</f>
        <v>1</v>
      </c>
    </row>
    <row r="1640" spans="1:18" x14ac:dyDescent="0.35">
      <c r="A1640" t="s">
        <v>2400</v>
      </c>
      <c r="B1640" t="s">
        <v>51</v>
      </c>
      <c r="C1640" t="s">
        <v>1370</v>
      </c>
      <c r="D1640" t="s">
        <v>53</v>
      </c>
      <c r="E1640" t="s">
        <v>54</v>
      </c>
      <c r="F1640" t="s">
        <v>55</v>
      </c>
      <c r="G1640" t="s">
        <v>49</v>
      </c>
      <c r="H1640">
        <v>241</v>
      </c>
      <c r="I1640">
        <v>40</v>
      </c>
      <c r="J1640">
        <v>50</v>
      </c>
      <c r="K1640" t="s">
        <v>36</v>
      </c>
      <c r="L1640">
        <v>23</v>
      </c>
      <c r="M1640" t="s">
        <v>21</v>
      </c>
      <c r="N1640">
        <f>COUNTIF(order_data[Order_ID],order_data[[#This Row],[Order_ID]])</f>
        <v>1</v>
      </c>
      <c r="O1640">
        <f>order_data[[#This Row],[Order_Value]]-order_data[[#This Row],[Discount]]</f>
        <v>191</v>
      </c>
      <c r="P1640">
        <f>order_data[[#This Row],[Order_Value]]+order_data[[#This Row],[Delivery_Fee]]-order_data[[#This Row],[Discount]]</f>
        <v>231</v>
      </c>
      <c r="Q1640" t="str">
        <f>TEXT(order_data[[#This Row],[Order_Date]],"mmm")</f>
        <v>Feb</v>
      </c>
      <c r="R1640">
        <f>MONTH(order_data[[#This Row],[Order_Date]])</f>
        <v>2</v>
      </c>
    </row>
    <row r="1641" spans="1:18" x14ac:dyDescent="0.35">
      <c r="A1641" t="s">
        <v>2401</v>
      </c>
      <c r="B1641" t="s">
        <v>286</v>
      </c>
      <c r="C1641" t="s">
        <v>1152</v>
      </c>
      <c r="D1641" t="s">
        <v>40</v>
      </c>
      <c r="E1641" t="s">
        <v>67</v>
      </c>
      <c r="F1641" t="s">
        <v>48</v>
      </c>
      <c r="G1641" t="s">
        <v>28</v>
      </c>
      <c r="H1641">
        <v>395</v>
      </c>
      <c r="I1641">
        <v>50</v>
      </c>
      <c r="J1641">
        <v>100</v>
      </c>
      <c r="K1641" t="s">
        <v>20</v>
      </c>
      <c r="L1641">
        <v>31</v>
      </c>
      <c r="M1641" t="s">
        <v>21</v>
      </c>
      <c r="N1641">
        <f>COUNTIF(order_data[Order_ID],order_data[[#This Row],[Order_ID]])</f>
        <v>1</v>
      </c>
      <c r="O1641">
        <f>order_data[[#This Row],[Order_Value]]-order_data[[#This Row],[Discount]]</f>
        <v>295</v>
      </c>
      <c r="P1641">
        <f>order_data[[#This Row],[Order_Value]]+order_data[[#This Row],[Delivery_Fee]]-order_data[[#This Row],[Discount]]</f>
        <v>345</v>
      </c>
      <c r="Q1641" t="str">
        <f>TEXT(order_data[[#This Row],[Order_Date]],"mmm")</f>
        <v>Mar</v>
      </c>
      <c r="R1641">
        <f>MONTH(order_data[[#This Row],[Order_Date]])</f>
        <v>3</v>
      </c>
    </row>
    <row r="1642" spans="1:18" x14ac:dyDescent="0.35">
      <c r="A1642" t="s">
        <v>2402</v>
      </c>
      <c r="B1642" t="s">
        <v>121</v>
      </c>
      <c r="C1642" t="s">
        <v>184</v>
      </c>
      <c r="D1642" t="s">
        <v>25</v>
      </c>
      <c r="E1642" t="s">
        <v>26</v>
      </c>
      <c r="F1642" t="s">
        <v>27</v>
      </c>
      <c r="G1642" t="s">
        <v>49</v>
      </c>
      <c r="H1642">
        <v>684</v>
      </c>
      <c r="I1642">
        <v>20</v>
      </c>
      <c r="J1642">
        <v>30</v>
      </c>
      <c r="K1642" t="s">
        <v>29</v>
      </c>
      <c r="L1642">
        <v>53</v>
      </c>
      <c r="M1642" t="s">
        <v>21</v>
      </c>
      <c r="N1642">
        <f>COUNTIF(order_data[Order_ID],order_data[[#This Row],[Order_ID]])</f>
        <v>1</v>
      </c>
      <c r="O1642">
        <f>order_data[[#This Row],[Order_Value]]-order_data[[#This Row],[Discount]]</f>
        <v>654</v>
      </c>
      <c r="P1642">
        <f>order_data[[#This Row],[Order_Value]]+order_data[[#This Row],[Delivery_Fee]]-order_data[[#This Row],[Discount]]</f>
        <v>674</v>
      </c>
      <c r="Q1642" t="str">
        <f>TEXT(order_data[[#This Row],[Order_Date]],"mmm")</f>
        <v>Feb</v>
      </c>
      <c r="R1642">
        <f>MONTH(order_data[[#This Row],[Order_Date]])</f>
        <v>2</v>
      </c>
    </row>
    <row r="1643" spans="1:18" x14ac:dyDescent="0.35">
      <c r="A1643" t="s">
        <v>2403</v>
      </c>
      <c r="B1643" t="s">
        <v>273</v>
      </c>
      <c r="C1643" t="s">
        <v>2404</v>
      </c>
      <c r="D1643" t="s">
        <v>40</v>
      </c>
      <c r="E1643" t="s">
        <v>67</v>
      </c>
      <c r="F1643" t="s">
        <v>48</v>
      </c>
      <c r="G1643" t="s">
        <v>28</v>
      </c>
      <c r="H1643">
        <v>487</v>
      </c>
      <c r="I1643">
        <v>20</v>
      </c>
      <c r="J1643">
        <v>50</v>
      </c>
      <c r="K1643" t="s">
        <v>36</v>
      </c>
      <c r="L1643">
        <v>33</v>
      </c>
      <c r="M1643" t="s">
        <v>21</v>
      </c>
      <c r="N1643">
        <f>COUNTIF(order_data[Order_ID],order_data[[#This Row],[Order_ID]])</f>
        <v>1</v>
      </c>
      <c r="O1643">
        <f>order_data[[#This Row],[Order_Value]]-order_data[[#This Row],[Discount]]</f>
        <v>437</v>
      </c>
      <c r="P1643">
        <f>order_data[[#This Row],[Order_Value]]+order_data[[#This Row],[Delivery_Fee]]-order_data[[#This Row],[Discount]]</f>
        <v>457</v>
      </c>
      <c r="Q1643" t="str">
        <f>TEXT(order_data[[#This Row],[Order_Date]],"mmm")</f>
        <v>Mar</v>
      </c>
      <c r="R1643">
        <f>MONTH(order_data[[#This Row],[Order_Date]])</f>
        <v>3</v>
      </c>
    </row>
    <row r="1644" spans="1:18" x14ac:dyDescent="0.35">
      <c r="A1644" t="s">
        <v>2405</v>
      </c>
      <c r="B1644" t="s">
        <v>454</v>
      </c>
      <c r="C1644" t="s">
        <v>110</v>
      </c>
      <c r="D1644" t="s">
        <v>25</v>
      </c>
      <c r="E1644" t="s">
        <v>26</v>
      </c>
      <c r="F1644" t="s">
        <v>27</v>
      </c>
      <c r="G1644" t="s">
        <v>42</v>
      </c>
      <c r="H1644">
        <v>472</v>
      </c>
      <c r="I1644">
        <v>30</v>
      </c>
      <c r="J1644">
        <v>30</v>
      </c>
      <c r="K1644" t="s">
        <v>20</v>
      </c>
      <c r="L1644">
        <v>22</v>
      </c>
      <c r="M1644" t="s">
        <v>21</v>
      </c>
      <c r="N1644">
        <f>COUNTIF(order_data[Order_ID],order_data[[#This Row],[Order_ID]])</f>
        <v>1</v>
      </c>
      <c r="O1644">
        <f>order_data[[#This Row],[Order_Value]]-order_data[[#This Row],[Discount]]</f>
        <v>442</v>
      </c>
      <c r="P1644">
        <f>order_data[[#This Row],[Order_Value]]+order_data[[#This Row],[Delivery_Fee]]-order_data[[#This Row],[Discount]]</f>
        <v>472</v>
      </c>
      <c r="Q1644" t="str">
        <f>TEXT(order_data[[#This Row],[Order_Date]],"mmm")</f>
        <v>Jan</v>
      </c>
      <c r="R1644">
        <f>MONTH(order_data[[#This Row],[Order_Date]])</f>
        <v>1</v>
      </c>
    </row>
    <row r="1645" spans="1:18" x14ac:dyDescent="0.35">
      <c r="A1645" t="s">
        <v>2406</v>
      </c>
      <c r="B1645" t="s">
        <v>454</v>
      </c>
      <c r="C1645" t="s">
        <v>353</v>
      </c>
      <c r="D1645" t="s">
        <v>53</v>
      </c>
      <c r="E1645" t="s">
        <v>84</v>
      </c>
      <c r="F1645" t="s">
        <v>85</v>
      </c>
      <c r="G1645" t="s">
        <v>176</v>
      </c>
      <c r="H1645">
        <v>559</v>
      </c>
      <c r="I1645">
        <v>30</v>
      </c>
      <c r="J1645">
        <v>100</v>
      </c>
      <c r="K1645" t="s">
        <v>20</v>
      </c>
      <c r="L1645">
        <v>42</v>
      </c>
      <c r="M1645" t="s">
        <v>21</v>
      </c>
      <c r="N1645">
        <f>COUNTIF(order_data[Order_ID],order_data[[#This Row],[Order_ID]])</f>
        <v>1</v>
      </c>
      <c r="O1645">
        <f>order_data[[#This Row],[Order_Value]]-order_data[[#This Row],[Discount]]</f>
        <v>459</v>
      </c>
      <c r="P1645">
        <f>order_data[[#This Row],[Order_Value]]+order_data[[#This Row],[Delivery_Fee]]-order_data[[#This Row],[Discount]]</f>
        <v>489</v>
      </c>
      <c r="Q1645" t="str">
        <f>TEXT(order_data[[#This Row],[Order_Date]],"mmm")</f>
        <v>Jan</v>
      </c>
      <c r="R1645">
        <f>MONTH(order_data[[#This Row],[Order_Date]])</f>
        <v>1</v>
      </c>
    </row>
    <row r="1646" spans="1:18" x14ac:dyDescent="0.35">
      <c r="A1646" t="s">
        <v>2407</v>
      </c>
      <c r="B1646" t="s">
        <v>241</v>
      </c>
      <c r="C1646" t="s">
        <v>1537</v>
      </c>
      <c r="D1646" t="s">
        <v>40</v>
      </c>
      <c r="E1646" t="s">
        <v>111</v>
      </c>
      <c r="F1646" t="s">
        <v>18</v>
      </c>
      <c r="G1646" t="s">
        <v>42</v>
      </c>
      <c r="H1646">
        <v>304</v>
      </c>
      <c r="I1646">
        <v>50</v>
      </c>
      <c r="J1646">
        <v>0</v>
      </c>
      <c r="K1646" t="s">
        <v>36</v>
      </c>
      <c r="L1646">
        <v>44</v>
      </c>
      <c r="M1646" t="s">
        <v>21</v>
      </c>
      <c r="N1646">
        <f>COUNTIF(order_data[Order_ID],order_data[[#This Row],[Order_ID]])</f>
        <v>1</v>
      </c>
      <c r="O1646">
        <f>order_data[[#This Row],[Order_Value]]-order_data[[#This Row],[Discount]]</f>
        <v>304</v>
      </c>
      <c r="P1646">
        <f>order_data[[#This Row],[Order_Value]]+order_data[[#This Row],[Delivery_Fee]]-order_data[[#This Row],[Discount]]</f>
        <v>354</v>
      </c>
      <c r="Q1646" t="str">
        <f>TEXT(order_data[[#This Row],[Order_Date]],"mmm")</f>
        <v>Mar</v>
      </c>
      <c r="R1646">
        <f>MONTH(order_data[[#This Row],[Order_Date]])</f>
        <v>3</v>
      </c>
    </row>
    <row r="1647" spans="1:18" x14ac:dyDescent="0.35">
      <c r="A1647" t="s">
        <v>2408</v>
      </c>
      <c r="B1647" t="s">
        <v>38</v>
      </c>
      <c r="C1647" t="s">
        <v>1624</v>
      </c>
      <c r="D1647" t="s">
        <v>25</v>
      </c>
      <c r="E1647" t="s">
        <v>34</v>
      </c>
      <c r="F1647" t="s">
        <v>27</v>
      </c>
      <c r="G1647" t="s">
        <v>107</v>
      </c>
      <c r="H1647">
        <v>614</v>
      </c>
      <c r="I1647">
        <v>40</v>
      </c>
      <c r="J1647">
        <v>50</v>
      </c>
      <c r="K1647" t="s">
        <v>20</v>
      </c>
      <c r="L1647">
        <v>52</v>
      </c>
      <c r="M1647" t="s">
        <v>30</v>
      </c>
      <c r="N1647">
        <f>COUNTIF(order_data[Order_ID],order_data[[#This Row],[Order_ID]])</f>
        <v>1</v>
      </c>
      <c r="O1647">
        <f>order_data[[#This Row],[Order_Value]]-order_data[[#This Row],[Discount]]</f>
        <v>564</v>
      </c>
      <c r="P1647">
        <f>order_data[[#This Row],[Order_Value]]+order_data[[#This Row],[Delivery_Fee]]-order_data[[#This Row],[Discount]]</f>
        <v>604</v>
      </c>
      <c r="Q1647" t="str">
        <f>TEXT(order_data[[#This Row],[Order_Date]],"mmm")</f>
        <v>Jan</v>
      </c>
      <c r="R1647">
        <f>MONTH(order_data[[#This Row],[Order_Date]])</f>
        <v>1</v>
      </c>
    </row>
    <row r="1648" spans="1:18" x14ac:dyDescent="0.35">
      <c r="A1648" t="s">
        <v>2409</v>
      </c>
      <c r="B1648" t="s">
        <v>541</v>
      </c>
      <c r="C1648" t="s">
        <v>1081</v>
      </c>
      <c r="D1648" t="s">
        <v>25</v>
      </c>
      <c r="E1648" t="s">
        <v>26</v>
      </c>
      <c r="F1648" t="s">
        <v>27</v>
      </c>
      <c r="G1648" t="s">
        <v>63</v>
      </c>
      <c r="H1648">
        <v>190</v>
      </c>
      <c r="I1648">
        <v>30</v>
      </c>
      <c r="J1648">
        <v>20</v>
      </c>
      <c r="K1648" t="s">
        <v>29</v>
      </c>
      <c r="L1648">
        <v>59</v>
      </c>
      <c r="M1648" t="s">
        <v>21</v>
      </c>
      <c r="N1648">
        <f>COUNTIF(order_data[Order_ID],order_data[[#This Row],[Order_ID]])</f>
        <v>1</v>
      </c>
      <c r="O1648">
        <f>order_data[[#This Row],[Order_Value]]-order_data[[#This Row],[Discount]]</f>
        <v>170</v>
      </c>
      <c r="P1648">
        <f>order_data[[#This Row],[Order_Value]]+order_data[[#This Row],[Delivery_Fee]]-order_data[[#This Row],[Discount]]</f>
        <v>200</v>
      </c>
      <c r="Q1648" t="str">
        <f>TEXT(order_data[[#This Row],[Order_Date]],"mmm")</f>
        <v>Jan</v>
      </c>
      <c r="R1648">
        <f>MONTH(order_data[[#This Row],[Order_Date]])</f>
        <v>1</v>
      </c>
    </row>
    <row r="1649" spans="1:18" x14ac:dyDescent="0.35">
      <c r="A1649" t="s">
        <v>2410</v>
      </c>
      <c r="B1649" t="s">
        <v>297</v>
      </c>
      <c r="C1649" t="s">
        <v>1344</v>
      </c>
      <c r="D1649" t="s">
        <v>46</v>
      </c>
      <c r="E1649" t="s">
        <v>148</v>
      </c>
      <c r="F1649" t="s">
        <v>27</v>
      </c>
      <c r="G1649" t="s">
        <v>107</v>
      </c>
      <c r="H1649">
        <v>410</v>
      </c>
      <c r="I1649">
        <v>40</v>
      </c>
      <c r="J1649">
        <v>20</v>
      </c>
      <c r="K1649" t="s">
        <v>36</v>
      </c>
      <c r="L1649">
        <v>55</v>
      </c>
      <c r="M1649" t="s">
        <v>21</v>
      </c>
      <c r="N1649">
        <f>COUNTIF(order_data[Order_ID],order_data[[#This Row],[Order_ID]])</f>
        <v>1</v>
      </c>
      <c r="O1649">
        <f>order_data[[#This Row],[Order_Value]]-order_data[[#This Row],[Discount]]</f>
        <v>390</v>
      </c>
      <c r="P1649">
        <f>order_data[[#This Row],[Order_Value]]+order_data[[#This Row],[Delivery_Fee]]-order_data[[#This Row],[Discount]]</f>
        <v>430</v>
      </c>
      <c r="Q1649" t="str">
        <f>TEXT(order_data[[#This Row],[Order_Date]],"mmm")</f>
        <v>Feb</v>
      </c>
      <c r="R1649">
        <f>MONTH(order_data[[#This Row],[Order_Date]])</f>
        <v>2</v>
      </c>
    </row>
    <row r="1650" spans="1:18" x14ac:dyDescent="0.35">
      <c r="A1650" t="s">
        <v>2411</v>
      </c>
      <c r="B1650" t="s">
        <v>413</v>
      </c>
      <c r="C1650" t="s">
        <v>459</v>
      </c>
      <c r="D1650" t="s">
        <v>25</v>
      </c>
      <c r="E1650" t="s">
        <v>34</v>
      </c>
      <c r="F1650" t="s">
        <v>27</v>
      </c>
      <c r="G1650" t="s">
        <v>28</v>
      </c>
      <c r="H1650">
        <v>218</v>
      </c>
      <c r="I1650">
        <v>50</v>
      </c>
      <c r="J1650">
        <v>30</v>
      </c>
      <c r="K1650" t="s">
        <v>36</v>
      </c>
      <c r="L1650">
        <v>36</v>
      </c>
      <c r="M1650" t="s">
        <v>21</v>
      </c>
      <c r="N1650">
        <f>COUNTIF(order_data[Order_ID],order_data[[#This Row],[Order_ID]])</f>
        <v>1</v>
      </c>
      <c r="O1650">
        <f>order_data[[#This Row],[Order_Value]]-order_data[[#This Row],[Discount]]</f>
        <v>188</v>
      </c>
      <c r="P1650">
        <f>order_data[[#This Row],[Order_Value]]+order_data[[#This Row],[Delivery_Fee]]-order_data[[#This Row],[Discount]]</f>
        <v>238</v>
      </c>
      <c r="Q1650" t="str">
        <f>TEXT(order_data[[#This Row],[Order_Date]],"mmm")</f>
        <v>Mar</v>
      </c>
      <c r="R1650">
        <f>MONTH(order_data[[#This Row],[Order_Date]])</f>
        <v>3</v>
      </c>
    </row>
    <row r="1651" spans="1:18" x14ac:dyDescent="0.35">
      <c r="A1651" t="s">
        <v>2412</v>
      </c>
      <c r="B1651" t="s">
        <v>244</v>
      </c>
      <c r="C1651" t="s">
        <v>2124</v>
      </c>
      <c r="D1651" t="s">
        <v>46</v>
      </c>
      <c r="E1651" t="s">
        <v>70</v>
      </c>
      <c r="F1651" t="s">
        <v>18</v>
      </c>
      <c r="G1651" t="s">
        <v>176</v>
      </c>
      <c r="H1651">
        <v>235</v>
      </c>
      <c r="I1651">
        <v>40</v>
      </c>
      <c r="J1651">
        <v>20</v>
      </c>
      <c r="K1651" t="s">
        <v>36</v>
      </c>
      <c r="L1651">
        <v>22</v>
      </c>
      <c r="M1651" t="s">
        <v>21</v>
      </c>
      <c r="N1651">
        <f>COUNTIF(order_data[Order_ID],order_data[[#This Row],[Order_ID]])</f>
        <v>1</v>
      </c>
      <c r="O1651">
        <f>order_data[[#This Row],[Order_Value]]-order_data[[#This Row],[Discount]]</f>
        <v>215</v>
      </c>
      <c r="P1651">
        <f>order_data[[#This Row],[Order_Value]]+order_data[[#This Row],[Delivery_Fee]]-order_data[[#This Row],[Discount]]</f>
        <v>255</v>
      </c>
      <c r="Q1651" t="str">
        <f>TEXT(order_data[[#This Row],[Order_Date]],"mmm")</f>
        <v>Feb</v>
      </c>
      <c r="R1651">
        <f>MONTH(order_data[[#This Row],[Order_Date]])</f>
        <v>2</v>
      </c>
    </row>
    <row r="1652" spans="1:18" x14ac:dyDescent="0.35">
      <c r="A1652" t="s">
        <v>2413</v>
      </c>
      <c r="B1652" t="s">
        <v>91</v>
      </c>
      <c r="C1652" t="s">
        <v>1243</v>
      </c>
      <c r="D1652" t="s">
        <v>25</v>
      </c>
      <c r="E1652" t="s">
        <v>78</v>
      </c>
      <c r="F1652" t="s">
        <v>48</v>
      </c>
      <c r="G1652" t="s">
        <v>42</v>
      </c>
      <c r="H1652">
        <v>205</v>
      </c>
      <c r="I1652">
        <v>40</v>
      </c>
      <c r="J1652">
        <v>100</v>
      </c>
      <c r="K1652" t="s">
        <v>36</v>
      </c>
      <c r="L1652">
        <v>32</v>
      </c>
      <c r="M1652" t="s">
        <v>21</v>
      </c>
      <c r="N1652">
        <f>COUNTIF(order_data[Order_ID],order_data[[#This Row],[Order_ID]])</f>
        <v>1</v>
      </c>
      <c r="O1652">
        <f>order_data[[#This Row],[Order_Value]]-order_data[[#This Row],[Discount]]</f>
        <v>105</v>
      </c>
      <c r="P1652">
        <f>order_data[[#This Row],[Order_Value]]+order_data[[#This Row],[Delivery_Fee]]-order_data[[#This Row],[Discount]]</f>
        <v>145</v>
      </c>
      <c r="Q1652" t="str">
        <f>TEXT(order_data[[#This Row],[Order_Date]],"mmm")</f>
        <v>Mar</v>
      </c>
      <c r="R1652">
        <f>MONTH(order_data[[#This Row],[Order_Date]])</f>
        <v>3</v>
      </c>
    </row>
    <row r="1653" spans="1:18" x14ac:dyDescent="0.35">
      <c r="A1653" t="s">
        <v>2414</v>
      </c>
      <c r="B1653" t="s">
        <v>136</v>
      </c>
      <c r="C1653" t="s">
        <v>2357</v>
      </c>
      <c r="D1653" t="s">
        <v>16</v>
      </c>
      <c r="E1653" t="s">
        <v>89</v>
      </c>
      <c r="F1653" t="s">
        <v>18</v>
      </c>
      <c r="G1653" t="s">
        <v>59</v>
      </c>
      <c r="H1653">
        <v>362</v>
      </c>
      <c r="I1653">
        <v>30</v>
      </c>
      <c r="J1653">
        <v>0</v>
      </c>
      <c r="K1653" t="s">
        <v>29</v>
      </c>
      <c r="L1653">
        <v>31</v>
      </c>
      <c r="M1653" t="s">
        <v>21</v>
      </c>
      <c r="N1653">
        <f>COUNTIF(order_data[Order_ID],order_data[[#This Row],[Order_ID]])</f>
        <v>1</v>
      </c>
      <c r="O1653">
        <f>order_data[[#This Row],[Order_Value]]-order_data[[#This Row],[Discount]]</f>
        <v>362</v>
      </c>
      <c r="P1653">
        <f>order_data[[#This Row],[Order_Value]]+order_data[[#This Row],[Delivery_Fee]]-order_data[[#This Row],[Discount]]</f>
        <v>392</v>
      </c>
      <c r="Q1653" t="str">
        <f>TEXT(order_data[[#This Row],[Order_Date]],"mmm")</f>
        <v>Feb</v>
      </c>
      <c r="R1653">
        <f>MONTH(order_data[[#This Row],[Order_Date]])</f>
        <v>2</v>
      </c>
    </row>
    <row r="1654" spans="1:18" x14ac:dyDescent="0.35">
      <c r="A1654" t="s">
        <v>2415</v>
      </c>
      <c r="B1654" t="s">
        <v>286</v>
      </c>
      <c r="C1654" t="s">
        <v>844</v>
      </c>
      <c r="D1654" t="s">
        <v>53</v>
      </c>
      <c r="E1654" t="s">
        <v>152</v>
      </c>
      <c r="F1654" t="s">
        <v>18</v>
      </c>
      <c r="G1654" t="s">
        <v>42</v>
      </c>
      <c r="H1654">
        <v>661</v>
      </c>
      <c r="I1654">
        <v>30</v>
      </c>
      <c r="J1654">
        <v>30</v>
      </c>
      <c r="K1654" t="s">
        <v>36</v>
      </c>
      <c r="L1654">
        <v>41</v>
      </c>
      <c r="M1654" t="s">
        <v>21</v>
      </c>
      <c r="N1654">
        <f>COUNTIF(order_data[Order_ID],order_data[[#This Row],[Order_ID]])</f>
        <v>1</v>
      </c>
      <c r="O1654">
        <f>order_data[[#This Row],[Order_Value]]-order_data[[#This Row],[Discount]]</f>
        <v>631</v>
      </c>
      <c r="P1654">
        <f>order_data[[#This Row],[Order_Value]]+order_data[[#This Row],[Delivery_Fee]]-order_data[[#This Row],[Discount]]</f>
        <v>661</v>
      </c>
      <c r="Q1654" t="str">
        <f>TEXT(order_data[[#This Row],[Order_Date]],"mmm")</f>
        <v>Mar</v>
      </c>
      <c r="R1654">
        <f>MONTH(order_data[[#This Row],[Order_Date]])</f>
        <v>3</v>
      </c>
    </row>
    <row r="1655" spans="1:18" x14ac:dyDescent="0.35">
      <c r="A1655" t="s">
        <v>2416</v>
      </c>
      <c r="B1655" t="s">
        <v>435</v>
      </c>
      <c r="C1655" t="s">
        <v>891</v>
      </c>
      <c r="D1655" t="s">
        <v>46</v>
      </c>
      <c r="E1655" t="s">
        <v>148</v>
      </c>
      <c r="F1655" t="s">
        <v>27</v>
      </c>
      <c r="G1655" t="s">
        <v>63</v>
      </c>
      <c r="H1655">
        <v>233</v>
      </c>
      <c r="I1655">
        <v>20</v>
      </c>
      <c r="J1655">
        <v>100</v>
      </c>
      <c r="K1655" t="s">
        <v>36</v>
      </c>
      <c r="L1655">
        <v>28</v>
      </c>
      <c r="M1655" t="s">
        <v>21</v>
      </c>
      <c r="N1655">
        <f>COUNTIF(order_data[Order_ID],order_data[[#This Row],[Order_ID]])</f>
        <v>1</v>
      </c>
      <c r="O1655">
        <f>order_data[[#This Row],[Order_Value]]-order_data[[#This Row],[Discount]]</f>
        <v>133</v>
      </c>
      <c r="P1655">
        <f>order_data[[#This Row],[Order_Value]]+order_data[[#This Row],[Delivery_Fee]]-order_data[[#This Row],[Discount]]</f>
        <v>153</v>
      </c>
      <c r="Q1655" t="str">
        <f>TEXT(order_data[[#This Row],[Order_Date]],"mmm")</f>
        <v>Feb</v>
      </c>
      <c r="R1655">
        <f>MONTH(order_data[[#This Row],[Order_Date]])</f>
        <v>2</v>
      </c>
    </row>
    <row r="1656" spans="1:18" x14ac:dyDescent="0.35">
      <c r="A1656" t="s">
        <v>2417</v>
      </c>
      <c r="B1656" t="s">
        <v>205</v>
      </c>
      <c r="C1656" t="s">
        <v>1669</v>
      </c>
      <c r="D1656" t="s">
        <v>16</v>
      </c>
      <c r="E1656" t="s">
        <v>89</v>
      </c>
      <c r="F1656" t="s">
        <v>18</v>
      </c>
      <c r="G1656" t="s">
        <v>107</v>
      </c>
      <c r="H1656">
        <v>168</v>
      </c>
      <c r="I1656">
        <v>40</v>
      </c>
      <c r="J1656">
        <v>50</v>
      </c>
      <c r="K1656" t="s">
        <v>36</v>
      </c>
      <c r="L1656">
        <v>26</v>
      </c>
      <c r="M1656" t="s">
        <v>21</v>
      </c>
      <c r="N1656">
        <f>COUNTIF(order_data[Order_ID],order_data[[#This Row],[Order_ID]])</f>
        <v>1</v>
      </c>
      <c r="O1656">
        <f>order_data[[#This Row],[Order_Value]]-order_data[[#This Row],[Discount]]</f>
        <v>118</v>
      </c>
      <c r="P1656">
        <f>order_data[[#This Row],[Order_Value]]+order_data[[#This Row],[Delivery_Fee]]-order_data[[#This Row],[Discount]]</f>
        <v>158</v>
      </c>
      <c r="Q1656" t="str">
        <f>TEXT(order_data[[#This Row],[Order_Date]],"mmm")</f>
        <v>Jan</v>
      </c>
      <c r="R1656">
        <f>MONTH(order_data[[#This Row],[Order_Date]])</f>
        <v>1</v>
      </c>
    </row>
    <row r="1657" spans="1:18" x14ac:dyDescent="0.35">
      <c r="A1657" t="s">
        <v>2418</v>
      </c>
      <c r="B1657" t="s">
        <v>310</v>
      </c>
      <c r="C1657" t="s">
        <v>1812</v>
      </c>
      <c r="D1657" t="s">
        <v>46</v>
      </c>
      <c r="E1657" t="s">
        <v>47</v>
      </c>
      <c r="F1657" t="s">
        <v>48</v>
      </c>
      <c r="G1657" t="s">
        <v>59</v>
      </c>
      <c r="H1657">
        <v>406</v>
      </c>
      <c r="I1657">
        <v>50</v>
      </c>
      <c r="J1657">
        <v>100</v>
      </c>
      <c r="K1657" t="s">
        <v>20</v>
      </c>
      <c r="L1657">
        <v>39</v>
      </c>
      <c r="M1657" t="s">
        <v>30</v>
      </c>
      <c r="N1657">
        <f>COUNTIF(order_data[Order_ID],order_data[[#This Row],[Order_ID]])</f>
        <v>1</v>
      </c>
      <c r="O1657">
        <f>order_data[[#This Row],[Order_Value]]-order_data[[#This Row],[Discount]]</f>
        <v>306</v>
      </c>
      <c r="P1657">
        <f>order_data[[#This Row],[Order_Value]]+order_data[[#This Row],[Delivery_Fee]]-order_data[[#This Row],[Discount]]</f>
        <v>356</v>
      </c>
      <c r="Q1657" t="str">
        <f>TEXT(order_data[[#This Row],[Order_Date]],"mmm")</f>
        <v>Feb</v>
      </c>
      <c r="R1657">
        <f>MONTH(order_data[[#This Row],[Order_Date]])</f>
        <v>2</v>
      </c>
    </row>
    <row r="1658" spans="1:18" x14ac:dyDescent="0.35">
      <c r="A1658" t="s">
        <v>2419</v>
      </c>
      <c r="B1658" t="s">
        <v>435</v>
      </c>
      <c r="C1658" t="s">
        <v>443</v>
      </c>
      <c r="D1658" t="s">
        <v>16</v>
      </c>
      <c r="E1658" t="s">
        <v>89</v>
      </c>
      <c r="F1658" t="s">
        <v>18</v>
      </c>
      <c r="G1658" t="s">
        <v>74</v>
      </c>
      <c r="H1658">
        <v>752</v>
      </c>
      <c r="I1658">
        <v>20</v>
      </c>
      <c r="J1658">
        <v>50</v>
      </c>
      <c r="K1658" t="s">
        <v>20</v>
      </c>
      <c r="L1658">
        <v>56</v>
      </c>
      <c r="M1658" t="s">
        <v>21</v>
      </c>
      <c r="N1658">
        <f>COUNTIF(order_data[Order_ID],order_data[[#This Row],[Order_ID]])</f>
        <v>1</v>
      </c>
      <c r="O1658">
        <f>order_data[[#This Row],[Order_Value]]-order_data[[#This Row],[Discount]]</f>
        <v>702</v>
      </c>
      <c r="P1658">
        <f>order_data[[#This Row],[Order_Value]]+order_data[[#This Row],[Delivery_Fee]]-order_data[[#This Row],[Discount]]</f>
        <v>722</v>
      </c>
      <c r="Q1658" t="str">
        <f>TEXT(order_data[[#This Row],[Order_Date]],"mmm")</f>
        <v>Feb</v>
      </c>
      <c r="R1658">
        <f>MONTH(order_data[[#This Row],[Order_Date]])</f>
        <v>2</v>
      </c>
    </row>
    <row r="1659" spans="1:18" x14ac:dyDescent="0.35">
      <c r="A1659" t="s">
        <v>2420</v>
      </c>
      <c r="B1659" t="s">
        <v>454</v>
      </c>
      <c r="C1659" t="s">
        <v>1224</v>
      </c>
      <c r="D1659" t="s">
        <v>53</v>
      </c>
      <c r="E1659" t="s">
        <v>54</v>
      </c>
      <c r="F1659" t="s">
        <v>55</v>
      </c>
      <c r="G1659" t="s">
        <v>35</v>
      </c>
      <c r="H1659">
        <v>372</v>
      </c>
      <c r="I1659">
        <v>30</v>
      </c>
      <c r="J1659">
        <v>100</v>
      </c>
      <c r="K1659" t="s">
        <v>36</v>
      </c>
      <c r="L1659">
        <v>33</v>
      </c>
      <c r="M1659" t="s">
        <v>21</v>
      </c>
      <c r="N1659">
        <f>COUNTIF(order_data[Order_ID],order_data[[#This Row],[Order_ID]])</f>
        <v>1</v>
      </c>
      <c r="O1659">
        <f>order_data[[#This Row],[Order_Value]]-order_data[[#This Row],[Discount]]</f>
        <v>272</v>
      </c>
      <c r="P1659">
        <f>order_data[[#This Row],[Order_Value]]+order_data[[#This Row],[Delivery_Fee]]-order_data[[#This Row],[Discount]]</f>
        <v>302</v>
      </c>
      <c r="Q1659" t="str">
        <f>TEXT(order_data[[#This Row],[Order_Date]],"mmm")</f>
        <v>Jan</v>
      </c>
      <c r="R1659">
        <f>MONTH(order_data[[#This Row],[Order_Date]])</f>
        <v>1</v>
      </c>
    </row>
    <row r="1660" spans="1:18" x14ac:dyDescent="0.35">
      <c r="A1660" t="s">
        <v>2421</v>
      </c>
      <c r="B1660" t="s">
        <v>286</v>
      </c>
      <c r="C1660" t="s">
        <v>1812</v>
      </c>
      <c r="D1660" t="s">
        <v>25</v>
      </c>
      <c r="E1660" t="s">
        <v>26</v>
      </c>
      <c r="F1660" t="s">
        <v>27</v>
      </c>
      <c r="G1660" t="s">
        <v>35</v>
      </c>
      <c r="H1660">
        <v>195</v>
      </c>
      <c r="I1660">
        <v>20</v>
      </c>
      <c r="J1660">
        <v>30</v>
      </c>
      <c r="K1660" t="s">
        <v>20</v>
      </c>
      <c r="L1660">
        <v>44</v>
      </c>
      <c r="M1660" t="s">
        <v>21</v>
      </c>
      <c r="N1660">
        <f>COUNTIF(order_data[Order_ID],order_data[[#This Row],[Order_ID]])</f>
        <v>1</v>
      </c>
      <c r="O1660">
        <f>order_data[[#This Row],[Order_Value]]-order_data[[#This Row],[Discount]]</f>
        <v>165</v>
      </c>
      <c r="P1660">
        <f>order_data[[#This Row],[Order_Value]]+order_data[[#This Row],[Delivery_Fee]]-order_data[[#This Row],[Discount]]</f>
        <v>185</v>
      </c>
      <c r="Q1660" t="str">
        <f>TEXT(order_data[[#This Row],[Order_Date]],"mmm")</f>
        <v>Mar</v>
      </c>
      <c r="R1660">
        <f>MONTH(order_data[[#This Row],[Order_Date]])</f>
        <v>3</v>
      </c>
    </row>
    <row r="1661" spans="1:18" x14ac:dyDescent="0.35">
      <c r="A1661" t="s">
        <v>2422</v>
      </c>
      <c r="B1661" t="s">
        <v>295</v>
      </c>
      <c r="C1661" t="s">
        <v>840</v>
      </c>
      <c r="D1661" t="s">
        <v>46</v>
      </c>
      <c r="E1661" t="s">
        <v>47</v>
      </c>
      <c r="F1661" t="s">
        <v>48</v>
      </c>
      <c r="G1661" t="s">
        <v>74</v>
      </c>
      <c r="H1661">
        <v>643</v>
      </c>
      <c r="I1661">
        <v>30</v>
      </c>
      <c r="J1661">
        <v>50</v>
      </c>
      <c r="K1661" t="s">
        <v>29</v>
      </c>
      <c r="L1661">
        <v>41</v>
      </c>
      <c r="M1661" t="s">
        <v>21</v>
      </c>
      <c r="N1661">
        <f>COUNTIF(order_data[Order_ID],order_data[[#This Row],[Order_ID]])</f>
        <v>1</v>
      </c>
      <c r="O1661">
        <f>order_data[[#This Row],[Order_Value]]-order_data[[#This Row],[Discount]]</f>
        <v>593</v>
      </c>
      <c r="P1661">
        <f>order_data[[#This Row],[Order_Value]]+order_data[[#This Row],[Delivery_Fee]]-order_data[[#This Row],[Discount]]</f>
        <v>623</v>
      </c>
      <c r="Q1661" t="str">
        <f>TEXT(order_data[[#This Row],[Order_Date]],"mmm")</f>
        <v>Jan</v>
      </c>
      <c r="R1661">
        <f>MONTH(order_data[[#This Row],[Order_Date]])</f>
        <v>1</v>
      </c>
    </row>
    <row r="1662" spans="1:18" x14ac:dyDescent="0.35">
      <c r="A1662" t="s">
        <v>2423</v>
      </c>
      <c r="B1662" t="s">
        <v>600</v>
      </c>
      <c r="C1662" t="s">
        <v>2424</v>
      </c>
      <c r="D1662" t="s">
        <v>16</v>
      </c>
      <c r="E1662" t="s">
        <v>89</v>
      </c>
      <c r="F1662" t="s">
        <v>18</v>
      </c>
      <c r="G1662" t="s">
        <v>176</v>
      </c>
      <c r="H1662">
        <v>712</v>
      </c>
      <c r="I1662">
        <v>20</v>
      </c>
      <c r="J1662">
        <v>50</v>
      </c>
      <c r="K1662" t="s">
        <v>36</v>
      </c>
      <c r="L1662">
        <v>26</v>
      </c>
      <c r="M1662" t="s">
        <v>21</v>
      </c>
      <c r="N1662">
        <f>COUNTIF(order_data[Order_ID],order_data[[#This Row],[Order_ID]])</f>
        <v>1</v>
      </c>
      <c r="O1662">
        <f>order_data[[#This Row],[Order_Value]]-order_data[[#This Row],[Discount]]</f>
        <v>662</v>
      </c>
      <c r="P1662">
        <f>order_data[[#This Row],[Order_Value]]+order_data[[#This Row],[Delivery_Fee]]-order_data[[#This Row],[Discount]]</f>
        <v>682</v>
      </c>
      <c r="Q1662" t="str">
        <f>TEXT(order_data[[#This Row],[Order_Date]],"mmm")</f>
        <v>Mar</v>
      </c>
      <c r="R1662">
        <f>MONTH(order_data[[#This Row],[Order_Date]])</f>
        <v>3</v>
      </c>
    </row>
    <row r="1663" spans="1:18" x14ac:dyDescent="0.35">
      <c r="A1663" t="s">
        <v>2425</v>
      </c>
      <c r="B1663" t="s">
        <v>580</v>
      </c>
      <c r="C1663" t="s">
        <v>1507</v>
      </c>
      <c r="D1663" t="s">
        <v>16</v>
      </c>
      <c r="E1663" t="s">
        <v>89</v>
      </c>
      <c r="F1663" t="s">
        <v>18</v>
      </c>
      <c r="G1663" t="s">
        <v>176</v>
      </c>
      <c r="H1663">
        <v>175</v>
      </c>
      <c r="I1663">
        <v>40</v>
      </c>
      <c r="J1663">
        <v>20</v>
      </c>
      <c r="K1663" t="s">
        <v>29</v>
      </c>
      <c r="L1663">
        <v>47</v>
      </c>
      <c r="M1663" t="s">
        <v>21</v>
      </c>
      <c r="N1663">
        <f>COUNTIF(order_data[Order_ID],order_data[[#This Row],[Order_ID]])</f>
        <v>1</v>
      </c>
      <c r="O1663">
        <f>order_data[[#This Row],[Order_Value]]-order_data[[#This Row],[Discount]]</f>
        <v>155</v>
      </c>
      <c r="P1663">
        <f>order_data[[#This Row],[Order_Value]]+order_data[[#This Row],[Delivery_Fee]]-order_data[[#This Row],[Discount]]</f>
        <v>195</v>
      </c>
      <c r="Q1663" t="str">
        <f>TEXT(order_data[[#This Row],[Order_Date]],"mmm")</f>
        <v>Mar</v>
      </c>
      <c r="R1663">
        <f>MONTH(order_data[[#This Row],[Order_Date]])</f>
        <v>3</v>
      </c>
    </row>
    <row r="1664" spans="1:18" x14ac:dyDescent="0.35">
      <c r="A1664" t="s">
        <v>2426</v>
      </c>
      <c r="B1664" t="s">
        <v>129</v>
      </c>
      <c r="C1664" t="s">
        <v>235</v>
      </c>
      <c r="D1664" t="s">
        <v>53</v>
      </c>
      <c r="E1664" t="s">
        <v>152</v>
      </c>
      <c r="F1664" t="s">
        <v>18</v>
      </c>
      <c r="G1664" t="s">
        <v>63</v>
      </c>
      <c r="H1664">
        <v>165</v>
      </c>
      <c r="I1664">
        <v>30</v>
      </c>
      <c r="J1664">
        <v>30</v>
      </c>
      <c r="K1664" t="s">
        <v>20</v>
      </c>
      <c r="L1664">
        <v>42</v>
      </c>
      <c r="M1664" t="s">
        <v>21</v>
      </c>
      <c r="N1664">
        <f>COUNTIF(order_data[Order_ID],order_data[[#This Row],[Order_ID]])</f>
        <v>1</v>
      </c>
      <c r="O1664">
        <f>order_data[[#This Row],[Order_Value]]-order_data[[#This Row],[Discount]]</f>
        <v>135</v>
      </c>
      <c r="P1664">
        <f>order_data[[#This Row],[Order_Value]]+order_data[[#This Row],[Delivery_Fee]]-order_data[[#This Row],[Discount]]</f>
        <v>165</v>
      </c>
      <c r="Q1664" t="str">
        <f>TEXT(order_data[[#This Row],[Order_Date]],"mmm")</f>
        <v>Feb</v>
      </c>
      <c r="R1664">
        <f>MONTH(order_data[[#This Row],[Order_Date]])</f>
        <v>2</v>
      </c>
    </row>
    <row r="1665" spans="1:18" x14ac:dyDescent="0.35">
      <c r="A1665" t="s">
        <v>2427</v>
      </c>
      <c r="B1665" t="s">
        <v>562</v>
      </c>
      <c r="C1665" t="s">
        <v>813</v>
      </c>
      <c r="D1665" t="s">
        <v>46</v>
      </c>
      <c r="E1665" t="s">
        <v>148</v>
      </c>
      <c r="F1665" t="s">
        <v>27</v>
      </c>
      <c r="G1665" t="s">
        <v>63</v>
      </c>
      <c r="H1665">
        <v>521</v>
      </c>
      <c r="I1665">
        <v>40</v>
      </c>
      <c r="J1665">
        <v>0</v>
      </c>
      <c r="K1665" t="s">
        <v>20</v>
      </c>
      <c r="L1665">
        <v>40</v>
      </c>
      <c r="M1665" t="s">
        <v>21</v>
      </c>
      <c r="N1665">
        <f>COUNTIF(order_data[Order_ID],order_data[[#This Row],[Order_ID]])</f>
        <v>1</v>
      </c>
      <c r="O1665">
        <f>order_data[[#This Row],[Order_Value]]-order_data[[#This Row],[Discount]]</f>
        <v>521</v>
      </c>
      <c r="P1665">
        <f>order_data[[#This Row],[Order_Value]]+order_data[[#This Row],[Delivery_Fee]]-order_data[[#This Row],[Discount]]</f>
        <v>561</v>
      </c>
      <c r="Q1665" t="str">
        <f>TEXT(order_data[[#This Row],[Order_Date]],"mmm")</f>
        <v>Feb</v>
      </c>
      <c r="R1665">
        <f>MONTH(order_data[[#This Row],[Order_Date]])</f>
        <v>2</v>
      </c>
    </row>
    <row r="1666" spans="1:18" x14ac:dyDescent="0.35">
      <c r="A1666" t="s">
        <v>2428</v>
      </c>
      <c r="B1666" t="s">
        <v>96</v>
      </c>
      <c r="C1666" t="s">
        <v>610</v>
      </c>
      <c r="D1666" t="s">
        <v>53</v>
      </c>
      <c r="E1666" t="s">
        <v>84</v>
      </c>
      <c r="F1666" t="s">
        <v>85</v>
      </c>
      <c r="G1666" t="s">
        <v>28</v>
      </c>
      <c r="H1666">
        <v>168</v>
      </c>
      <c r="I1666">
        <v>50</v>
      </c>
      <c r="J1666">
        <v>30</v>
      </c>
      <c r="K1666" t="s">
        <v>29</v>
      </c>
      <c r="L1666">
        <v>30</v>
      </c>
      <c r="M1666" t="s">
        <v>21</v>
      </c>
      <c r="N1666">
        <f>COUNTIF(order_data[Order_ID],order_data[[#This Row],[Order_ID]])</f>
        <v>1</v>
      </c>
      <c r="O1666">
        <f>order_data[[#This Row],[Order_Value]]-order_data[[#This Row],[Discount]]</f>
        <v>138</v>
      </c>
      <c r="P1666">
        <f>order_data[[#This Row],[Order_Value]]+order_data[[#This Row],[Delivery_Fee]]-order_data[[#This Row],[Discount]]</f>
        <v>188</v>
      </c>
      <c r="Q1666" t="str">
        <f>TEXT(order_data[[#This Row],[Order_Date]],"mmm")</f>
        <v>Mar</v>
      </c>
      <c r="R1666">
        <f>MONTH(order_data[[#This Row],[Order_Date]])</f>
        <v>3</v>
      </c>
    </row>
    <row r="1667" spans="1:18" x14ac:dyDescent="0.35">
      <c r="A1667" t="s">
        <v>2429</v>
      </c>
      <c r="B1667" t="s">
        <v>118</v>
      </c>
      <c r="C1667" t="s">
        <v>1804</v>
      </c>
      <c r="D1667" t="s">
        <v>16</v>
      </c>
      <c r="E1667" t="s">
        <v>17</v>
      </c>
      <c r="F1667" t="s">
        <v>18</v>
      </c>
      <c r="G1667" t="s">
        <v>49</v>
      </c>
      <c r="H1667">
        <v>608</v>
      </c>
      <c r="I1667">
        <v>30</v>
      </c>
      <c r="J1667">
        <v>0</v>
      </c>
      <c r="K1667" t="s">
        <v>29</v>
      </c>
      <c r="L1667">
        <v>26</v>
      </c>
      <c r="M1667" t="s">
        <v>21</v>
      </c>
      <c r="N1667">
        <f>COUNTIF(order_data[Order_ID],order_data[[#This Row],[Order_ID]])</f>
        <v>1</v>
      </c>
      <c r="O1667">
        <f>order_data[[#This Row],[Order_Value]]-order_data[[#This Row],[Discount]]</f>
        <v>608</v>
      </c>
      <c r="P1667">
        <f>order_data[[#This Row],[Order_Value]]+order_data[[#This Row],[Delivery_Fee]]-order_data[[#This Row],[Discount]]</f>
        <v>638</v>
      </c>
      <c r="Q1667" t="str">
        <f>TEXT(order_data[[#This Row],[Order_Date]],"mmm")</f>
        <v>Mar</v>
      </c>
      <c r="R1667">
        <f>MONTH(order_data[[#This Row],[Order_Date]])</f>
        <v>3</v>
      </c>
    </row>
    <row r="1668" spans="1:18" x14ac:dyDescent="0.35">
      <c r="A1668" t="s">
        <v>2430</v>
      </c>
      <c r="B1668" t="s">
        <v>207</v>
      </c>
      <c r="C1668" t="s">
        <v>1467</v>
      </c>
      <c r="D1668" t="s">
        <v>16</v>
      </c>
      <c r="E1668" t="s">
        <v>131</v>
      </c>
      <c r="F1668" t="s">
        <v>55</v>
      </c>
      <c r="G1668" t="s">
        <v>63</v>
      </c>
      <c r="H1668">
        <v>612</v>
      </c>
      <c r="I1668">
        <v>50</v>
      </c>
      <c r="J1668">
        <v>100</v>
      </c>
      <c r="K1668" t="s">
        <v>36</v>
      </c>
      <c r="L1668">
        <v>33</v>
      </c>
      <c r="M1668" t="s">
        <v>21</v>
      </c>
      <c r="N1668">
        <f>COUNTIF(order_data[Order_ID],order_data[[#This Row],[Order_ID]])</f>
        <v>1</v>
      </c>
      <c r="O1668">
        <f>order_data[[#This Row],[Order_Value]]-order_data[[#This Row],[Discount]]</f>
        <v>512</v>
      </c>
      <c r="P1668">
        <f>order_data[[#This Row],[Order_Value]]+order_data[[#This Row],[Delivery_Fee]]-order_data[[#This Row],[Discount]]</f>
        <v>562</v>
      </c>
      <c r="Q1668" t="str">
        <f>TEXT(order_data[[#This Row],[Order_Date]],"mmm")</f>
        <v>Jan</v>
      </c>
      <c r="R1668">
        <f>MONTH(order_data[[#This Row],[Order_Date]])</f>
        <v>1</v>
      </c>
    </row>
    <row r="1669" spans="1:18" x14ac:dyDescent="0.35">
      <c r="A1669" t="s">
        <v>2431</v>
      </c>
      <c r="B1669" t="s">
        <v>38</v>
      </c>
      <c r="C1669" t="s">
        <v>854</v>
      </c>
      <c r="D1669" t="s">
        <v>25</v>
      </c>
      <c r="E1669" t="s">
        <v>26</v>
      </c>
      <c r="F1669" t="s">
        <v>27</v>
      </c>
      <c r="G1669" t="s">
        <v>74</v>
      </c>
      <c r="H1669">
        <v>371</v>
      </c>
      <c r="I1669">
        <v>40</v>
      </c>
      <c r="J1669">
        <v>50</v>
      </c>
      <c r="K1669" t="s">
        <v>36</v>
      </c>
      <c r="L1669">
        <v>27</v>
      </c>
      <c r="M1669" t="s">
        <v>21</v>
      </c>
      <c r="N1669">
        <f>COUNTIF(order_data[Order_ID],order_data[[#This Row],[Order_ID]])</f>
        <v>1</v>
      </c>
      <c r="O1669">
        <f>order_data[[#This Row],[Order_Value]]-order_data[[#This Row],[Discount]]</f>
        <v>321</v>
      </c>
      <c r="P1669">
        <f>order_data[[#This Row],[Order_Value]]+order_data[[#This Row],[Delivery_Fee]]-order_data[[#This Row],[Discount]]</f>
        <v>361</v>
      </c>
      <c r="Q1669" t="str">
        <f>TEXT(order_data[[#This Row],[Order_Date]],"mmm")</f>
        <v>Jan</v>
      </c>
      <c r="R1669">
        <f>MONTH(order_data[[#This Row],[Order_Date]])</f>
        <v>1</v>
      </c>
    </row>
    <row r="1670" spans="1:18" x14ac:dyDescent="0.35">
      <c r="A1670" t="s">
        <v>2432</v>
      </c>
      <c r="B1670" t="s">
        <v>600</v>
      </c>
      <c r="C1670" t="s">
        <v>1396</v>
      </c>
      <c r="D1670" t="s">
        <v>25</v>
      </c>
      <c r="E1670" t="s">
        <v>34</v>
      </c>
      <c r="F1670" t="s">
        <v>27</v>
      </c>
      <c r="G1670" t="s">
        <v>35</v>
      </c>
      <c r="H1670">
        <v>721</v>
      </c>
      <c r="I1670">
        <v>50</v>
      </c>
      <c r="J1670">
        <v>30</v>
      </c>
      <c r="K1670" t="s">
        <v>29</v>
      </c>
      <c r="L1670">
        <v>53</v>
      </c>
      <c r="M1670" t="s">
        <v>21</v>
      </c>
      <c r="N1670">
        <f>COUNTIF(order_data[Order_ID],order_data[[#This Row],[Order_ID]])</f>
        <v>1</v>
      </c>
      <c r="O1670">
        <f>order_data[[#This Row],[Order_Value]]-order_data[[#This Row],[Discount]]</f>
        <v>691</v>
      </c>
      <c r="P1670">
        <f>order_data[[#This Row],[Order_Value]]+order_data[[#This Row],[Delivery_Fee]]-order_data[[#This Row],[Discount]]</f>
        <v>741</v>
      </c>
      <c r="Q1670" t="str">
        <f>TEXT(order_data[[#This Row],[Order_Date]],"mmm")</f>
        <v>Mar</v>
      </c>
      <c r="R1670">
        <f>MONTH(order_data[[#This Row],[Order_Date]])</f>
        <v>3</v>
      </c>
    </row>
    <row r="1671" spans="1:18" x14ac:dyDescent="0.35">
      <c r="A1671" t="s">
        <v>2433</v>
      </c>
      <c r="B1671" t="s">
        <v>96</v>
      </c>
      <c r="C1671" t="s">
        <v>1866</v>
      </c>
      <c r="D1671" t="s">
        <v>40</v>
      </c>
      <c r="E1671" t="s">
        <v>41</v>
      </c>
      <c r="F1671" t="s">
        <v>27</v>
      </c>
      <c r="G1671" t="s">
        <v>49</v>
      </c>
      <c r="H1671">
        <v>470</v>
      </c>
      <c r="I1671">
        <v>50</v>
      </c>
      <c r="J1671">
        <v>50</v>
      </c>
      <c r="K1671" t="s">
        <v>29</v>
      </c>
      <c r="L1671">
        <v>22</v>
      </c>
      <c r="M1671" t="s">
        <v>21</v>
      </c>
      <c r="N1671">
        <f>COUNTIF(order_data[Order_ID],order_data[[#This Row],[Order_ID]])</f>
        <v>1</v>
      </c>
      <c r="O1671">
        <f>order_data[[#This Row],[Order_Value]]-order_data[[#This Row],[Discount]]</f>
        <v>420</v>
      </c>
      <c r="P1671">
        <f>order_data[[#This Row],[Order_Value]]+order_data[[#This Row],[Delivery_Fee]]-order_data[[#This Row],[Discount]]</f>
        <v>470</v>
      </c>
      <c r="Q1671" t="str">
        <f>TEXT(order_data[[#This Row],[Order_Date]],"mmm")</f>
        <v>Mar</v>
      </c>
      <c r="R1671">
        <f>MONTH(order_data[[#This Row],[Order_Date]])</f>
        <v>3</v>
      </c>
    </row>
    <row r="1672" spans="1:18" x14ac:dyDescent="0.35">
      <c r="A1672" t="s">
        <v>2434</v>
      </c>
      <c r="B1672" t="s">
        <v>513</v>
      </c>
      <c r="C1672" t="s">
        <v>503</v>
      </c>
      <c r="D1672" t="s">
        <v>16</v>
      </c>
      <c r="E1672" t="s">
        <v>89</v>
      </c>
      <c r="F1672" t="s">
        <v>18</v>
      </c>
      <c r="G1672" t="s">
        <v>19</v>
      </c>
      <c r="H1672">
        <v>245</v>
      </c>
      <c r="I1672">
        <v>40</v>
      </c>
      <c r="J1672">
        <v>20</v>
      </c>
      <c r="K1672" t="s">
        <v>36</v>
      </c>
      <c r="L1672">
        <v>24</v>
      </c>
      <c r="M1672" t="s">
        <v>21</v>
      </c>
      <c r="N1672">
        <f>COUNTIF(order_data[Order_ID],order_data[[#This Row],[Order_ID]])</f>
        <v>1</v>
      </c>
      <c r="O1672">
        <f>order_data[[#This Row],[Order_Value]]-order_data[[#This Row],[Discount]]</f>
        <v>225</v>
      </c>
      <c r="P1672">
        <f>order_data[[#This Row],[Order_Value]]+order_data[[#This Row],[Delivery_Fee]]-order_data[[#This Row],[Discount]]</f>
        <v>265</v>
      </c>
      <c r="Q1672" t="str">
        <f>TEXT(order_data[[#This Row],[Order_Date]],"mmm")</f>
        <v>Feb</v>
      </c>
      <c r="R1672">
        <f>MONTH(order_data[[#This Row],[Order_Date]])</f>
        <v>2</v>
      </c>
    </row>
    <row r="1673" spans="1:18" x14ac:dyDescent="0.35">
      <c r="A1673" t="s">
        <v>2435</v>
      </c>
      <c r="B1673" t="s">
        <v>178</v>
      </c>
      <c r="C1673" t="s">
        <v>1931</v>
      </c>
      <c r="D1673" t="s">
        <v>46</v>
      </c>
      <c r="E1673" t="s">
        <v>70</v>
      </c>
      <c r="F1673" t="s">
        <v>18</v>
      </c>
      <c r="G1673" t="s">
        <v>42</v>
      </c>
      <c r="H1673">
        <v>356</v>
      </c>
      <c r="I1673">
        <v>50</v>
      </c>
      <c r="J1673">
        <v>0</v>
      </c>
      <c r="K1673" t="s">
        <v>20</v>
      </c>
      <c r="L1673">
        <v>53</v>
      </c>
      <c r="M1673" t="s">
        <v>21</v>
      </c>
      <c r="N1673">
        <f>COUNTIF(order_data[Order_ID],order_data[[#This Row],[Order_ID]])</f>
        <v>1</v>
      </c>
      <c r="O1673">
        <f>order_data[[#This Row],[Order_Value]]-order_data[[#This Row],[Discount]]</f>
        <v>356</v>
      </c>
      <c r="P1673">
        <f>order_data[[#This Row],[Order_Value]]+order_data[[#This Row],[Delivery_Fee]]-order_data[[#This Row],[Discount]]</f>
        <v>406</v>
      </c>
      <c r="Q1673" t="str">
        <f>TEXT(order_data[[#This Row],[Order_Date]],"mmm")</f>
        <v>Feb</v>
      </c>
      <c r="R1673">
        <f>MONTH(order_data[[#This Row],[Order_Date]])</f>
        <v>2</v>
      </c>
    </row>
    <row r="1674" spans="1:18" x14ac:dyDescent="0.35">
      <c r="A1674" t="s">
        <v>2436</v>
      </c>
      <c r="B1674" t="s">
        <v>365</v>
      </c>
      <c r="C1674" t="s">
        <v>2261</v>
      </c>
      <c r="D1674" t="s">
        <v>46</v>
      </c>
      <c r="E1674" t="s">
        <v>47</v>
      </c>
      <c r="F1674" t="s">
        <v>48</v>
      </c>
      <c r="G1674" t="s">
        <v>59</v>
      </c>
      <c r="H1674">
        <v>640</v>
      </c>
      <c r="I1674">
        <v>20</v>
      </c>
      <c r="J1674">
        <v>50</v>
      </c>
      <c r="K1674" t="s">
        <v>36</v>
      </c>
      <c r="L1674">
        <v>40</v>
      </c>
      <c r="M1674" t="s">
        <v>21</v>
      </c>
      <c r="N1674">
        <f>COUNTIF(order_data[Order_ID],order_data[[#This Row],[Order_ID]])</f>
        <v>1</v>
      </c>
      <c r="O1674">
        <f>order_data[[#This Row],[Order_Value]]-order_data[[#This Row],[Discount]]</f>
        <v>590</v>
      </c>
      <c r="P1674">
        <f>order_data[[#This Row],[Order_Value]]+order_data[[#This Row],[Delivery_Fee]]-order_data[[#This Row],[Discount]]</f>
        <v>610</v>
      </c>
      <c r="Q1674" t="str">
        <f>TEXT(order_data[[#This Row],[Order_Date]],"mmm")</f>
        <v>Jan</v>
      </c>
      <c r="R1674">
        <f>MONTH(order_data[[#This Row],[Order_Date]])</f>
        <v>1</v>
      </c>
    </row>
    <row r="1675" spans="1:18" x14ac:dyDescent="0.35">
      <c r="A1675" t="s">
        <v>2437</v>
      </c>
      <c r="B1675" t="s">
        <v>174</v>
      </c>
      <c r="C1675" t="s">
        <v>1012</v>
      </c>
      <c r="D1675" t="s">
        <v>53</v>
      </c>
      <c r="E1675" t="s">
        <v>84</v>
      </c>
      <c r="F1675" t="s">
        <v>85</v>
      </c>
      <c r="G1675" t="s">
        <v>59</v>
      </c>
      <c r="H1675">
        <v>471</v>
      </c>
      <c r="I1675">
        <v>40</v>
      </c>
      <c r="J1675">
        <v>50</v>
      </c>
      <c r="K1675" t="s">
        <v>20</v>
      </c>
      <c r="L1675">
        <v>38</v>
      </c>
      <c r="M1675" t="s">
        <v>21</v>
      </c>
      <c r="N1675">
        <f>COUNTIF(order_data[Order_ID],order_data[[#This Row],[Order_ID]])</f>
        <v>1</v>
      </c>
      <c r="O1675">
        <f>order_data[[#This Row],[Order_Value]]-order_data[[#This Row],[Discount]]</f>
        <v>421</v>
      </c>
      <c r="P1675">
        <f>order_data[[#This Row],[Order_Value]]+order_data[[#This Row],[Delivery_Fee]]-order_data[[#This Row],[Discount]]</f>
        <v>461</v>
      </c>
      <c r="Q1675" t="str">
        <f>TEXT(order_data[[#This Row],[Order_Date]],"mmm")</f>
        <v>Feb</v>
      </c>
      <c r="R1675">
        <f>MONTH(order_data[[#This Row],[Order_Date]])</f>
        <v>2</v>
      </c>
    </row>
    <row r="1676" spans="1:18" x14ac:dyDescent="0.35">
      <c r="A1676" t="s">
        <v>2438</v>
      </c>
      <c r="B1676" t="s">
        <v>102</v>
      </c>
      <c r="C1676" t="s">
        <v>2107</v>
      </c>
      <c r="D1676" t="s">
        <v>40</v>
      </c>
      <c r="E1676" t="s">
        <v>67</v>
      </c>
      <c r="F1676" t="s">
        <v>48</v>
      </c>
      <c r="G1676" t="s">
        <v>42</v>
      </c>
      <c r="H1676">
        <v>153</v>
      </c>
      <c r="I1676">
        <v>20</v>
      </c>
      <c r="J1676">
        <v>0</v>
      </c>
      <c r="K1676" t="s">
        <v>29</v>
      </c>
      <c r="L1676">
        <v>22</v>
      </c>
      <c r="M1676" t="s">
        <v>21</v>
      </c>
      <c r="N1676">
        <f>COUNTIF(order_data[Order_ID],order_data[[#This Row],[Order_ID]])</f>
        <v>1</v>
      </c>
      <c r="O1676">
        <f>order_data[[#This Row],[Order_Value]]-order_data[[#This Row],[Discount]]</f>
        <v>153</v>
      </c>
      <c r="P1676">
        <f>order_data[[#This Row],[Order_Value]]+order_data[[#This Row],[Delivery_Fee]]-order_data[[#This Row],[Discount]]</f>
        <v>173</v>
      </c>
      <c r="Q1676" t="str">
        <f>TEXT(order_data[[#This Row],[Order_Date]],"mmm")</f>
        <v>Mar</v>
      </c>
      <c r="R1676">
        <f>MONTH(order_data[[#This Row],[Order_Date]])</f>
        <v>3</v>
      </c>
    </row>
    <row r="1677" spans="1:18" x14ac:dyDescent="0.35">
      <c r="A1677" t="s">
        <v>2439</v>
      </c>
      <c r="B1677" t="s">
        <v>379</v>
      </c>
      <c r="C1677" t="s">
        <v>301</v>
      </c>
      <c r="D1677" t="s">
        <v>40</v>
      </c>
      <c r="E1677" t="s">
        <v>111</v>
      </c>
      <c r="F1677" t="s">
        <v>18</v>
      </c>
      <c r="G1677" t="s">
        <v>35</v>
      </c>
      <c r="H1677">
        <v>514</v>
      </c>
      <c r="I1677">
        <v>40</v>
      </c>
      <c r="J1677">
        <v>20</v>
      </c>
      <c r="K1677" t="s">
        <v>20</v>
      </c>
      <c r="L1677">
        <v>33</v>
      </c>
      <c r="M1677" t="s">
        <v>21</v>
      </c>
      <c r="N1677">
        <f>COUNTIF(order_data[Order_ID],order_data[[#This Row],[Order_ID]])</f>
        <v>1</v>
      </c>
      <c r="O1677">
        <f>order_data[[#This Row],[Order_Value]]-order_data[[#This Row],[Discount]]</f>
        <v>494</v>
      </c>
      <c r="P1677">
        <f>order_data[[#This Row],[Order_Value]]+order_data[[#This Row],[Delivery_Fee]]-order_data[[#This Row],[Discount]]</f>
        <v>534</v>
      </c>
      <c r="Q1677" t="str">
        <f>TEXT(order_data[[#This Row],[Order_Date]],"mmm")</f>
        <v>Mar</v>
      </c>
      <c r="R1677">
        <f>MONTH(order_data[[#This Row],[Order_Date]])</f>
        <v>3</v>
      </c>
    </row>
    <row r="1678" spans="1:18" x14ac:dyDescent="0.35">
      <c r="A1678" t="s">
        <v>2440</v>
      </c>
      <c r="B1678" t="s">
        <v>305</v>
      </c>
      <c r="C1678" t="s">
        <v>2441</v>
      </c>
      <c r="D1678" t="s">
        <v>25</v>
      </c>
      <c r="E1678" t="s">
        <v>26</v>
      </c>
      <c r="F1678" t="s">
        <v>27</v>
      </c>
      <c r="G1678" t="s">
        <v>35</v>
      </c>
      <c r="H1678">
        <v>498</v>
      </c>
      <c r="I1678">
        <v>40</v>
      </c>
      <c r="J1678">
        <v>30</v>
      </c>
      <c r="K1678" t="s">
        <v>29</v>
      </c>
      <c r="L1678">
        <v>23</v>
      </c>
      <c r="M1678" t="s">
        <v>21</v>
      </c>
      <c r="N1678">
        <f>COUNTIF(order_data[Order_ID],order_data[[#This Row],[Order_ID]])</f>
        <v>1</v>
      </c>
      <c r="O1678">
        <f>order_data[[#This Row],[Order_Value]]-order_data[[#This Row],[Discount]]</f>
        <v>468</v>
      </c>
      <c r="P1678">
        <f>order_data[[#This Row],[Order_Value]]+order_data[[#This Row],[Delivery_Fee]]-order_data[[#This Row],[Discount]]</f>
        <v>508</v>
      </c>
      <c r="Q1678" t="str">
        <f>TEXT(order_data[[#This Row],[Order_Date]],"mmm")</f>
        <v>Jan</v>
      </c>
      <c r="R1678">
        <f>MONTH(order_data[[#This Row],[Order_Date]])</f>
        <v>1</v>
      </c>
    </row>
    <row r="1679" spans="1:18" x14ac:dyDescent="0.35">
      <c r="A1679" t="s">
        <v>2442</v>
      </c>
      <c r="B1679" t="s">
        <v>109</v>
      </c>
      <c r="C1679" t="s">
        <v>122</v>
      </c>
      <c r="D1679" t="s">
        <v>40</v>
      </c>
      <c r="E1679" t="s">
        <v>67</v>
      </c>
      <c r="F1679" t="s">
        <v>48</v>
      </c>
      <c r="G1679" t="s">
        <v>42</v>
      </c>
      <c r="H1679">
        <v>740</v>
      </c>
      <c r="I1679">
        <v>50</v>
      </c>
      <c r="J1679">
        <v>0</v>
      </c>
      <c r="K1679" t="s">
        <v>29</v>
      </c>
      <c r="L1679">
        <v>47</v>
      </c>
      <c r="M1679" t="s">
        <v>21</v>
      </c>
      <c r="N1679">
        <f>COUNTIF(order_data[Order_ID],order_data[[#This Row],[Order_ID]])</f>
        <v>1</v>
      </c>
      <c r="O1679">
        <f>order_data[[#This Row],[Order_Value]]-order_data[[#This Row],[Discount]]</f>
        <v>740</v>
      </c>
      <c r="P1679">
        <f>order_data[[#This Row],[Order_Value]]+order_data[[#This Row],[Delivery_Fee]]-order_data[[#This Row],[Discount]]</f>
        <v>790</v>
      </c>
      <c r="Q1679" t="str">
        <f>TEXT(order_data[[#This Row],[Order_Date]],"mmm")</f>
        <v>Jan</v>
      </c>
      <c r="R1679">
        <f>MONTH(order_data[[#This Row],[Order_Date]])</f>
        <v>1</v>
      </c>
    </row>
    <row r="1680" spans="1:18" x14ac:dyDescent="0.35">
      <c r="A1680" t="s">
        <v>2443</v>
      </c>
      <c r="B1680" t="s">
        <v>205</v>
      </c>
      <c r="C1680" t="s">
        <v>2444</v>
      </c>
      <c r="D1680" t="s">
        <v>16</v>
      </c>
      <c r="E1680" t="s">
        <v>89</v>
      </c>
      <c r="F1680" t="s">
        <v>18</v>
      </c>
      <c r="G1680" t="s">
        <v>176</v>
      </c>
      <c r="H1680">
        <v>709</v>
      </c>
      <c r="I1680">
        <v>50</v>
      </c>
      <c r="J1680">
        <v>30</v>
      </c>
      <c r="K1680" t="s">
        <v>29</v>
      </c>
      <c r="L1680">
        <v>40</v>
      </c>
      <c r="M1680" t="s">
        <v>30</v>
      </c>
      <c r="N1680">
        <f>COUNTIF(order_data[Order_ID],order_data[[#This Row],[Order_ID]])</f>
        <v>1</v>
      </c>
      <c r="O1680">
        <f>order_data[[#This Row],[Order_Value]]-order_data[[#This Row],[Discount]]</f>
        <v>679</v>
      </c>
      <c r="P1680">
        <f>order_data[[#This Row],[Order_Value]]+order_data[[#This Row],[Delivery_Fee]]-order_data[[#This Row],[Discount]]</f>
        <v>729</v>
      </c>
      <c r="Q1680" t="str">
        <f>TEXT(order_data[[#This Row],[Order_Date]],"mmm")</f>
        <v>Jan</v>
      </c>
      <c r="R1680">
        <f>MONTH(order_data[[#This Row],[Order_Date]])</f>
        <v>1</v>
      </c>
    </row>
    <row r="1681" spans="1:18" x14ac:dyDescent="0.35">
      <c r="A1681" t="s">
        <v>2445</v>
      </c>
      <c r="B1681" t="s">
        <v>51</v>
      </c>
      <c r="C1681" t="s">
        <v>2446</v>
      </c>
      <c r="D1681" t="s">
        <v>25</v>
      </c>
      <c r="E1681" t="s">
        <v>78</v>
      </c>
      <c r="F1681" t="s">
        <v>48</v>
      </c>
      <c r="G1681" t="s">
        <v>59</v>
      </c>
      <c r="H1681">
        <v>340</v>
      </c>
      <c r="I1681">
        <v>30</v>
      </c>
      <c r="J1681">
        <v>30</v>
      </c>
      <c r="K1681" t="s">
        <v>36</v>
      </c>
      <c r="L1681">
        <v>52</v>
      </c>
      <c r="M1681" t="s">
        <v>30</v>
      </c>
      <c r="N1681">
        <f>COUNTIF(order_data[Order_ID],order_data[[#This Row],[Order_ID]])</f>
        <v>1</v>
      </c>
      <c r="O1681">
        <f>order_data[[#This Row],[Order_Value]]-order_data[[#This Row],[Discount]]</f>
        <v>310</v>
      </c>
      <c r="P1681">
        <f>order_data[[#This Row],[Order_Value]]+order_data[[#This Row],[Delivery_Fee]]-order_data[[#This Row],[Discount]]</f>
        <v>340</v>
      </c>
      <c r="Q1681" t="str">
        <f>TEXT(order_data[[#This Row],[Order_Date]],"mmm")</f>
        <v>Feb</v>
      </c>
      <c r="R1681">
        <f>MONTH(order_data[[#This Row],[Order_Date]])</f>
        <v>2</v>
      </c>
    </row>
    <row r="1682" spans="1:18" x14ac:dyDescent="0.35">
      <c r="A1682" t="s">
        <v>2447</v>
      </c>
      <c r="B1682" t="s">
        <v>473</v>
      </c>
      <c r="C1682" t="s">
        <v>759</v>
      </c>
      <c r="D1682" t="s">
        <v>53</v>
      </c>
      <c r="E1682" t="s">
        <v>54</v>
      </c>
      <c r="F1682" t="s">
        <v>55</v>
      </c>
      <c r="G1682" t="s">
        <v>49</v>
      </c>
      <c r="H1682">
        <v>327</v>
      </c>
      <c r="I1682">
        <v>20</v>
      </c>
      <c r="J1682">
        <v>100</v>
      </c>
      <c r="K1682" t="s">
        <v>29</v>
      </c>
      <c r="L1682">
        <v>33</v>
      </c>
      <c r="M1682" t="s">
        <v>21</v>
      </c>
      <c r="N1682">
        <f>COUNTIF(order_data[Order_ID],order_data[[#This Row],[Order_ID]])</f>
        <v>1</v>
      </c>
      <c r="O1682">
        <f>order_data[[#This Row],[Order_Value]]-order_data[[#This Row],[Discount]]</f>
        <v>227</v>
      </c>
      <c r="P1682">
        <f>order_data[[#This Row],[Order_Value]]+order_data[[#This Row],[Delivery_Fee]]-order_data[[#This Row],[Discount]]</f>
        <v>247</v>
      </c>
      <c r="Q1682" t="str">
        <f>TEXT(order_data[[#This Row],[Order_Date]],"mmm")</f>
        <v>Mar</v>
      </c>
      <c r="R1682">
        <f>MONTH(order_data[[#This Row],[Order_Date]])</f>
        <v>3</v>
      </c>
    </row>
    <row r="1683" spans="1:18" x14ac:dyDescent="0.35">
      <c r="A1683" t="s">
        <v>2448</v>
      </c>
      <c r="B1683" t="s">
        <v>129</v>
      </c>
      <c r="C1683" t="s">
        <v>2404</v>
      </c>
      <c r="D1683" t="s">
        <v>25</v>
      </c>
      <c r="E1683" t="s">
        <v>78</v>
      </c>
      <c r="F1683" t="s">
        <v>48</v>
      </c>
      <c r="G1683" t="s">
        <v>74</v>
      </c>
      <c r="H1683">
        <v>737</v>
      </c>
      <c r="I1683">
        <v>50</v>
      </c>
      <c r="J1683">
        <v>100</v>
      </c>
      <c r="K1683" t="s">
        <v>20</v>
      </c>
      <c r="L1683">
        <v>38</v>
      </c>
      <c r="M1683" t="s">
        <v>21</v>
      </c>
      <c r="N1683">
        <f>COUNTIF(order_data[Order_ID],order_data[[#This Row],[Order_ID]])</f>
        <v>1</v>
      </c>
      <c r="O1683">
        <f>order_data[[#This Row],[Order_Value]]-order_data[[#This Row],[Discount]]</f>
        <v>637</v>
      </c>
      <c r="P1683">
        <f>order_data[[#This Row],[Order_Value]]+order_data[[#This Row],[Delivery_Fee]]-order_data[[#This Row],[Discount]]</f>
        <v>687</v>
      </c>
      <c r="Q1683" t="str">
        <f>TEXT(order_data[[#This Row],[Order_Date]],"mmm")</f>
        <v>Feb</v>
      </c>
      <c r="R1683">
        <f>MONTH(order_data[[#This Row],[Order_Date]])</f>
        <v>2</v>
      </c>
    </row>
    <row r="1684" spans="1:18" x14ac:dyDescent="0.35">
      <c r="A1684" t="s">
        <v>2449</v>
      </c>
      <c r="B1684" t="s">
        <v>413</v>
      </c>
      <c r="C1684" t="s">
        <v>650</v>
      </c>
      <c r="D1684" t="s">
        <v>16</v>
      </c>
      <c r="E1684" t="s">
        <v>131</v>
      </c>
      <c r="F1684" t="s">
        <v>55</v>
      </c>
      <c r="G1684" t="s">
        <v>176</v>
      </c>
      <c r="H1684">
        <v>607</v>
      </c>
      <c r="I1684">
        <v>30</v>
      </c>
      <c r="J1684">
        <v>50</v>
      </c>
      <c r="K1684" t="s">
        <v>29</v>
      </c>
      <c r="L1684">
        <v>31</v>
      </c>
      <c r="M1684" t="s">
        <v>21</v>
      </c>
      <c r="N1684">
        <f>COUNTIF(order_data[Order_ID],order_data[[#This Row],[Order_ID]])</f>
        <v>1</v>
      </c>
      <c r="O1684">
        <f>order_data[[#This Row],[Order_Value]]-order_data[[#This Row],[Discount]]</f>
        <v>557</v>
      </c>
      <c r="P1684">
        <f>order_data[[#This Row],[Order_Value]]+order_data[[#This Row],[Delivery_Fee]]-order_data[[#This Row],[Discount]]</f>
        <v>587</v>
      </c>
      <c r="Q1684" t="str">
        <f>TEXT(order_data[[#This Row],[Order_Date]],"mmm")</f>
        <v>Mar</v>
      </c>
      <c r="R1684">
        <f>MONTH(order_data[[#This Row],[Order_Date]])</f>
        <v>3</v>
      </c>
    </row>
    <row r="1685" spans="1:18" x14ac:dyDescent="0.35">
      <c r="A1685" t="s">
        <v>2450</v>
      </c>
      <c r="B1685" t="s">
        <v>213</v>
      </c>
      <c r="C1685" t="s">
        <v>646</v>
      </c>
      <c r="D1685" t="s">
        <v>53</v>
      </c>
      <c r="E1685" t="s">
        <v>152</v>
      </c>
      <c r="F1685" t="s">
        <v>18</v>
      </c>
      <c r="G1685" t="s">
        <v>74</v>
      </c>
      <c r="H1685">
        <v>345</v>
      </c>
      <c r="I1685">
        <v>30</v>
      </c>
      <c r="J1685">
        <v>30</v>
      </c>
      <c r="K1685" t="s">
        <v>29</v>
      </c>
      <c r="L1685">
        <v>53</v>
      </c>
      <c r="M1685" t="s">
        <v>30</v>
      </c>
      <c r="N1685">
        <f>COUNTIF(order_data[Order_ID],order_data[[#This Row],[Order_ID]])</f>
        <v>1</v>
      </c>
      <c r="O1685">
        <f>order_data[[#This Row],[Order_Value]]-order_data[[#This Row],[Discount]]</f>
        <v>315</v>
      </c>
      <c r="P1685">
        <f>order_data[[#This Row],[Order_Value]]+order_data[[#This Row],[Delivery_Fee]]-order_data[[#This Row],[Discount]]</f>
        <v>345</v>
      </c>
      <c r="Q1685" t="str">
        <f>TEXT(order_data[[#This Row],[Order_Date]],"mmm")</f>
        <v>Jan</v>
      </c>
      <c r="R1685">
        <f>MONTH(order_data[[#This Row],[Order_Date]])</f>
        <v>1</v>
      </c>
    </row>
    <row r="1686" spans="1:18" x14ac:dyDescent="0.35">
      <c r="A1686" t="s">
        <v>2451</v>
      </c>
      <c r="B1686" t="s">
        <v>454</v>
      </c>
      <c r="C1686" t="s">
        <v>1073</v>
      </c>
      <c r="D1686" t="s">
        <v>40</v>
      </c>
      <c r="E1686" t="s">
        <v>67</v>
      </c>
      <c r="F1686" t="s">
        <v>48</v>
      </c>
      <c r="G1686" t="s">
        <v>63</v>
      </c>
      <c r="H1686">
        <v>347</v>
      </c>
      <c r="I1686">
        <v>40</v>
      </c>
      <c r="J1686">
        <v>100</v>
      </c>
      <c r="K1686" t="s">
        <v>20</v>
      </c>
      <c r="L1686">
        <v>52</v>
      </c>
      <c r="M1686" t="s">
        <v>21</v>
      </c>
      <c r="N1686">
        <f>COUNTIF(order_data[Order_ID],order_data[[#This Row],[Order_ID]])</f>
        <v>1</v>
      </c>
      <c r="O1686">
        <f>order_data[[#This Row],[Order_Value]]-order_data[[#This Row],[Discount]]</f>
        <v>247</v>
      </c>
      <c r="P1686">
        <f>order_data[[#This Row],[Order_Value]]+order_data[[#This Row],[Delivery_Fee]]-order_data[[#This Row],[Discount]]</f>
        <v>287</v>
      </c>
      <c r="Q1686" t="str">
        <f>TEXT(order_data[[#This Row],[Order_Date]],"mmm")</f>
        <v>Jan</v>
      </c>
      <c r="R1686">
        <f>MONTH(order_data[[#This Row],[Order_Date]])</f>
        <v>1</v>
      </c>
    </row>
    <row r="1687" spans="1:18" x14ac:dyDescent="0.35">
      <c r="A1687" t="s">
        <v>2452</v>
      </c>
      <c r="B1687" t="s">
        <v>300</v>
      </c>
      <c r="C1687" t="s">
        <v>427</v>
      </c>
      <c r="D1687" t="s">
        <v>53</v>
      </c>
      <c r="E1687" t="s">
        <v>152</v>
      </c>
      <c r="F1687" t="s">
        <v>18</v>
      </c>
      <c r="G1687" t="s">
        <v>59</v>
      </c>
      <c r="H1687">
        <v>734</v>
      </c>
      <c r="I1687">
        <v>50</v>
      </c>
      <c r="J1687">
        <v>100</v>
      </c>
      <c r="K1687" t="s">
        <v>29</v>
      </c>
      <c r="L1687">
        <v>47</v>
      </c>
      <c r="M1687" t="s">
        <v>21</v>
      </c>
      <c r="N1687">
        <f>COUNTIF(order_data[Order_ID],order_data[[#This Row],[Order_ID]])</f>
        <v>1</v>
      </c>
      <c r="O1687">
        <f>order_data[[#This Row],[Order_Value]]-order_data[[#This Row],[Discount]]</f>
        <v>634</v>
      </c>
      <c r="P1687">
        <f>order_data[[#This Row],[Order_Value]]+order_data[[#This Row],[Delivery_Fee]]-order_data[[#This Row],[Discount]]</f>
        <v>684</v>
      </c>
      <c r="Q1687" t="str">
        <f>TEXT(order_data[[#This Row],[Order_Date]],"mmm")</f>
        <v>Mar</v>
      </c>
      <c r="R1687">
        <f>MONTH(order_data[[#This Row],[Order_Date]])</f>
        <v>3</v>
      </c>
    </row>
    <row r="1688" spans="1:18" x14ac:dyDescent="0.35">
      <c r="A1688" t="s">
        <v>2453</v>
      </c>
      <c r="B1688" t="s">
        <v>99</v>
      </c>
      <c r="C1688" t="s">
        <v>806</v>
      </c>
      <c r="D1688" t="s">
        <v>16</v>
      </c>
      <c r="E1688" t="s">
        <v>17</v>
      </c>
      <c r="F1688" t="s">
        <v>18</v>
      </c>
      <c r="G1688" t="s">
        <v>19</v>
      </c>
      <c r="H1688">
        <v>462</v>
      </c>
      <c r="I1688">
        <v>40</v>
      </c>
      <c r="J1688">
        <v>20</v>
      </c>
      <c r="K1688" t="s">
        <v>20</v>
      </c>
      <c r="L1688">
        <v>58</v>
      </c>
      <c r="M1688" t="s">
        <v>21</v>
      </c>
      <c r="N1688">
        <f>COUNTIF(order_data[Order_ID],order_data[[#This Row],[Order_ID]])</f>
        <v>1</v>
      </c>
      <c r="O1688">
        <f>order_data[[#This Row],[Order_Value]]-order_data[[#This Row],[Discount]]</f>
        <v>442</v>
      </c>
      <c r="P1688">
        <f>order_data[[#This Row],[Order_Value]]+order_data[[#This Row],[Delivery_Fee]]-order_data[[#This Row],[Discount]]</f>
        <v>482</v>
      </c>
      <c r="Q1688" t="str">
        <f>TEXT(order_data[[#This Row],[Order_Date]],"mmm")</f>
        <v>Mar</v>
      </c>
      <c r="R1688">
        <f>MONTH(order_data[[#This Row],[Order_Date]])</f>
        <v>3</v>
      </c>
    </row>
    <row r="1689" spans="1:18" x14ac:dyDescent="0.35">
      <c r="A1689" t="s">
        <v>2454</v>
      </c>
      <c r="B1689" t="s">
        <v>297</v>
      </c>
      <c r="C1689" t="s">
        <v>2094</v>
      </c>
      <c r="D1689" t="s">
        <v>16</v>
      </c>
      <c r="E1689" t="s">
        <v>17</v>
      </c>
      <c r="F1689" t="s">
        <v>18</v>
      </c>
      <c r="G1689" t="s">
        <v>59</v>
      </c>
      <c r="H1689">
        <v>762</v>
      </c>
      <c r="I1689">
        <v>50</v>
      </c>
      <c r="J1689">
        <v>0</v>
      </c>
      <c r="K1689" t="s">
        <v>20</v>
      </c>
      <c r="L1689">
        <v>42</v>
      </c>
      <c r="M1689" t="s">
        <v>21</v>
      </c>
      <c r="N1689">
        <f>COUNTIF(order_data[Order_ID],order_data[[#This Row],[Order_ID]])</f>
        <v>1</v>
      </c>
      <c r="O1689">
        <f>order_data[[#This Row],[Order_Value]]-order_data[[#This Row],[Discount]]</f>
        <v>762</v>
      </c>
      <c r="P1689">
        <f>order_data[[#This Row],[Order_Value]]+order_data[[#This Row],[Delivery_Fee]]-order_data[[#This Row],[Discount]]</f>
        <v>812</v>
      </c>
      <c r="Q1689" t="str">
        <f>TEXT(order_data[[#This Row],[Order_Date]],"mmm")</f>
        <v>Feb</v>
      </c>
      <c r="R1689">
        <f>MONTH(order_data[[#This Row],[Order_Date]])</f>
        <v>2</v>
      </c>
    </row>
    <row r="1690" spans="1:18" x14ac:dyDescent="0.35">
      <c r="A1690" t="s">
        <v>2455</v>
      </c>
      <c r="B1690" t="s">
        <v>87</v>
      </c>
      <c r="C1690" t="s">
        <v>2456</v>
      </c>
      <c r="D1690" t="s">
        <v>25</v>
      </c>
      <c r="E1690" t="s">
        <v>34</v>
      </c>
      <c r="F1690" t="s">
        <v>27</v>
      </c>
      <c r="G1690" t="s">
        <v>49</v>
      </c>
      <c r="H1690">
        <v>520</v>
      </c>
      <c r="I1690">
        <v>50</v>
      </c>
      <c r="J1690">
        <v>0</v>
      </c>
      <c r="K1690" t="s">
        <v>20</v>
      </c>
      <c r="L1690">
        <v>30</v>
      </c>
      <c r="M1690" t="s">
        <v>21</v>
      </c>
      <c r="N1690">
        <f>COUNTIF(order_data[Order_ID],order_data[[#This Row],[Order_ID]])</f>
        <v>1</v>
      </c>
      <c r="O1690">
        <f>order_data[[#This Row],[Order_Value]]-order_data[[#This Row],[Discount]]</f>
        <v>520</v>
      </c>
      <c r="P1690">
        <f>order_data[[#This Row],[Order_Value]]+order_data[[#This Row],[Delivery_Fee]]-order_data[[#This Row],[Discount]]</f>
        <v>570</v>
      </c>
      <c r="Q1690" t="str">
        <f>TEXT(order_data[[#This Row],[Order_Date]],"mmm")</f>
        <v>Jan</v>
      </c>
      <c r="R1690">
        <f>MONTH(order_data[[#This Row],[Order_Date]])</f>
        <v>1</v>
      </c>
    </row>
    <row r="1691" spans="1:18" x14ac:dyDescent="0.35">
      <c r="A1691" t="s">
        <v>2457</v>
      </c>
      <c r="B1691" t="s">
        <v>51</v>
      </c>
      <c r="C1691" t="s">
        <v>1271</v>
      </c>
      <c r="D1691" t="s">
        <v>16</v>
      </c>
      <c r="E1691" t="s">
        <v>131</v>
      </c>
      <c r="F1691" t="s">
        <v>55</v>
      </c>
      <c r="G1691" t="s">
        <v>74</v>
      </c>
      <c r="H1691">
        <v>707</v>
      </c>
      <c r="I1691">
        <v>50</v>
      </c>
      <c r="J1691">
        <v>30</v>
      </c>
      <c r="K1691" t="s">
        <v>36</v>
      </c>
      <c r="L1691">
        <v>58</v>
      </c>
      <c r="M1691" t="s">
        <v>21</v>
      </c>
      <c r="N1691">
        <f>COUNTIF(order_data[Order_ID],order_data[[#This Row],[Order_ID]])</f>
        <v>1</v>
      </c>
      <c r="O1691">
        <f>order_data[[#This Row],[Order_Value]]-order_data[[#This Row],[Discount]]</f>
        <v>677</v>
      </c>
      <c r="P1691">
        <f>order_data[[#This Row],[Order_Value]]+order_data[[#This Row],[Delivery_Fee]]-order_data[[#This Row],[Discount]]</f>
        <v>727</v>
      </c>
      <c r="Q1691" t="str">
        <f>TEXT(order_data[[#This Row],[Order_Date]],"mmm")</f>
        <v>Feb</v>
      </c>
      <c r="R1691">
        <f>MONTH(order_data[[#This Row],[Order_Date]])</f>
        <v>2</v>
      </c>
    </row>
    <row r="1692" spans="1:18" x14ac:dyDescent="0.35">
      <c r="A1692" t="s">
        <v>2458</v>
      </c>
      <c r="B1692" t="s">
        <v>432</v>
      </c>
      <c r="C1692" t="s">
        <v>315</v>
      </c>
      <c r="D1692" t="s">
        <v>25</v>
      </c>
      <c r="E1692" t="s">
        <v>78</v>
      </c>
      <c r="F1692" t="s">
        <v>48</v>
      </c>
      <c r="G1692" t="s">
        <v>42</v>
      </c>
      <c r="H1692">
        <v>291</v>
      </c>
      <c r="I1692">
        <v>40</v>
      </c>
      <c r="J1692">
        <v>100</v>
      </c>
      <c r="K1692" t="s">
        <v>36</v>
      </c>
      <c r="L1692">
        <v>25</v>
      </c>
      <c r="M1692" t="s">
        <v>21</v>
      </c>
      <c r="N1692">
        <f>COUNTIF(order_data[Order_ID],order_data[[#This Row],[Order_ID]])</f>
        <v>1</v>
      </c>
      <c r="O1692">
        <f>order_data[[#This Row],[Order_Value]]-order_data[[#This Row],[Discount]]</f>
        <v>191</v>
      </c>
      <c r="P1692">
        <f>order_data[[#This Row],[Order_Value]]+order_data[[#This Row],[Delivery_Fee]]-order_data[[#This Row],[Discount]]</f>
        <v>231</v>
      </c>
      <c r="Q1692" t="str">
        <f>TEXT(order_data[[#This Row],[Order_Date]],"mmm")</f>
        <v>Feb</v>
      </c>
      <c r="R1692">
        <f>MONTH(order_data[[#This Row],[Order_Date]])</f>
        <v>2</v>
      </c>
    </row>
    <row r="1693" spans="1:18" x14ac:dyDescent="0.35">
      <c r="A1693" t="s">
        <v>2459</v>
      </c>
      <c r="B1693" t="s">
        <v>379</v>
      </c>
      <c r="C1693" t="s">
        <v>2460</v>
      </c>
      <c r="D1693" t="s">
        <v>40</v>
      </c>
      <c r="E1693" t="s">
        <v>41</v>
      </c>
      <c r="F1693" t="s">
        <v>27</v>
      </c>
      <c r="G1693" t="s">
        <v>19</v>
      </c>
      <c r="H1693">
        <v>168</v>
      </c>
      <c r="I1693">
        <v>20</v>
      </c>
      <c r="J1693">
        <v>100</v>
      </c>
      <c r="K1693" t="s">
        <v>29</v>
      </c>
      <c r="L1693">
        <v>21</v>
      </c>
      <c r="M1693" t="s">
        <v>30</v>
      </c>
      <c r="N1693">
        <f>COUNTIF(order_data[Order_ID],order_data[[#This Row],[Order_ID]])</f>
        <v>1</v>
      </c>
      <c r="O1693">
        <f>order_data[[#This Row],[Order_Value]]-order_data[[#This Row],[Discount]]</f>
        <v>68</v>
      </c>
      <c r="P1693">
        <f>order_data[[#This Row],[Order_Value]]+order_data[[#This Row],[Delivery_Fee]]-order_data[[#This Row],[Discount]]</f>
        <v>88</v>
      </c>
      <c r="Q1693" t="str">
        <f>TEXT(order_data[[#This Row],[Order_Date]],"mmm")</f>
        <v>Mar</v>
      </c>
      <c r="R1693">
        <f>MONTH(order_data[[#This Row],[Order_Date]])</f>
        <v>3</v>
      </c>
    </row>
    <row r="1694" spans="1:18" x14ac:dyDescent="0.35">
      <c r="A1694" t="s">
        <v>2461</v>
      </c>
      <c r="B1694" t="s">
        <v>76</v>
      </c>
      <c r="C1694" t="s">
        <v>1406</v>
      </c>
      <c r="D1694" t="s">
        <v>25</v>
      </c>
      <c r="E1694" t="s">
        <v>34</v>
      </c>
      <c r="F1694" t="s">
        <v>27</v>
      </c>
      <c r="G1694" t="s">
        <v>107</v>
      </c>
      <c r="H1694">
        <v>730</v>
      </c>
      <c r="I1694">
        <v>30</v>
      </c>
      <c r="J1694">
        <v>0</v>
      </c>
      <c r="K1694" t="s">
        <v>20</v>
      </c>
      <c r="L1694">
        <v>34</v>
      </c>
      <c r="M1694" t="s">
        <v>21</v>
      </c>
      <c r="N1694">
        <f>COUNTIF(order_data[Order_ID],order_data[[#This Row],[Order_ID]])</f>
        <v>1</v>
      </c>
      <c r="O1694">
        <f>order_data[[#This Row],[Order_Value]]-order_data[[#This Row],[Discount]]</f>
        <v>730</v>
      </c>
      <c r="P1694">
        <f>order_data[[#This Row],[Order_Value]]+order_data[[#This Row],[Delivery_Fee]]-order_data[[#This Row],[Discount]]</f>
        <v>760</v>
      </c>
      <c r="Q1694" t="str">
        <f>TEXT(order_data[[#This Row],[Order_Date]],"mmm")</f>
        <v>Feb</v>
      </c>
      <c r="R1694">
        <f>MONTH(order_data[[#This Row],[Order_Date]])</f>
        <v>2</v>
      </c>
    </row>
    <row r="1695" spans="1:18" x14ac:dyDescent="0.35">
      <c r="A1695" t="s">
        <v>2462</v>
      </c>
      <c r="B1695" t="s">
        <v>213</v>
      </c>
      <c r="C1695" t="s">
        <v>2083</v>
      </c>
      <c r="D1695" t="s">
        <v>25</v>
      </c>
      <c r="E1695" t="s">
        <v>34</v>
      </c>
      <c r="F1695" t="s">
        <v>27</v>
      </c>
      <c r="G1695" t="s">
        <v>107</v>
      </c>
      <c r="H1695">
        <v>733</v>
      </c>
      <c r="I1695">
        <v>20</v>
      </c>
      <c r="J1695">
        <v>100</v>
      </c>
      <c r="K1695" t="s">
        <v>36</v>
      </c>
      <c r="L1695">
        <v>21</v>
      </c>
      <c r="M1695" t="s">
        <v>21</v>
      </c>
      <c r="N1695">
        <f>COUNTIF(order_data[Order_ID],order_data[[#This Row],[Order_ID]])</f>
        <v>1</v>
      </c>
      <c r="O1695">
        <f>order_data[[#This Row],[Order_Value]]-order_data[[#This Row],[Discount]]</f>
        <v>633</v>
      </c>
      <c r="P1695">
        <f>order_data[[#This Row],[Order_Value]]+order_data[[#This Row],[Delivery_Fee]]-order_data[[#This Row],[Discount]]</f>
        <v>653</v>
      </c>
      <c r="Q1695" t="str">
        <f>TEXT(order_data[[#This Row],[Order_Date]],"mmm")</f>
        <v>Jan</v>
      </c>
      <c r="R1695">
        <f>MONTH(order_data[[#This Row],[Order_Date]])</f>
        <v>1</v>
      </c>
    </row>
    <row r="1696" spans="1:18" x14ac:dyDescent="0.35">
      <c r="A1696" t="s">
        <v>2463</v>
      </c>
      <c r="B1696" t="s">
        <v>91</v>
      </c>
      <c r="C1696" t="s">
        <v>1403</v>
      </c>
      <c r="D1696" t="s">
        <v>40</v>
      </c>
      <c r="E1696" t="s">
        <v>41</v>
      </c>
      <c r="F1696" t="s">
        <v>27</v>
      </c>
      <c r="G1696" t="s">
        <v>49</v>
      </c>
      <c r="H1696">
        <v>202</v>
      </c>
      <c r="I1696">
        <v>30</v>
      </c>
      <c r="J1696">
        <v>30</v>
      </c>
      <c r="K1696" t="s">
        <v>20</v>
      </c>
      <c r="L1696">
        <v>54</v>
      </c>
      <c r="M1696" t="s">
        <v>21</v>
      </c>
      <c r="N1696">
        <f>COUNTIF(order_data[Order_ID],order_data[[#This Row],[Order_ID]])</f>
        <v>1</v>
      </c>
      <c r="O1696">
        <f>order_data[[#This Row],[Order_Value]]-order_data[[#This Row],[Discount]]</f>
        <v>172</v>
      </c>
      <c r="P1696">
        <f>order_data[[#This Row],[Order_Value]]+order_data[[#This Row],[Delivery_Fee]]-order_data[[#This Row],[Discount]]</f>
        <v>202</v>
      </c>
      <c r="Q1696" t="str">
        <f>TEXT(order_data[[#This Row],[Order_Date]],"mmm")</f>
        <v>Mar</v>
      </c>
      <c r="R1696">
        <f>MONTH(order_data[[#This Row],[Order_Date]])</f>
        <v>3</v>
      </c>
    </row>
    <row r="1697" spans="1:18" x14ac:dyDescent="0.35">
      <c r="A1697" t="s">
        <v>2464</v>
      </c>
      <c r="B1697" t="s">
        <v>205</v>
      </c>
      <c r="C1697" t="s">
        <v>1453</v>
      </c>
      <c r="D1697" t="s">
        <v>16</v>
      </c>
      <c r="E1697" t="s">
        <v>17</v>
      </c>
      <c r="F1697" t="s">
        <v>18</v>
      </c>
      <c r="G1697" t="s">
        <v>49</v>
      </c>
      <c r="H1697">
        <v>416</v>
      </c>
      <c r="I1697">
        <v>20</v>
      </c>
      <c r="J1697">
        <v>30</v>
      </c>
      <c r="K1697" t="s">
        <v>29</v>
      </c>
      <c r="L1697">
        <v>21</v>
      </c>
      <c r="M1697" t="s">
        <v>30</v>
      </c>
      <c r="N1697">
        <f>COUNTIF(order_data[Order_ID],order_data[[#This Row],[Order_ID]])</f>
        <v>1</v>
      </c>
      <c r="O1697">
        <f>order_data[[#This Row],[Order_Value]]-order_data[[#This Row],[Discount]]</f>
        <v>386</v>
      </c>
      <c r="P1697">
        <f>order_data[[#This Row],[Order_Value]]+order_data[[#This Row],[Delivery_Fee]]-order_data[[#This Row],[Discount]]</f>
        <v>406</v>
      </c>
      <c r="Q1697" t="str">
        <f>TEXT(order_data[[#This Row],[Order_Date]],"mmm")</f>
        <v>Jan</v>
      </c>
      <c r="R1697">
        <f>MONTH(order_data[[#This Row],[Order_Date]])</f>
        <v>1</v>
      </c>
    </row>
    <row r="1698" spans="1:18" x14ac:dyDescent="0.35">
      <c r="A1698" t="s">
        <v>2465</v>
      </c>
      <c r="B1698" t="s">
        <v>267</v>
      </c>
      <c r="C1698" t="s">
        <v>425</v>
      </c>
      <c r="D1698" t="s">
        <v>16</v>
      </c>
      <c r="E1698" t="s">
        <v>89</v>
      </c>
      <c r="F1698" t="s">
        <v>18</v>
      </c>
      <c r="G1698" t="s">
        <v>35</v>
      </c>
      <c r="H1698">
        <v>293</v>
      </c>
      <c r="I1698">
        <v>30</v>
      </c>
      <c r="J1698">
        <v>0</v>
      </c>
      <c r="K1698" t="s">
        <v>29</v>
      </c>
      <c r="L1698">
        <v>43</v>
      </c>
      <c r="M1698" t="s">
        <v>21</v>
      </c>
      <c r="N1698">
        <f>COUNTIF(order_data[Order_ID],order_data[[#This Row],[Order_ID]])</f>
        <v>1</v>
      </c>
      <c r="O1698">
        <f>order_data[[#This Row],[Order_Value]]-order_data[[#This Row],[Discount]]</f>
        <v>293</v>
      </c>
      <c r="P1698">
        <f>order_data[[#This Row],[Order_Value]]+order_data[[#This Row],[Delivery_Fee]]-order_data[[#This Row],[Discount]]</f>
        <v>323</v>
      </c>
      <c r="Q1698" t="str">
        <f>TEXT(order_data[[#This Row],[Order_Date]],"mmm")</f>
        <v>Jan</v>
      </c>
      <c r="R1698">
        <f>MONTH(order_data[[#This Row],[Order_Date]])</f>
        <v>1</v>
      </c>
    </row>
    <row r="1699" spans="1:18" x14ac:dyDescent="0.35">
      <c r="A1699" t="s">
        <v>2466</v>
      </c>
      <c r="B1699" t="s">
        <v>80</v>
      </c>
      <c r="C1699" t="s">
        <v>537</v>
      </c>
      <c r="D1699" t="s">
        <v>16</v>
      </c>
      <c r="E1699" t="s">
        <v>17</v>
      </c>
      <c r="F1699" t="s">
        <v>18</v>
      </c>
      <c r="G1699" t="s">
        <v>19</v>
      </c>
      <c r="H1699">
        <v>185</v>
      </c>
      <c r="I1699">
        <v>20</v>
      </c>
      <c r="J1699">
        <v>20</v>
      </c>
      <c r="K1699" t="s">
        <v>29</v>
      </c>
      <c r="L1699">
        <v>28</v>
      </c>
      <c r="M1699" t="s">
        <v>21</v>
      </c>
      <c r="N1699">
        <f>COUNTIF(order_data[Order_ID],order_data[[#This Row],[Order_ID]])</f>
        <v>1</v>
      </c>
      <c r="O1699">
        <f>order_data[[#This Row],[Order_Value]]-order_data[[#This Row],[Discount]]</f>
        <v>165</v>
      </c>
      <c r="P1699">
        <f>order_data[[#This Row],[Order_Value]]+order_data[[#This Row],[Delivery_Fee]]-order_data[[#This Row],[Discount]]</f>
        <v>185</v>
      </c>
      <c r="Q1699" t="str">
        <f>TEXT(order_data[[#This Row],[Order_Date]],"mmm")</f>
        <v>Feb</v>
      </c>
      <c r="R1699">
        <f>MONTH(order_data[[#This Row],[Order_Date]])</f>
        <v>2</v>
      </c>
    </row>
    <row r="1700" spans="1:18" x14ac:dyDescent="0.35">
      <c r="A1700" t="s">
        <v>2467</v>
      </c>
      <c r="B1700" t="s">
        <v>295</v>
      </c>
      <c r="C1700" t="s">
        <v>357</v>
      </c>
      <c r="D1700" t="s">
        <v>25</v>
      </c>
      <c r="E1700" t="s">
        <v>26</v>
      </c>
      <c r="F1700" t="s">
        <v>27</v>
      </c>
      <c r="G1700" t="s">
        <v>59</v>
      </c>
      <c r="H1700">
        <v>328</v>
      </c>
      <c r="I1700">
        <v>20</v>
      </c>
      <c r="J1700">
        <v>30</v>
      </c>
      <c r="K1700" t="s">
        <v>29</v>
      </c>
      <c r="L1700">
        <v>45</v>
      </c>
      <c r="M1700" t="s">
        <v>21</v>
      </c>
      <c r="N1700">
        <f>COUNTIF(order_data[Order_ID],order_data[[#This Row],[Order_ID]])</f>
        <v>1</v>
      </c>
      <c r="O1700">
        <f>order_data[[#This Row],[Order_Value]]-order_data[[#This Row],[Discount]]</f>
        <v>298</v>
      </c>
      <c r="P1700">
        <f>order_data[[#This Row],[Order_Value]]+order_data[[#This Row],[Delivery_Fee]]-order_data[[#This Row],[Discount]]</f>
        <v>318</v>
      </c>
      <c r="Q1700" t="str">
        <f>TEXT(order_data[[#This Row],[Order_Date]],"mmm")</f>
        <v>Jan</v>
      </c>
      <c r="R1700">
        <f>MONTH(order_data[[#This Row],[Order_Date]])</f>
        <v>1</v>
      </c>
    </row>
    <row r="1701" spans="1:18" x14ac:dyDescent="0.35">
      <c r="A1701" t="s">
        <v>2468</v>
      </c>
      <c r="B1701" t="s">
        <v>541</v>
      </c>
      <c r="C1701" t="s">
        <v>784</v>
      </c>
      <c r="D1701" t="s">
        <v>46</v>
      </c>
      <c r="E1701" t="s">
        <v>148</v>
      </c>
      <c r="F1701" t="s">
        <v>27</v>
      </c>
      <c r="G1701" t="s">
        <v>28</v>
      </c>
      <c r="H1701">
        <v>749</v>
      </c>
      <c r="I1701">
        <v>40</v>
      </c>
      <c r="J1701">
        <v>20</v>
      </c>
      <c r="K1701" t="s">
        <v>20</v>
      </c>
      <c r="L1701">
        <v>23</v>
      </c>
      <c r="M1701" t="s">
        <v>21</v>
      </c>
      <c r="N1701">
        <f>COUNTIF(order_data[Order_ID],order_data[[#This Row],[Order_ID]])</f>
        <v>1</v>
      </c>
      <c r="O1701">
        <f>order_data[[#This Row],[Order_Value]]-order_data[[#This Row],[Discount]]</f>
        <v>729</v>
      </c>
      <c r="P1701">
        <f>order_data[[#This Row],[Order_Value]]+order_data[[#This Row],[Delivery_Fee]]-order_data[[#This Row],[Discount]]</f>
        <v>769</v>
      </c>
      <c r="Q1701" t="str">
        <f>TEXT(order_data[[#This Row],[Order_Date]],"mmm")</f>
        <v>Jan</v>
      </c>
      <c r="R1701">
        <f>MONTH(order_data[[#This Row],[Order_Date]])</f>
        <v>1</v>
      </c>
    </row>
    <row r="1702" spans="1:18" x14ac:dyDescent="0.35">
      <c r="A1702" t="s">
        <v>2469</v>
      </c>
      <c r="B1702" t="s">
        <v>143</v>
      </c>
      <c r="C1702" t="s">
        <v>882</v>
      </c>
      <c r="D1702" t="s">
        <v>25</v>
      </c>
      <c r="E1702" t="s">
        <v>26</v>
      </c>
      <c r="F1702" t="s">
        <v>27</v>
      </c>
      <c r="G1702" t="s">
        <v>19</v>
      </c>
      <c r="H1702">
        <v>373</v>
      </c>
      <c r="I1702">
        <v>30</v>
      </c>
      <c r="J1702">
        <v>100</v>
      </c>
      <c r="K1702" t="s">
        <v>20</v>
      </c>
      <c r="L1702">
        <v>45</v>
      </c>
      <c r="M1702" t="s">
        <v>21</v>
      </c>
      <c r="N1702">
        <f>COUNTIF(order_data[Order_ID],order_data[[#This Row],[Order_ID]])</f>
        <v>1</v>
      </c>
      <c r="O1702">
        <f>order_data[[#This Row],[Order_Value]]-order_data[[#This Row],[Discount]]</f>
        <v>273</v>
      </c>
      <c r="P1702">
        <f>order_data[[#This Row],[Order_Value]]+order_data[[#This Row],[Delivery_Fee]]-order_data[[#This Row],[Discount]]</f>
        <v>303</v>
      </c>
      <c r="Q1702" t="str">
        <f>TEXT(order_data[[#This Row],[Order_Date]],"mmm")</f>
        <v>Feb</v>
      </c>
      <c r="R1702">
        <f>MONTH(order_data[[#This Row],[Order_Date]])</f>
        <v>2</v>
      </c>
    </row>
    <row r="1703" spans="1:18" x14ac:dyDescent="0.35">
      <c r="A1703" t="s">
        <v>2470</v>
      </c>
      <c r="B1703" t="s">
        <v>273</v>
      </c>
      <c r="C1703" t="s">
        <v>702</v>
      </c>
      <c r="D1703" t="s">
        <v>46</v>
      </c>
      <c r="E1703" t="s">
        <v>47</v>
      </c>
      <c r="F1703" t="s">
        <v>48</v>
      </c>
      <c r="G1703" t="s">
        <v>74</v>
      </c>
      <c r="H1703">
        <v>544</v>
      </c>
      <c r="I1703">
        <v>40</v>
      </c>
      <c r="J1703">
        <v>100</v>
      </c>
      <c r="K1703" t="s">
        <v>36</v>
      </c>
      <c r="L1703">
        <v>25</v>
      </c>
      <c r="M1703" t="s">
        <v>21</v>
      </c>
      <c r="N1703">
        <f>COUNTIF(order_data[Order_ID],order_data[[#This Row],[Order_ID]])</f>
        <v>1</v>
      </c>
      <c r="O1703">
        <f>order_data[[#This Row],[Order_Value]]-order_data[[#This Row],[Discount]]</f>
        <v>444</v>
      </c>
      <c r="P1703">
        <f>order_data[[#This Row],[Order_Value]]+order_data[[#This Row],[Delivery_Fee]]-order_data[[#This Row],[Discount]]</f>
        <v>484</v>
      </c>
      <c r="Q1703" t="str">
        <f>TEXT(order_data[[#This Row],[Order_Date]],"mmm")</f>
        <v>Mar</v>
      </c>
      <c r="R1703">
        <f>MONTH(order_data[[#This Row],[Order_Date]])</f>
        <v>3</v>
      </c>
    </row>
    <row r="1704" spans="1:18" x14ac:dyDescent="0.35">
      <c r="A1704" t="s">
        <v>2471</v>
      </c>
      <c r="B1704" t="s">
        <v>305</v>
      </c>
      <c r="C1704" t="s">
        <v>2261</v>
      </c>
      <c r="D1704" t="s">
        <v>46</v>
      </c>
      <c r="E1704" t="s">
        <v>70</v>
      </c>
      <c r="F1704" t="s">
        <v>18</v>
      </c>
      <c r="G1704" t="s">
        <v>28</v>
      </c>
      <c r="H1704">
        <v>241</v>
      </c>
      <c r="I1704">
        <v>30</v>
      </c>
      <c r="J1704">
        <v>20</v>
      </c>
      <c r="K1704" t="s">
        <v>36</v>
      </c>
      <c r="L1704">
        <v>50</v>
      </c>
      <c r="M1704" t="s">
        <v>21</v>
      </c>
      <c r="N1704">
        <f>COUNTIF(order_data[Order_ID],order_data[[#This Row],[Order_ID]])</f>
        <v>1</v>
      </c>
      <c r="O1704">
        <f>order_data[[#This Row],[Order_Value]]-order_data[[#This Row],[Discount]]</f>
        <v>221</v>
      </c>
      <c r="P1704">
        <f>order_data[[#This Row],[Order_Value]]+order_data[[#This Row],[Delivery_Fee]]-order_data[[#This Row],[Discount]]</f>
        <v>251</v>
      </c>
      <c r="Q1704" t="str">
        <f>TEXT(order_data[[#This Row],[Order_Date]],"mmm")</f>
        <v>Jan</v>
      </c>
      <c r="R1704">
        <f>MONTH(order_data[[#This Row],[Order_Date]])</f>
        <v>1</v>
      </c>
    </row>
    <row r="1705" spans="1:18" x14ac:dyDescent="0.35">
      <c r="A1705" t="s">
        <v>2472</v>
      </c>
      <c r="B1705" t="s">
        <v>449</v>
      </c>
      <c r="C1705" t="s">
        <v>2129</v>
      </c>
      <c r="D1705" t="s">
        <v>25</v>
      </c>
      <c r="E1705" t="s">
        <v>34</v>
      </c>
      <c r="F1705" t="s">
        <v>27</v>
      </c>
      <c r="G1705" t="s">
        <v>19</v>
      </c>
      <c r="H1705">
        <v>284</v>
      </c>
      <c r="I1705">
        <v>20</v>
      </c>
      <c r="J1705">
        <v>50</v>
      </c>
      <c r="K1705" t="s">
        <v>29</v>
      </c>
      <c r="L1705">
        <v>55</v>
      </c>
      <c r="M1705" t="s">
        <v>21</v>
      </c>
      <c r="N1705">
        <f>COUNTIF(order_data[Order_ID],order_data[[#This Row],[Order_ID]])</f>
        <v>1</v>
      </c>
      <c r="O1705">
        <f>order_data[[#This Row],[Order_Value]]-order_data[[#This Row],[Discount]]</f>
        <v>234</v>
      </c>
      <c r="P1705">
        <f>order_data[[#This Row],[Order_Value]]+order_data[[#This Row],[Delivery_Fee]]-order_data[[#This Row],[Discount]]</f>
        <v>254</v>
      </c>
      <c r="Q1705" t="str">
        <f>TEXT(order_data[[#This Row],[Order_Date]],"mmm")</f>
        <v>Mar</v>
      </c>
      <c r="R1705">
        <f>MONTH(order_data[[#This Row],[Order_Date]])</f>
        <v>3</v>
      </c>
    </row>
    <row r="1706" spans="1:18" x14ac:dyDescent="0.35">
      <c r="A1706" t="s">
        <v>2473</v>
      </c>
      <c r="B1706" t="s">
        <v>99</v>
      </c>
      <c r="C1706" t="s">
        <v>926</v>
      </c>
      <c r="D1706" t="s">
        <v>16</v>
      </c>
      <c r="E1706" t="s">
        <v>131</v>
      </c>
      <c r="F1706" t="s">
        <v>55</v>
      </c>
      <c r="G1706" t="s">
        <v>19</v>
      </c>
      <c r="H1706">
        <v>643</v>
      </c>
      <c r="I1706">
        <v>20</v>
      </c>
      <c r="J1706">
        <v>0</v>
      </c>
      <c r="K1706" t="s">
        <v>20</v>
      </c>
      <c r="L1706">
        <v>35</v>
      </c>
      <c r="M1706" t="s">
        <v>21</v>
      </c>
      <c r="N1706">
        <f>COUNTIF(order_data[Order_ID],order_data[[#This Row],[Order_ID]])</f>
        <v>1</v>
      </c>
      <c r="O1706">
        <f>order_data[[#This Row],[Order_Value]]-order_data[[#This Row],[Discount]]</f>
        <v>643</v>
      </c>
      <c r="P1706">
        <f>order_data[[#This Row],[Order_Value]]+order_data[[#This Row],[Delivery_Fee]]-order_data[[#This Row],[Discount]]</f>
        <v>663</v>
      </c>
      <c r="Q1706" t="str">
        <f>TEXT(order_data[[#This Row],[Order_Date]],"mmm")</f>
        <v>Mar</v>
      </c>
      <c r="R1706">
        <f>MONTH(order_data[[#This Row],[Order_Date]])</f>
        <v>3</v>
      </c>
    </row>
    <row r="1707" spans="1:18" x14ac:dyDescent="0.35">
      <c r="A1707" t="s">
        <v>2474</v>
      </c>
      <c r="B1707" t="s">
        <v>657</v>
      </c>
      <c r="C1707" t="s">
        <v>1111</v>
      </c>
      <c r="D1707" t="s">
        <v>53</v>
      </c>
      <c r="E1707" t="s">
        <v>84</v>
      </c>
      <c r="F1707" t="s">
        <v>85</v>
      </c>
      <c r="G1707" t="s">
        <v>49</v>
      </c>
      <c r="H1707">
        <v>312</v>
      </c>
      <c r="I1707">
        <v>50</v>
      </c>
      <c r="J1707">
        <v>100</v>
      </c>
      <c r="K1707" t="s">
        <v>36</v>
      </c>
      <c r="L1707">
        <v>32</v>
      </c>
      <c r="M1707" t="s">
        <v>21</v>
      </c>
      <c r="N1707">
        <f>COUNTIF(order_data[Order_ID],order_data[[#This Row],[Order_ID]])</f>
        <v>1</v>
      </c>
      <c r="O1707">
        <f>order_data[[#This Row],[Order_Value]]-order_data[[#This Row],[Discount]]</f>
        <v>212</v>
      </c>
      <c r="P1707">
        <f>order_data[[#This Row],[Order_Value]]+order_data[[#This Row],[Delivery_Fee]]-order_data[[#This Row],[Discount]]</f>
        <v>262</v>
      </c>
      <c r="Q1707" t="str">
        <f>TEXT(order_data[[#This Row],[Order_Date]],"mmm")</f>
        <v>Jan</v>
      </c>
      <c r="R1707">
        <f>MONTH(order_data[[#This Row],[Order_Date]])</f>
        <v>1</v>
      </c>
    </row>
    <row r="1708" spans="1:18" x14ac:dyDescent="0.35">
      <c r="A1708" t="s">
        <v>2475</v>
      </c>
      <c r="B1708" t="s">
        <v>271</v>
      </c>
      <c r="C1708" t="s">
        <v>1128</v>
      </c>
      <c r="D1708" t="s">
        <v>46</v>
      </c>
      <c r="E1708" t="s">
        <v>70</v>
      </c>
      <c r="F1708" t="s">
        <v>18</v>
      </c>
      <c r="G1708" t="s">
        <v>19</v>
      </c>
      <c r="H1708">
        <v>521</v>
      </c>
      <c r="I1708">
        <v>30</v>
      </c>
      <c r="J1708">
        <v>100</v>
      </c>
      <c r="K1708" t="s">
        <v>36</v>
      </c>
      <c r="L1708">
        <v>55</v>
      </c>
      <c r="M1708" t="s">
        <v>21</v>
      </c>
      <c r="N1708">
        <f>COUNTIF(order_data[Order_ID],order_data[[#This Row],[Order_ID]])</f>
        <v>1</v>
      </c>
      <c r="O1708">
        <f>order_data[[#This Row],[Order_Value]]-order_data[[#This Row],[Discount]]</f>
        <v>421</v>
      </c>
      <c r="P1708">
        <f>order_data[[#This Row],[Order_Value]]+order_data[[#This Row],[Delivery_Fee]]-order_data[[#This Row],[Discount]]</f>
        <v>451</v>
      </c>
      <c r="Q1708" t="str">
        <f>TEXT(order_data[[#This Row],[Order_Date]],"mmm")</f>
        <v>Jan</v>
      </c>
      <c r="R1708">
        <f>MONTH(order_data[[#This Row],[Order_Date]])</f>
        <v>1</v>
      </c>
    </row>
    <row r="1709" spans="1:18" x14ac:dyDescent="0.35">
      <c r="A1709" t="s">
        <v>2476</v>
      </c>
      <c r="B1709" t="s">
        <v>186</v>
      </c>
      <c r="C1709" t="s">
        <v>2477</v>
      </c>
      <c r="D1709" t="s">
        <v>46</v>
      </c>
      <c r="E1709" t="s">
        <v>70</v>
      </c>
      <c r="F1709" t="s">
        <v>18</v>
      </c>
      <c r="G1709" t="s">
        <v>176</v>
      </c>
      <c r="H1709">
        <v>348</v>
      </c>
      <c r="I1709">
        <v>30</v>
      </c>
      <c r="J1709">
        <v>100</v>
      </c>
      <c r="K1709" t="s">
        <v>36</v>
      </c>
      <c r="L1709">
        <v>25</v>
      </c>
      <c r="M1709" t="s">
        <v>21</v>
      </c>
      <c r="N1709">
        <f>COUNTIF(order_data[Order_ID],order_data[[#This Row],[Order_ID]])</f>
        <v>1</v>
      </c>
      <c r="O1709">
        <f>order_data[[#This Row],[Order_Value]]-order_data[[#This Row],[Discount]]</f>
        <v>248</v>
      </c>
      <c r="P1709">
        <f>order_data[[#This Row],[Order_Value]]+order_data[[#This Row],[Delivery_Fee]]-order_data[[#This Row],[Discount]]</f>
        <v>278</v>
      </c>
      <c r="Q1709" t="str">
        <f>TEXT(order_data[[#This Row],[Order_Date]],"mmm")</f>
        <v>Mar</v>
      </c>
      <c r="R1709">
        <f>MONTH(order_data[[#This Row],[Order_Date]])</f>
        <v>3</v>
      </c>
    </row>
    <row r="1710" spans="1:18" x14ac:dyDescent="0.35">
      <c r="A1710" t="s">
        <v>2478</v>
      </c>
      <c r="B1710" t="s">
        <v>167</v>
      </c>
      <c r="C1710" t="s">
        <v>578</v>
      </c>
      <c r="D1710" t="s">
        <v>53</v>
      </c>
      <c r="E1710" t="s">
        <v>84</v>
      </c>
      <c r="F1710" t="s">
        <v>85</v>
      </c>
      <c r="G1710" t="s">
        <v>35</v>
      </c>
      <c r="H1710">
        <v>663</v>
      </c>
      <c r="I1710">
        <v>30</v>
      </c>
      <c r="J1710">
        <v>0</v>
      </c>
      <c r="K1710" t="s">
        <v>20</v>
      </c>
      <c r="L1710">
        <v>50</v>
      </c>
      <c r="M1710" t="s">
        <v>21</v>
      </c>
      <c r="N1710">
        <f>COUNTIF(order_data[Order_ID],order_data[[#This Row],[Order_ID]])</f>
        <v>1</v>
      </c>
      <c r="O1710">
        <f>order_data[[#This Row],[Order_Value]]-order_data[[#This Row],[Discount]]</f>
        <v>663</v>
      </c>
      <c r="P1710">
        <f>order_data[[#This Row],[Order_Value]]+order_data[[#This Row],[Delivery_Fee]]-order_data[[#This Row],[Discount]]</f>
        <v>693</v>
      </c>
      <c r="Q1710" t="str">
        <f>TEXT(order_data[[#This Row],[Order_Date]],"mmm")</f>
        <v>Feb</v>
      </c>
      <c r="R1710">
        <f>MONTH(order_data[[#This Row],[Order_Date]])</f>
        <v>2</v>
      </c>
    </row>
    <row r="1711" spans="1:18" x14ac:dyDescent="0.35">
      <c r="A1711" t="s">
        <v>2479</v>
      </c>
      <c r="B1711" t="s">
        <v>213</v>
      </c>
      <c r="C1711" t="s">
        <v>2047</v>
      </c>
      <c r="D1711" t="s">
        <v>46</v>
      </c>
      <c r="E1711" t="s">
        <v>148</v>
      </c>
      <c r="F1711" t="s">
        <v>27</v>
      </c>
      <c r="G1711" t="s">
        <v>42</v>
      </c>
      <c r="H1711">
        <v>411</v>
      </c>
      <c r="I1711">
        <v>20</v>
      </c>
      <c r="J1711">
        <v>100</v>
      </c>
      <c r="K1711" t="s">
        <v>20</v>
      </c>
      <c r="L1711">
        <v>29</v>
      </c>
      <c r="M1711" t="s">
        <v>21</v>
      </c>
      <c r="N1711">
        <f>COUNTIF(order_data[Order_ID],order_data[[#This Row],[Order_ID]])</f>
        <v>1</v>
      </c>
      <c r="O1711">
        <f>order_data[[#This Row],[Order_Value]]-order_data[[#This Row],[Discount]]</f>
        <v>311</v>
      </c>
      <c r="P1711">
        <f>order_data[[#This Row],[Order_Value]]+order_data[[#This Row],[Delivery_Fee]]-order_data[[#This Row],[Discount]]</f>
        <v>331</v>
      </c>
      <c r="Q1711" t="str">
        <f>TEXT(order_data[[#This Row],[Order_Date]],"mmm")</f>
        <v>Jan</v>
      </c>
      <c r="R1711">
        <f>MONTH(order_data[[#This Row],[Order_Date]])</f>
        <v>1</v>
      </c>
    </row>
    <row r="1712" spans="1:18" x14ac:dyDescent="0.35">
      <c r="A1712" t="s">
        <v>2480</v>
      </c>
      <c r="B1712" t="s">
        <v>473</v>
      </c>
      <c r="C1712" t="s">
        <v>1173</v>
      </c>
      <c r="D1712" t="s">
        <v>25</v>
      </c>
      <c r="E1712" t="s">
        <v>34</v>
      </c>
      <c r="F1712" t="s">
        <v>27</v>
      </c>
      <c r="G1712" t="s">
        <v>42</v>
      </c>
      <c r="H1712">
        <v>288</v>
      </c>
      <c r="I1712">
        <v>40</v>
      </c>
      <c r="J1712">
        <v>100</v>
      </c>
      <c r="K1712" t="s">
        <v>20</v>
      </c>
      <c r="L1712">
        <v>38</v>
      </c>
      <c r="M1712" t="s">
        <v>21</v>
      </c>
      <c r="N1712">
        <f>COUNTIF(order_data[Order_ID],order_data[[#This Row],[Order_ID]])</f>
        <v>1</v>
      </c>
      <c r="O1712">
        <f>order_data[[#This Row],[Order_Value]]-order_data[[#This Row],[Discount]]</f>
        <v>188</v>
      </c>
      <c r="P1712">
        <f>order_data[[#This Row],[Order_Value]]+order_data[[#This Row],[Delivery_Fee]]-order_data[[#This Row],[Discount]]</f>
        <v>228</v>
      </c>
      <c r="Q1712" t="str">
        <f>TEXT(order_data[[#This Row],[Order_Date]],"mmm")</f>
        <v>Mar</v>
      </c>
      <c r="R1712">
        <f>MONTH(order_data[[#This Row],[Order_Date]])</f>
        <v>3</v>
      </c>
    </row>
    <row r="1713" spans="1:18" x14ac:dyDescent="0.35">
      <c r="A1713" t="s">
        <v>2481</v>
      </c>
      <c r="B1713" t="s">
        <v>322</v>
      </c>
      <c r="C1713" t="s">
        <v>242</v>
      </c>
      <c r="D1713" t="s">
        <v>53</v>
      </c>
      <c r="E1713" t="s">
        <v>54</v>
      </c>
      <c r="F1713" t="s">
        <v>55</v>
      </c>
      <c r="G1713" t="s">
        <v>49</v>
      </c>
      <c r="H1713">
        <v>176</v>
      </c>
      <c r="I1713">
        <v>50</v>
      </c>
      <c r="J1713">
        <v>0</v>
      </c>
      <c r="K1713" t="s">
        <v>29</v>
      </c>
      <c r="L1713">
        <v>54</v>
      </c>
      <c r="M1713" t="s">
        <v>21</v>
      </c>
      <c r="N1713">
        <f>COUNTIF(order_data[Order_ID],order_data[[#This Row],[Order_ID]])</f>
        <v>1</v>
      </c>
      <c r="O1713">
        <f>order_data[[#This Row],[Order_Value]]-order_data[[#This Row],[Discount]]</f>
        <v>176</v>
      </c>
      <c r="P1713">
        <f>order_data[[#This Row],[Order_Value]]+order_data[[#This Row],[Delivery_Fee]]-order_data[[#This Row],[Discount]]</f>
        <v>226</v>
      </c>
      <c r="Q1713" t="str">
        <f>TEXT(order_data[[#This Row],[Order_Date]],"mmm")</f>
        <v>Jan</v>
      </c>
      <c r="R1713">
        <f>MONTH(order_data[[#This Row],[Order_Date]])</f>
        <v>1</v>
      </c>
    </row>
    <row r="1714" spans="1:18" x14ac:dyDescent="0.35">
      <c r="A1714" t="s">
        <v>2482</v>
      </c>
      <c r="B1714" t="s">
        <v>449</v>
      </c>
      <c r="C1714" t="s">
        <v>2446</v>
      </c>
      <c r="D1714" t="s">
        <v>53</v>
      </c>
      <c r="E1714" t="s">
        <v>84</v>
      </c>
      <c r="F1714" t="s">
        <v>85</v>
      </c>
      <c r="G1714" t="s">
        <v>42</v>
      </c>
      <c r="H1714">
        <v>294</v>
      </c>
      <c r="I1714">
        <v>30</v>
      </c>
      <c r="J1714">
        <v>50</v>
      </c>
      <c r="K1714" t="s">
        <v>36</v>
      </c>
      <c r="L1714">
        <v>50</v>
      </c>
      <c r="M1714" t="s">
        <v>30</v>
      </c>
      <c r="N1714">
        <f>COUNTIF(order_data[Order_ID],order_data[[#This Row],[Order_ID]])</f>
        <v>1</v>
      </c>
      <c r="O1714">
        <f>order_data[[#This Row],[Order_Value]]-order_data[[#This Row],[Discount]]</f>
        <v>244</v>
      </c>
      <c r="P1714">
        <f>order_data[[#This Row],[Order_Value]]+order_data[[#This Row],[Delivery_Fee]]-order_data[[#This Row],[Discount]]</f>
        <v>274</v>
      </c>
      <c r="Q1714" t="str">
        <f>TEXT(order_data[[#This Row],[Order_Date]],"mmm")</f>
        <v>Mar</v>
      </c>
      <c r="R1714">
        <f>MONTH(order_data[[#This Row],[Order_Date]])</f>
        <v>3</v>
      </c>
    </row>
    <row r="1715" spans="1:18" x14ac:dyDescent="0.35">
      <c r="A1715" t="s">
        <v>2483</v>
      </c>
      <c r="B1715" t="s">
        <v>213</v>
      </c>
      <c r="C1715" t="s">
        <v>1381</v>
      </c>
      <c r="D1715" t="s">
        <v>25</v>
      </c>
      <c r="E1715" t="s">
        <v>34</v>
      </c>
      <c r="F1715" t="s">
        <v>27</v>
      </c>
      <c r="G1715" t="s">
        <v>63</v>
      </c>
      <c r="H1715">
        <v>507</v>
      </c>
      <c r="I1715">
        <v>50</v>
      </c>
      <c r="J1715">
        <v>100</v>
      </c>
      <c r="K1715" t="s">
        <v>20</v>
      </c>
      <c r="L1715">
        <v>25</v>
      </c>
      <c r="M1715" t="s">
        <v>30</v>
      </c>
      <c r="N1715">
        <f>COUNTIF(order_data[Order_ID],order_data[[#This Row],[Order_ID]])</f>
        <v>1</v>
      </c>
      <c r="O1715">
        <f>order_data[[#This Row],[Order_Value]]-order_data[[#This Row],[Discount]]</f>
        <v>407</v>
      </c>
      <c r="P1715">
        <f>order_data[[#This Row],[Order_Value]]+order_data[[#This Row],[Delivery_Fee]]-order_data[[#This Row],[Discount]]</f>
        <v>457</v>
      </c>
      <c r="Q1715" t="str">
        <f>TEXT(order_data[[#This Row],[Order_Date]],"mmm")</f>
        <v>Jan</v>
      </c>
      <c r="R1715">
        <f>MONTH(order_data[[#This Row],[Order_Date]])</f>
        <v>1</v>
      </c>
    </row>
    <row r="1716" spans="1:18" x14ac:dyDescent="0.35">
      <c r="A1716" t="s">
        <v>2484</v>
      </c>
      <c r="B1716" t="s">
        <v>57</v>
      </c>
      <c r="C1716" t="s">
        <v>2485</v>
      </c>
      <c r="D1716" t="s">
        <v>16</v>
      </c>
      <c r="E1716" t="s">
        <v>131</v>
      </c>
      <c r="F1716" t="s">
        <v>55</v>
      </c>
      <c r="G1716" t="s">
        <v>19</v>
      </c>
      <c r="H1716">
        <v>541</v>
      </c>
      <c r="I1716">
        <v>30</v>
      </c>
      <c r="J1716">
        <v>0</v>
      </c>
      <c r="K1716" t="s">
        <v>36</v>
      </c>
      <c r="L1716">
        <v>55</v>
      </c>
      <c r="M1716" t="s">
        <v>21</v>
      </c>
      <c r="N1716">
        <f>COUNTIF(order_data[Order_ID],order_data[[#This Row],[Order_ID]])</f>
        <v>1</v>
      </c>
      <c r="O1716">
        <f>order_data[[#This Row],[Order_Value]]-order_data[[#This Row],[Discount]]</f>
        <v>541</v>
      </c>
      <c r="P1716">
        <f>order_data[[#This Row],[Order_Value]]+order_data[[#This Row],[Delivery_Fee]]-order_data[[#This Row],[Discount]]</f>
        <v>571</v>
      </c>
      <c r="Q1716" t="str">
        <f>TEXT(order_data[[#This Row],[Order_Date]],"mmm")</f>
        <v>Jan</v>
      </c>
      <c r="R1716">
        <f>MONTH(order_data[[#This Row],[Order_Date]])</f>
        <v>1</v>
      </c>
    </row>
    <row r="1717" spans="1:18" x14ac:dyDescent="0.35">
      <c r="A1717" t="s">
        <v>2486</v>
      </c>
      <c r="B1717" t="s">
        <v>51</v>
      </c>
      <c r="C1717" t="s">
        <v>1939</v>
      </c>
      <c r="D1717" t="s">
        <v>53</v>
      </c>
      <c r="E1717" t="s">
        <v>152</v>
      </c>
      <c r="F1717" t="s">
        <v>18</v>
      </c>
      <c r="G1717" t="s">
        <v>28</v>
      </c>
      <c r="H1717">
        <v>255</v>
      </c>
      <c r="I1717">
        <v>50</v>
      </c>
      <c r="J1717">
        <v>20</v>
      </c>
      <c r="K1717" t="s">
        <v>36</v>
      </c>
      <c r="L1717">
        <v>27</v>
      </c>
      <c r="M1717" t="s">
        <v>21</v>
      </c>
      <c r="N1717">
        <f>COUNTIF(order_data[Order_ID],order_data[[#This Row],[Order_ID]])</f>
        <v>1</v>
      </c>
      <c r="O1717">
        <f>order_data[[#This Row],[Order_Value]]-order_data[[#This Row],[Discount]]</f>
        <v>235</v>
      </c>
      <c r="P1717">
        <f>order_data[[#This Row],[Order_Value]]+order_data[[#This Row],[Delivery_Fee]]-order_data[[#This Row],[Discount]]</f>
        <v>285</v>
      </c>
      <c r="Q1717" t="str">
        <f>TEXT(order_data[[#This Row],[Order_Date]],"mmm")</f>
        <v>Feb</v>
      </c>
      <c r="R1717">
        <f>MONTH(order_data[[#This Row],[Order_Date]])</f>
        <v>2</v>
      </c>
    </row>
    <row r="1718" spans="1:18" x14ac:dyDescent="0.35">
      <c r="A1718" t="s">
        <v>2487</v>
      </c>
      <c r="B1718" t="s">
        <v>118</v>
      </c>
      <c r="C1718" t="s">
        <v>650</v>
      </c>
      <c r="D1718" t="s">
        <v>16</v>
      </c>
      <c r="E1718" t="s">
        <v>17</v>
      </c>
      <c r="F1718" t="s">
        <v>18</v>
      </c>
      <c r="G1718" t="s">
        <v>59</v>
      </c>
      <c r="H1718">
        <v>189</v>
      </c>
      <c r="I1718">
        <v>40</v>
      </c>
      <c r="J1718">
        <v>20</v>
      </c>
      <c r="K1718" t="s">
        <v>36</v>
      </c>
      <c r="L1718">
        <v>33</v>
      </c>
      <c r="M1718" t="s">
        <v>21</v>
      </c>
      <c r="N1718">
        <f>COUNTIF(order_data[Order_ID],order_data[[#This Row],[Order_ID]])</f>
        <v>1</v>
      </c>
      <c r="O1718">
        <f>order_data[[#This Row],[Order_Value]]-order_data[[#This Row],[Discount]]</f>
        <v>169</v>
      </c>
      <c r="P1718">
        <f>order_data[[#This Row],[Order_Value]]+order_data[[#This Row],[Delivery_Fee]]-order_data[[#This Row],[Discount]]</f>
        <v>209</v>
      </c>
      <c r="Q1718" t="str">
        <f>TEXT(order_data[[#This Row],[Order_Date]],"mmm")</f>
        <v>Mar</v>
      </c>
      <c r="R1718">
        <f>MONTH(order_data[[#This Row],[Order_Date]])</f>
        <v>3</v>
      </c>
    </row>
    <row r="1719" spans="1:18" x14ac:dyDescent="0.35">
      <c r="A1719" t="s">
        <v>2488</v>
      </c>
      <c r="B1719" t="s">
        <v>91</v>
      </c>
      <c r="C1719" t="s">
        <v>170</v>
      </c>
      <c r="D1719" t="s">
        <v>16</v>
      </c>
      <c r="E1719" t="s">
        <v>17</v>
      </c>
      <c r="F1719" t="s">
        <v>18</v>
      </c>
      <c r="G1719" t="s">
        <v>28</v>
      </c>
      <c r="H1719">
        <v>254</v>
      </c>
      <c r="I1719">
        <v>40</v>
      </c>
      <c r="J1719">
        <v>100</v>
      </c>
      <c r="K1719" t="s">
        <v>20</v>
      </c>
      <c r="L1719">
        <v>49</v>
      </c>
      <c r="M1719" t="s">
        <v>21</v>
      </c>
      <c r="N1719">
        <f>COUNTIF(order_data[Order_ID],order_data[[#This Row],[Order_ID]])</f>
        <v>1</v>
      </c>
      <c r="O1719">
        <f>order_data[[#This Row],[Order_Value]]-order_data[[#This Row],[Discount]]</f>
        <v>154</v>
      </c>
      <c r="P1719">
        <f>order_data[[#This Row],[Order_Value]]+order_data[[#This Row],[Delivery_Fee]]-order_data[[#This Row],[Discount]]</f>
        <v>194</v>
      </c>
      <c r="Q1719" t="str">
        <f>TEXT(order_data[[#This Row],[Order_Date]],"mmm")</f>
        <v>Mar</v>
      </c>
      <c r="R1719">
        <f>MONTH(order_data[[#This Row],[Order_Date]])</f>
        <v>3</v>
      </c>
    </row>
    <row r="1720" spans="1:18" x14ac:dyDescent="0.35">
      <c r="A1720" t="s">
        <v>2489</v>
      </c>
      <c r="B1720" t="s">
        <v>271</v>
      </c>
      <c r="C1720" t="s">
        <v>1467</v>
      </c>
      <c r="D1720" t="s">
        <v>53</v>
      </c>
      <c r="E1720" t="s">
        <v>54</v>
      </c>
      <c r="F1720" t="s">
        <v>55</v>
      </c>
      <c r="G1720" t="s">
        <v>42</v>
      </c>
      <c r="H1720">
        <v>732</v>
      </c>
      <c r="I1720">
        <v>50</v>
      </c>
      <c r="J1720">
        <v>100</v>
      </c>
      <c r="K1720" t="s">
        <v>36</v>
      </c>
      <c r="L1720">
        <v>42</v>
      </c>
      <c r="M1720" t="s">
        <v>21</v>
      </c>
      <c r="N1720">
        <f>COUNTIF(order_data[Order_ID],order_data[[#This Row],[Order_ID]])</f>
        <v>1</v>
      </c>
      <c r="O1720">
        <f>order_data[[#This Row],[Order_Value]]-order_data[[#This Row],[Discount]]</f>
        <v>632</v>
      </c>
      <c r="P1720">
        <f>order_data[[#This Row],[Order_Value]]+order_data[[#This Row],[Delivery_Fee]]-order_data[[#This Row],[Discount]]</f>
        <v>682</v>
      </c>
      <c r="Q1720" t="str">
        <f>TEXT(order_data[[#This Row],[Order_Date]],"mmm")</f>
        <v>Jan</v>
      </c>
      <c r="R1720">
        <f>MONTH(order_data[[#This Row],[Order_Date]])</f>
        <v>1</v>
      </c>
    </row>
    <row r="1721" spans="1:18" x14ac:dyDescent="0.35">
      <c r="A1721" t="s">
        <v>2490</v>
      </c>
      <c r="B1721" t="s">
        <v>69</v>
      </c>
      <c r="C1721" t="s">
        <v>1539</v>
      </c>
      <c r="D1721" t="s">
        <v>16</v>
      </c>
      <c r="E1721" t="s">
        <v>17</v>
      </c>
      <c r="F1721" t="s">
        <v>18</v>
      </c>
      <c r="G1721" t="s">
        <v>49</v>
      </c>
      <c r="H1721">
        <v>216</v>
      </c>
      <c r="I1721">
        <v>40</v>
      </c>
      <c r="J1721">
        <v>100</v>
      </c>
      <c r="K1721" t="s">
        <v>29</v>
      </c>
      <c r="L1721">
        <v>23</v>
      </c>
      <c r="M1721" t="s">
        <v>21</v>
      </c>
      <c r="N1721">
        <f>COUNTIF(order_data[Order_ID],order_data[[#This Row],[Order_ID]])</f>
        <v>1</v>
      </c>
      <c r="O1721">
        <f>order_data[[#This Row],[Order_Value]]-order_data[[#This Row],[Discount]]</f>
        <v>116</v>
      </c>
      <c r="P1721">
        <f>order_data[[#This Row],[Order_Value]]+order_data[[#This Row],[Delivery_Fee]]-order_data[[#This Row],[Discount]]</f>
        <v>156</v>
      </c>
      <c r="Q1721" t="str">
        <f>TEXT(order_data[[#This Row],[Order_Date]],"mmm")</f>
        <v>Feb</v>
      </c>
      <c r="R1721">
        <f>MONTH(order_data[[#This Row],[Order_Date]])</f>
        <v>2</v>
      </c>
    </row>
    <row r="1722" spans="1:18" x14ac:dyDescent="0.35">
      <c r="A1722" t="s">
        <v>2491</v>
      </c>
      <c r="B1722" t="s">
        <v>174</v>
      </c>
      <c r="C1722" t="s">
        <v>1083</v>
      </c>
      <c r="D1722" t="s">
        <v>53</v>
      </c>
      <c r="E1722" t="s">
        <v>84</v>
      </c>
      <c r="F1722" t="s">
        <v>85</v>
      </c>
      <c r="G1722" t="s">
        <v>42</v>
      </c>
      <c r="H1722">
        <v>247</v>
      </c>
      <c r="I1722">
        <v>50</v>
      </c>
      <c r="J1722">
        <v>20</v>
      </c>
      <c r="K1722" t="s">
        <v>36</v>
      </c>
      <c r="L1722">
        <v>49</v>
      </c>
      <c r="M1722" t="s">
        <v>21</v>
      </c>
      <c r="N1722">
        <f>COUNTIF(order_data[Order_ID],order_data[[#This Row],[Order_ID]])</f>
        <v>1</v>
      </c>
      <c r="O1722">
        <f>order_data[[#This Row],[Order_Value]]-order_data[[#This Row],[Discount]]</f>
        <v>227</v>
      </c>
      <c r="P1722">
        <f>order_data[[#This Row],[Order_Value]]+order_data[[#This Row],[Delivery_Fee]]-order_data[[#This Row],[Discount]]</f>
        <v>277</v>
      </c>
      <c r="Q1722" t="str">
        <f>TEXT(order_data[[#This Row],[Order_Date]],"mmm")</f>
        <v>Feb</v>
      </c>
      <c r="R1722">
        <f>MONTH(order_data[[#This Row],[Order_Date]])</f>
        <v>2</v>
      </c>
    </row>
    <row r="1723" spans="1:18" x14ac:dyDescent="0.35">
      <c r="A1723" t="s">
        <v>2492</v>
      </c>
      <c r="B1723" t="s">
        <v>329</v>
      </c>
      <c r="C1723" t="s">
        <v>1300</v>
      </c>
      <c r="D1723" t="s">
        <v>16</v>
      </c>
      <c r="E1723" t="s">
        <v>17</v>
      </c>
      <c r="F1723" t="s">
        <v>18</v>
      </c>
      <c r="G1723" t="s">
        <v>74</v>
      </c>
      <c r="H1723">
        <v>172</v>
      </c>
      <c r="I1723">
        <v>50</v>
      </c>
      <c r="J1723">
        <v>0</v>
      </c>
      <c r="K1723" t="s">
        <v>36</v>
      </c>
      <c r="L1723">
        <v>34</v>
      </c>
      <c r="M1723" t="s">
        <v>30</v>
      </c>
      <c r="N1723">
        <f>COUNTIF(order_data[Order_ID],order_data[[#This Row],[Order_ID]])</f>
        <v>1</v>
      </c>
      <c r="O1723">
        <f>order_data[[#This Row],[Order_Value]]-order_data[[#This Row],[Discount]]</f>
        <v>172</v>
      </c>
      <c r="P1723">
        <f>order_data[[#This Row],[Order_Value]]+order_data[[#This Row],[Delivery_Fee]]-order_data[[#This Row],[Discount]]</f>
        <v>222</v>
      </c>
      <c r="Q1723" t="str">
        <f>TEXT(order_data[[#This Row],[Order_Date]],"mmm")</f>
        <v>Mar</v>
      </c>
      <c r="R1723">
        <f>MONTH(order_data[[#This Row],[Order_Date]])</f>
        <v>3</v>
      </c>
    </row>
    <row r="1724" spans="1:18" x14ac:dyDescent="0.35">
      <c r="A1724" t="s">
        <v>2493</v>
      </c>
      <c r="B1724" t="s">
        <v>583</v>
      </c>
      <c r="C1724" t="s">
        <v>245</v>
      </c>
      <c r="D1724" t="s">
        <v>40</v>
      </c>
      <c r="E1724" t="s">
        <v>41</v>
      </c>
      <c r="F1724" t="s">
        <v>27</v>
      </c>
      <c r="G1724" t="s">
        <v>74</v>
      </c>
      <c r="H1724">
        <v>673</v>
      </c>
      <c r="I1724">
        <v>50</v>
      </c>
      <c r="J1724">
        <v>0</v>
      </c>
      <c r="K1724" t="s">
        <v>29</v>
      </c>
      <c r="L1724">
        <v>47</v>
      </c>
      <c r="M1724" t="s">
        <v>21</v>
      </c>
      <c r="N1724">
        <f>COUNTIF(order_data[Order_ID],order_data[[#This Row],[Order_ID]])</f>
        <v>1</v>
      </c>
      <c r="O1724">
        <f>order_data[[#This Row],[Order_Value]]-order_data[[#This Row],[Discount]]</f>
        <v>673</v>
      </c>
      <c r="P1724">
        <f>order_data[[#This Row],[Order_Value]]+order_data[[#This Row],[Delivery_Fee]]-order_data[[#This Row],[Discount]]</f>
        <v>723</v>
      </c>
      <c r="Q1724" t="str">
        <f>TEXT(order_data[[#This Row],[Order_Date]],"mmm")</f>
        <v>Jan</v>
      </c>
      <c r="R1724">
        <f>MONTH(order_data[[#This Row],[Order_Date]])</f>
        <v>1</v>
      </c>
    </row>
    <row r="1725" spans="1:18" x14ac:dyDescent="0.35">
      <c r="A1725" t="s">
        <v>2494</v>
      </c>
      <c r="B1725" t="s">
        <v>154</v>
      </c>
      <c r="C1725" t="s">
        <v>873</v>
      </c>
      <c r="D1725" t="s">
        <v>46</v>
      </c>
      <c r="E1725" t="s">
        <v>47</v>
      </c>
      <c r="F1725" t="s">
        <v>48</v>
      </c>
      <c r="G1725" t="s">
        <v>74</v>
      </c>
      <c r="H1725">
        <v>163</v>
      </c>
      <c r="I1725">
        <v>30</v>
      </c>
      <c r="J1725">
        <v>100</v>
      </c>
      <c r="K1725" t="s">
        <v>20</v>
      </c>
      <c r="L1725">
        <v>25</v>
      </c>
      <c r="M1725" t="s">
        <v>21</v>
      </c>
      <c r="N1725">
        <f>COUNTIF(order_data[Order_ID],order_data[[#This Row],[Order_ID]])</f>
        <v>1</v>
      </c>
      <c r="O1725">
        <f>order_data[[#This Row],[Order_Value]]-order_data[[#This Row],[Discount]]</f>
        <v>63</v>
      </c>
      <c r="P1725">
        <f>order_data[[#This Row],[Order_Value]]+order_data[[#This Row],[Delivery_Fee]]-order_data[[#This Row],[Discount]]</f>
        <v>93</v>
      </c>
      <c r="Q1725" t="str">
        <f>TEXT(order_data[[#This Row],[Order_Date]],"mmm")</f>
        <v>Jan</v>
      </c>
      <c r="R1725">
        <f>MONTH(order_data[[#This Row],[Order_Date]])</f>
        <v>1</v>
      </c>
    </row>
    <row r="1726" spans="1:18" x14ac:dyDescent="0.35">
      <c r="A1726" t="s">
        <v>2495</v>
      </c>
      <c r="B1726" t="s">
        <v>513</v>
      </c>
      <c r="C1726" t="s">
        <v>1394</v>
      </c>
      <c r="D1726" t="s">
        <v>16</v>
      </c>
      <c r="E1726" t="s">
        <v>131</v>
      </c>
      <c r="F1726" t="s">
        <v>55</v>
      </c>
      <c r="G1726" t="s">
        <v>19</v>
      </c>
      <c r="H1726">
        <v>797</v>
      </c>
      <c r="I1726">
        <v>30</v>
      </c>
      <c r="J1726">
        <v>30</v>
      </c>
      <c r="K1726" t="s">
        <v>29</v>
      </c>
      <c r="L1726">
        <v>25</v>
      </c>
      <c r="M1726" t="s">
        <v>21</v>
      </c>
      <c r="N1726">
        <f>COUNTIF(order_data[Order_ID],order_data[[#This Row],[Order_ID]])</f>
        <v>1</v>
      </c>
      <c r="O1726">
        <f>order_data[[#This Row],[Order_Value]]-order_data[[#This Row],[Discount]]</f>
        <v>767</v>
      </c>
      <c r="P1726">
        <f>order_data[[#This Row],[Order_Value]]+order_data[[#This Row],[Delivery_Fee]]-order_data[[#This Row],[Discount]]</f>
        <v>797</v>
      </c>
      <c r="Q1726" t="str">
        <f>TEXT(order_data[[#This Row],[Order_Date]],"mmm")</f>
        <v>Feb</v>
      </c>
      <c r="R1726">
        <f>MONTH(order_data[[#This Row],[Order_Date]])</f>
        <v>2</v>
      </c>
    </row>
    <row r="1727" spans="1:18" x14ac:dyDescent="0.35">
      <c r="A1727" t="s">
        <v>2496</v>
      </c>
      <c r="B1727" t="s">
        <v>339</v>
      </c>
      <c r="C1727" t="s">
        <v>543</v>
      </c>
      <c r="D1727" t="s">
        <v>53</v>
      </c>
      <c r="E1727" t="s">
        <v>152</v>
      </c>
      <c r="F1727" t="s">
        <v>18</v>
      </c>
      <c r="G1727" t="s">
        <v>42</v>
      </c>
      <c r="H1727">
        <v>624</v>
      </c>
      <c r="I1727">
        <v>50</v>
      </c>
      <c r="J1727">
        <v>100</v>
      </c>
      <c r="K1727" t="s">
        <v>36</v>
      </c>
      <c r="L1727">
        <v>44</v>
      </c>
      <c r="M1727" t="s">
        <v>30</v>
      </c>
      <c r="N1727">
        <f>COUNTIF(order_data[Order_ID],order_data[[#This Row],[Order_ID]])</f>
        <v>1</v>
      </c>
      <c r="O1727">
        <f>order_data[[#This Row],[Order_Value]]-order_data[[#This Row],[Discount]]</f>
        <v>524</v>
      </c>
      <c r="P1727">
        <f>order_data[[#This Row],[Order_Value]]+order_data[[#This Row],[Delivery_Fee]]-order_data[[#This Row],[Discount]]</f>
        <v>574</v>
      </c>
      <c r="Q1727" t="str">
        <f>TEXT(order_data[[#This Row],[Order_Date]],"mmm")</f>
        <v>Jan</v>
      </c>
      <c r="R1727">
        <f>MONTH(order_data[[#This Row],[Order_Date]])</f>
        <v>1</v>
      </c>
    </row>
    <row r="1728" spans="1:18" x14ac:dyDescent="0.35">
      <c r="A1728" t="s">
        <v>2497</v>
      </c>
      <c r="B1728" t="s">
        <v>580</v>
      </c>
      <c r="C1728" t="s">
        <v>781</v>
      </c>
      <c r="D1728" t="s">
        <v>40</v>
      </c>
      <c r="E1728" t="s">
        <v>111</v>
      </c>
      <c r="F1728" t="s">
        <v>18</v>
      </c>
      <c r="G1728" t="s">
        <v>28</v>
      </c>
      <c r="H1728">
        <v>462</v>
      </c>
      <c r="I1728">
        <v>50</v>
      </c>
      <c r="J1728">
        <v>20</v>
      </c>
      <c r="K1728" t="s">
        <v>36</v>
      </c>
      <c r="L1728">
        <v>58</v>
      </c>
      <c r="M1728" t="s">
        <v>21</v>
      </c>
      <c r="N1728">
        <f>COUNTIF(order_data[Order_ID],order_data[[#This Row],[Order_ID]])</f>
        <v>1</v>
      </c>
      <c r="O1728">
        <f>order_data[[#This Row],[Order_Value]]-order_data[[#This Row],[Discount]]</f>
        <v>442</v>
      </c>
      <c r="P1728">
        <f>order_data[[#This Row],[Order_Value]]+order_data[[#This Row],[Delivery_Fee]]-order_data[[#This Row],[Discount]]</f>
        <v>492</v>
      </c>
      <c r="Q1728" t="str">
        <f>TEXT(order_data[[#This Row],[Order_Date]],"mmm")</f>
        <v>Mar</v>
      </c>
      <c r="R1728">
        <f>MONTH(order_data[[#This Row],[Order_Date]])</f>
        <v>3</v>
      </c>
    </row>
    <row r="1729" spans="1:18" x14ac:dyDescent="0.35">
      <c r="A1729" t="s">
        <v>2498</v>
      </c>
      <c r="B1729" t="s">
        <v>583</v>
      </c>
      <c r="C1729" t="s">
        <v>2499</v>
      </c>
      <c r="D1729" t="s">
        <v>40</v>
      </c>
      <c r="E1729" t="s">
        <v>67</v>
      </c>
      <c r="F1729" t="s">
        <v>48</v>
      </c>
      <c r="G1729" t="s">
        <v>107</v>
      </c>
      <c r="H1729">
        <v>512</v>
      </c>
      <c r="I1729">
        <v>30</v>
      </c>
      <c r="J1729">
        <v>20</v>
      </c>
      <c r="K1729" t="s">
        <v>36</v>
      </c>
      <c r="L1729">
        <v>54</v>
      </c>
      <c r="M1729" t="s">
        <v>21</v>
      </c>
      <c r="N1729">
        <f>COUNTIF(order_data[Order_ID],order_data[[#This Row],[Order_ID]])</f>
        <v>1</v>
      </c>
      <c r="O1729">
        <f>order_data[[#This Row],[Order_Value]]-order_data[[#This Row],[Discount]]</f>
        <v>492</v>
      </c>
      <c r="P1729">
        <f>order_data[[#This Row],[Order_Value]]+order_data[[#This Row],[Delivery_Fee]]-order_data[[#This Row],[Discount]]</f>
        <v>522</v>
      </c>
      <c r="Q1729" t="str">
        <f>TEXT(order_data[[#This Row],[Order_Date]],"mmm")</f>
        <v>Jan</v>
      </c>
      <c r="R1729">
        <f>MONTH(order_data[[#This Row],[Order_Date]])</f>
        <v>1</v>
      </c>
    </row>
    <row r="1730" spans="1:18" x14ac:dyDescent="0.35">
      <c r="A1730" t="s">
        <v>2500</v>
      </c>
      <c r="B1730" t="s">
        <v>181</v>
      </c>
      <c r="C1730" t="s">
        <v>1034</v>
      </c>
      <c r="D1730" t="s">
        <v>40</v>
      </c>
      <c r="E1730" t="s">
        <v>41</v>
      </c>
      <c r="F1730" t="s">
        <v>27</v>
      </c>
      <c r="G1730" t="s">
        <v>28</v>
      </c>
      <c r="H1730">
        <v>555</v>
      </c>
      <c r="I1730">
        <v>20</v>
      </c>
      <c r="J1730">
        <v>30</v>
      </c>
      <c r="K1730" t="s">
        <v>36</v>
      </c>
      <c r="L1730">
        <v>30</v>
      </c>
      <c r="M1730" t="s">
        <v>21</v>
      </c>
      <c r="N1730">
        <f>COUNTIF(order_data[Order_ID],order_data[[#This Row],[Order_ID]])</f>
        <v>1</v>
      </c>
      <c r="O1730">
        <f>order_data[[#This Row],[Order_Value]]-order_data[[#This Row],[Discount]]</f>
        <v>525</v>
      </c>
      <c r="P1730">
        <f>order_data[[#This Row],[Order_Value]]+order_data[[#This Row],[Delivery_Fee]]-order_data[[#This Row],[Discount]]</f>
        <v>545</v>
      </c>
      <c r="Q1730" t="str">
        <f>TEXT(order_data[[#This Row],[Order_Date]],"mmm")</f>
        <v>Feb</v>
      </c>
      <c r="R1730">
        <f>MONTH(order_data[[#This Row],[Order_Date]])</f>
        <v>2</v>
      </c>
    </row>
    <row r="1731" spans="1:18" x14ac:dyDescent="0.35">
      <c r="A1731" t="s">
        <v>2501</v>
      </c>
      <c r="B1731" t="s">
        <v>105</v>
      </c>
      <c r="C1731" t="s">
        <v>417</v>
      </c>
      <c r="D1731" t="s">
        <v>53</v>
      </c>
      <c r="E1731" t="s">
        <v>54</v>
      </c>
      <c r="F1731" t="s">
        <v>55</v>
      </c>
      <c r="G1731" t="s">
        <v>49</v>
      </c>
      <c r="H1731">
        <v>486</v>
      </c>
      <c r="I1731">
        <v>40</v>
      </c>
      <c r="J1731">
        <v>100</v>
      </c>
      <c r="K1731" t="s">
        <v>20</v>
      </c>
      <c r="L1731">
        <v>59</v>
      </c>
      <c r="M1731" t="s">
        <v>21</v>
      </c>
      <c r="N1731">
        <f>COUNTIF(order_data[Order_ID],order_data[[#This Row],[Order_ID]])</f>
        <v>1</v>
      </c>
      <c r="O1731">
        <f>order_data[[#This Row],[Order_Value]]-order_data[[#This Row],[Discount]]</f>
        <v>386</v>
      </c>
      <c r="P1731">
        <f>order_data[[#This Row],[Order_Value]]+order_data[[#This Row],[Delivery_Fee]]-order_data[[#This Row],[Discount]]</f>
        <v>426</v>
      </c>
      <c r="Q1731" t="str">
        <f>TEXT(order_data[[#This Row],[Order_Date]],"mmm")</f>
        <v>Mar</v>
      </c>
      <c r="R1731">
        <f>MONTH(order_data[[#This Row],[Order_Date]])</f>
        <v>3</v>
      </c>
    </row>
    <row r="1732" spans="1:18" x14ac:dyDescent="0.35">
      <c r="A1732" t="s">
        <v>2502</v>
      </c>
      <c r="B1732" t="s">
        <v>72</v>
      </c>
      <c r="C1732" t="s">
        <v>1318</v>
      </c>
      <c r="D1732" t="s">
        <v>53</v>
      </c>
      <c r="E1732" t="s">
        <v>54</v>
      </c>
      <c r="F1732" t="s">
        <v>55</v>
      </c>
      <c r="G1732" t="s">
        <v>35</v>
      </c>
      <c r="H1732">
        <v>598</v>
      </c>
      <c r="I1732">
        <v>30</v>
      </c>
      <c r="J1732">
        <v>50</v>
      </c>
      <c r="K1732" t="s">
        <v>29</v>
      </c>
      <c r="L1732">
        <v>49</v>
      </c>
      <c r="M1732" t="s">
        <v>21</v>
      </c>
      <c r="N1732">
        <f>COUNTIF(order_data[Order_ID],order_data[[#This Row],[Order_ID]])</f>
        <v>1</v>
      </c>
      <c r="O1732">
        <f>order_data[[#This Row],[Order_Value]]-order_data[[#This Row],[Discount]]</f>
        <v>548</v>
      </c>
      <c r="P1732">
        <f>order_data[[#This Row],[Order_Value]]+order_data[[#This Row],[Delivery_Fee]]-order_data[[#This Row],[Discount]]</f>
        <v>578</v>
      </c>
      <c r="Q1732" t="str">
        <f>TEXT(order_data[[#This Row],[Order_Date]],"mmm")</f>
        <v>Jan</v>
      </c>
      <c r="R1732">
        <f>MONTH(order_data[[#This Row],[Order_Date]])</f>
        <v>1</v>
      </c>
    </row>
    <row r="1733" spans="1:18" x14ac:dyDescent="0.35">
      <c r="A1733" t="s">
        <v>2503</v>
      </c>
      <c r="B1733" t="s">
        <v>61</v>
      </c>
      <c r="C1733" t="s">
        <v>446</v>
      </c>
      <c r="D1733" t="s">
        <v>25</v>
      </c>
      <c r="E1733" t="s">
        <v>26</v>
      </c>
      <c r="F1733" t="s">
        <v>27</v>
      </c>
      <c r="G1733" t="s">
        <v>74</v>
      </c>
      <c r="H1733">
        <v>456</v>
      </c>
      <c r="I1733">
        <v>30</v>
      </c>
      <c r="J1733">
        <v>30</v>
      </c>
      <c r="K1733" t="s">
        <v>36</v>
      </c>
      <c r="L1733">
        <v>22</v>
      </c>
      <c r="M1733" t="s">
        <v>21</v>
      </c>
      <c r="N1733">
        <f>COUNTIF(order_data[Order_ID],order_data[[#This Row],[Order_ID]])</f>
        <v>1</v>
      </c>
      <c r="O1733">
        <f>order_data[[#This Row],[Order_Value]]-order_data[[#This Row],[Discount]]</f>
        <v>426</v>
      </c>
      <c r="P1733">
        <f>order_data[[#This Row],[Order_Value]]+order_data[[#This Row],[Delivery_Fee]]-order_data[[#This Row],[Discount]]</f>
        <v>456</v>
      </c>
      <c r="Q1733" t="str">
        <f>TEXT(order_data[[#This Row],[Order_Date]],"mmm")</f>
        <v>Jan</v>
      </c>
      <c r="R1733">
        <f>MONTH(order_data[[#This Row],[Order_Date]])</f>
        <v>1</v>
      </c>
    </row>
    <row r="1734" spans="1:18" x14ac:dyDescent="0.35">
      <c r="A1734" t="s">
        <v>2504</v>
      </c>
      <c r="B1734" t="s">
        <v>486</v>
      </c>
      <c r="C1734" t="s">
        <v>425</v>
      </c>
      <c r="D1734" t="s">
        <v>46</v>
      </c>
      <c r="E1734" t="s">
        <v>148</v>
      </c>
      <c r="F1734" t="s">
        <v>27</v>
      </c>
      <c r="G1734" t="s">
        <v>63</v>
      </c>
      <c r="H1734">
        <v>604</v>
      </c>
      <c r="I1734">
        <v>20</v>
      </c>
      <c r="J1734">
        <v>50</v>
      </c>
      <c r="K1734" t="s">
        <v>20</v>
      </c>
      <c r="L1734">
        <v>47</v>
      </c>
      <c r="M1734" t="s">
        <v>21</v>
      </c>
      <c r="N1734">
        <f>COUNTIF(order_data[Order_ID],order_data[[#This Row],[Order_ID]])</f>
        <v>1</v>
      </c>
      <c r="O1734">
        <f>order_data[[#This Row],[Order_Value]]-order_data[[#This Row],[Discount]]</f>
        <v>554</v>
      </c>
      <c r="P1734">
        <f>order_data[[#This Row],[Order_Value]]+order_data[[#This Row],[Delivery_Fee]]-order_data[[#This Row],[Discount]]</f>
        <v>574</v>
      </c>
      <c r="Q1734" t="str">
        <f>TEXT(order_data[[#This Row],[Order_Date]],"mmm")</f>
        <v>Jan</v>
      </c>
      <c r="R1734">
        <f>MONTH(order_data[[#This Row],[Order_Date]])</f>
        <v>1</v>
      </c>
    </row>
    <row r="1735" spans="1:18" x14ac:dyDescent="0.35">
      <c r="A1735" t="s">
        <v>2505</v>
      </c>
      <c r="B1735" t="s">
        <v>38</v>
      </c>
      <c r="C1735" t="s">
        <v>2050</v>
      </c>
      <c r="D1735" t="s">
        <v>16</v>
      </c>
      <c r="E1735" t="s">
        <v>17</v>
      </c>
      <c r="F1735" t="s">
        <v>18</v>
      </c>
      <c r="G1735" t="s">
        <v>63</v>
      </c>
      <c r="H1735">
        <v>717</v>
      </c>
      <c r="I1735">
        <v>40</v>
      </c>
      <c r="J1735">
        <v>100</v>
      </c>
      <c r="K1735" t="s">
        <v>20</v>
      </c>
      <c r="L1735">
        <v>57</v>
      </c>
      <c r="M1735" t="s">
        <v>30</v>
      </c>
      <c r="N1735">
        <f>COUNTIF(order_data[Order_ID],order_data[[#This Row],[Order_ID]])</f>
        <v>1</v>
      </c>
      <c r="O1735">
        <f>order_data[[#This Row],[Order_Value]]-order_data[[#This Row],[Discount]]</f>
        <v>617</v>
      </c>
      <c r="P1735">
        <f>order_data[[#This Row],[Order_Value]]+order_data[[#This Row],[Delivery_Fee]]-order_data[[#This Row],[Discount]]</f>
        <v>657</v>
      </c>
      <c r="Q1735" t="str">
        <f>TEXT(order_data[[#This Row],[Order_Date]],"mmm")</f>
        <v>Jan</v>
      </c>
      <c r="R1735">
        <f>MONTH(order_data[[#This Row],[Order_Date]])</f>
        <v>1</v>
      </c>
    </row>
    <row r="1736" spans="1:18" x14ac:dyDescent="0.35">
      <c r="A1736" t="s">
        <v>2506</v>
      </c>
      <c r="B1736" t="s">
        <v>207</v>
      </c>
      <c r="C1736" t="s">
        <v>612</v>
      </c>
      <c r="D1736" t="s">
        <v>53</v>
      </c>
      <c r="E1736" t="s">
        <v>152</v>
      </c>
      <c r="F1736" t="s">
        <v>18</v>
      </c>
      <c r="G1736" t="s">
        <v>35</v>
      </c>
      <c r="H1736">
        <v>494</v>
      </c>
      <c r="I1736">
        <v>20</v>
      </c>
      <c r="J1736">
        <v>30</v>
      </c>
      <c r="K1736" t="s">
        <v>36</v>
      </c>
      <c r="L1736">
        <v>31</v>
      </c>
      <c r="M1736" t="s">
        <v>21</v>
      </c>
      <c r="N1736">
        <f>COUNTIF(order_data[Order_ID],order_data[[#This Row],[Order_ID]])</f>
        <v>1</v>
      </c>
      <c r="O1736">
        <f>order_data[[#This Row],[Order_Value]]-order_data[[#This Row],[Discount]]</f>
        <v>464</v>
      </c>
      <c r="P1736">
        <f>order_data[[#This Row],[Order_Value]]+order_data[[#This Row],[Delivery_Fee]]-order_data[[#This Row],[Discount]]</f>
        <v>484</v>
      </c>
      <c r="Q1736" t="str">
        <f>TEXT(order_data[[#This Row],[Order_Date]],"mmm")</f>
        <v>Jan</v>
      </c>
      <c r="R1736">
        <f>MONTH(order_data[[#This Row],[Order_Date]])</f>
        <v>1</v>
      </c>
    </row>
    <row r="1737" spans="1:18" x14ac:dyDescent="0.35">
      <c r="A1737" t="s">
        <v>2507</v>
      </c>
      <c r="B1737" t="s">
        <v>23</v>
      </c>
      <c r="C1737" t="s">
        <v>1931</v>
      </c>
      <c r="D1737" t="s">
        <v>25</v>
      </c>
      <c r="E1737" t="s">
        <v>34</v>
      </c>
      <c r="F1737" t="s">
        <v>27</v>
      </c>
      <c r="G1737" t="s">
        <v>35</v>
      </c>
      <c r="H1737">
        <v>597</v>
      </c>
      <c r="I1737">
        <v>50</v>
      </c>
      <c r="J1737">
        <v>0</v>
      </c>
      <c r="K1737" t="s">
        <v>29</v>
      </c>
      <c r="L1737">
        <v>38</v>
      </c>
      <c r="M1737" t="s">
        <v>21</v>
      </c>
      <c r="N1737">
        <f>COUNTIF(order_data[Order_ID],order_data[[#This Row],[Order_ID]])</f>
        <v>1</v>
      </c>
      <c r="O1737">
        <f>order_data[[#This Row],[Order_Value]]-order_data[[#This Row],[Discount]]</f>
        <v>597</v>
      </c>
      <c r="P1737">
        <f>order_data[[#This Row],[Order_Value]]+order_data[[#This Row],[Delivery_Fee]]-order_data[[#This Row],[Discount]]</f>
        <v>647</v>
      </c>
      <c r="Q1737" t="str">
        <f>TEXT(order_data[[#This Row],[Order_Date]],"mmm")</f>
        <v>Mar</v>
      </c>
      <c r="R1737">
        <f>MONTH(order_data[[#This Row],[Order_Date]])</f>
        <v>3</v>
      </c>
    </row>
    <row r="1738" spans="1:18" x14ac:dyDescent="0.35">
      <c r="A1738" t="s">
        <v>2508</v>
      </c>
      <c r="B1738" t="s">
        <v>657</v>
      </c>
      <c r="C1738" t="s">
        <v>2509</v>
      </c>
      <c r="D1738" t="s">
        <v>40</v>
      </c>
      <c r="E1738" t="s">
        <v>41</v>
      </c>
      <c r="F1738" t="s">
        <v>27</v>
      </c>
      <c r="G1738" t="s">
        <v>59</v>
      </c>
      <c r="H1738">
        <v>562</v>
      </c>
      <c r="I1738">
        <v>40</v>
      </c>
      <c r="J1738">
        <v>20</v>
      </c>
      <c r="K1738" t="s">
        <v>36</v>
      </c>
      <c r="L1738">
        <v>32</v>
      </c>
      <c r="M1738" t="s">
        <v>21</v>
      </c>
      <c r="N1738">
        <f>COUNTIF(order_data[Order_ID],order_data[[#This Row],[Order_ID]])</f>
        <v>1</v>
      </c>
      <c r="O1738">
        <f>order_data[[#This Row],[Order_Value]]-order_data[[#This Row],[Discount]]</f>
        <v>542</v>
      </c>
      <c r="P1738">
        <f>order_data[[#This Row],[Order_Value]]+order_data[[#This Row],[Delivery_Fee]]-order_data[[#This Row],[Discount]]</f>
        <v>582</v>
      </c>
      <c r="Q1738" t="str">
        <f>TEXT(order_data[[#This Row],[Order_Date]],"mmm")</f>
        <v>Jan</v>
      </c>
      <c r="R1738">
        <f>MONTH(order_data[[#This Row],[Order_Date]])</f>
        <v>1</v>
      </c>
    </row>
    <row r="1739" spans="1:18" x14ac:dyDescent="0.35">
      <c r="A1739" t="s">
        <v>2510</v>
      </c>
      <c r="B1739" t="s">
        <v>580</v>
      </c>
      <c r="C1739" t="s">
        <v>2511</v>
      </c>
      <c r="D1739" t="s">
        <v>46</v>
      </c>
      <c r="E1739" t="s">
        <v>148</v>
      </c>
      <c r="F1739" t="s">
        <v>27</v>
      </c>
      <c r="G1739" t="s">
        <v>19</v>
      </c>
      <c r="H1739">
        <v>676</v>
      </c>
      <c r="I1739">
        <v>20</v>
      </c>
      <c r="J1739">
        <v>20</v>
      </c>
      <c r="K1739" t="s">
        <v>36</v>
      </c>
      <c r="L1739">
        <v>31</v>
      </c>
      <c r="M1739" t="s">
        <v>21</v>
      </c>
      <c r="N1739">
        <f>COUNTIF(order_data[Order_ID],order_data[[#This Row],[Order_ID]])</f>
        <v>1</v>
      </c>
      <c r="O1739">
        <f>order_data[[#This Row],[Order_Value]]-order_data[[#This Row],[Discount]]</f>
        <v>656</v>
      </c>
      <c r="P1739">
        <f>order_data[[#This Row],[Order_Value]]+order_data[[#This Row],[Delivery_Fee]]-order_data[[#This Row],[Discount]]</f>
        <v>676</v>
      </c>
      <c r="Q1739" t="str">
        <f>TEXT(order_data[[#This Row],[Order_Date]],"mmm")</f>
        <v>Mar</v>
      </c>
      <c r="R1739">
        <f>MONTH(order_data[[#This Row],[Order_Date]])</f>
        <v>3</v>
      </c>
    </row>
    <row r="1740" spans="1:18" x14ac:dyDescent="0.35">
      <c r="A1740" t="s">
        <v>2512</v>
      </c>
      <c r="B1740" t="s">
        <v>339</v>
      </c>
      <c r="C1740" t="s">
        <v>2009</v>
      </c>
      <c r="D1740" t="s">
        <v>53</v>
      </c>
      <c r="E1740" t="s">
        <v>54</v>
      </c>
      <c r="F1740" t="s">
        <v>55</v>
      </c>
      <c r="G1740" t="s">
        <v>49</v>
      </c>
      <c r="H1740">
        <v>549</v>
      </c>
      <c r="I1740">
        <v>50</v>
      </c>
      <c r="J1740">
        <v>20</v>
      </c>
      <c r="K1740" t="s">
        <v>29</v>
      </c>
      <c r="L1740">
        <v>59</v>
      </c>
      <c r="M1740" t="s">
        <v>21</v>
      </c>
      <c r="N1740">
        <f>COUNTIF(order_data[Order_ID],order_data[[#This Row],[Order_ID]])</f>
        <v>1</v>
      </c>
      <c r="O1740">
        <f>order_data[[#This Row],[Order_Value]]-order_data[[#This Row],[Discount]]</f>
        <v>529</v>
      </c>
      <c r="P1740">
        <f>order_data[[#This Row],[Order_Value]]+order_data[[#This Row],[Delivery_Fee]]-order_data[[#This Row],[Discount]]</f>
        <v>579</v>
      </c>
      <c r="Q1740" t="str">
        <f>TEXT(order_data[[#This Row],[Order_Date]],"mmm")</f>
        <v>Jan</v>
      </c>
      <c r="R1740">
        <f>MONTH(order_data[[#This Row],[Order_Date]])</f>
        <v>1</v>
      </c>
    </row>
    <row r="1741" spans="1:18" x14ac:dyDescent="0.35">
      <c r="A1741" t="s">
        <v>2513</v>
      </c>
      <c r="B1741" t="s">
        <v>435</v>
      </c>
      <c r="C1741" t="s">
        <v>366</v>
      </c>
      <c r="D1741" t="s">
        <v>25</v>
      </c>
      <c r="E1741" t="s">
        <v>78</v>
      </c>
      <c r="F1741" t="s">
        <v>48</v>
      </c>
      <c r="G1741" t="s">
        <v>49</v>
      </c>
      <c r="H1741">
        <v>649</v>
      </c>
      <c r="I1741">
        <v>20</v>
      </c>
      <c r="J1741">
        <v>50</v>
      </c>
      <c r="K1741" t="s">
        <v>20</v>
      </c>
      <c r="L1741">
        <v>45</v>
      </c>
      <c r="M1741" t="s">
        <v>21</v>
      </c>
      <c r="N1741">
        <f>COUNTIF(order_data[Order_ID],order_data[[#This Row],[Order_ID]])</f>
        <v>1</v>
      </c>
      <c r="O1741">
        <f>order_data[[#This Row],[Order_Value]]-order_data[[#This Row],[Discount]]</f>
        <v>599</v>
      </c>
      <c r="P1741">
        <f>order_data[[#This Row],[Order_Value]]+order_data[[#This Row],[Delivery_Fee]]-order_data[[#This Row],[Discount]]</f>
        <v>619</v>
      </c>
      <c r="Q1741" t="str">
        <f>TEXT(order_data[[#This Row],[Order_Date]],"mmm")</f>
        <v>Feb</v>
      </c>
      <c r="R1741">
        <f>MONTH(order_data[[#This Row],[Order_Date]])</f>
        <v>2</v>
      </c>
    </row>
    <row r="1742" spans="1:18" x14ac:dyDescent="0.35">
      <c r="A1742" t="s">
        <v>2514</v>
      </c>
      <c r="B1742" t="s">
        <v>32</v>
      </c>
      <c r="C1742" t="s">
        <v>1403</v>
      </c>
      <c r="D1742" t="s">
        <v>46</v>
      </c>
      <c r="E1742" t="s">
        <v>148</v>
      </c>
      <c r="F1742" t="s">
        <v>27</v>
      </c>
      <c r="G1742" t="s">
        <v>176</v>
      </c>
      <c r="H1742">
        <v>584</v>
      </c>
      <c r="I1742">
        <v>30</v>
      </c>
      <c r="J1742">
        <v>30</v>
      </c>
      <c r="K1742" t="s">
        <v>36</v>
      </c>
      <c r="L1742">
        <v>47</v>
      </c>
      <c r="M1742" t="s">
        <v>21</v>
      </c>
      <c r="N1742">
        <f>COUNTIF(order_data[Order_ID],order_data[[#This Row],[Order_ID]])</f>
        <v>1</v>
      </c>
      <c r="O1742">
        <f>order_data[[#This Row],[Order_Value]]-order_data[[#This Row],[Discount]]</f>
        <v>554</v>
      </c>
      <c r="P1742">
        <f>order_data[[#This Row],[Order_Value]]+order_data[[#This Row],[Delivery_Fee]]-order_data[[#This Row],[Discount]]</f>
        <v>584</v>
      </c>
      <c r="Q1742" t="str">
        <f>TEXT(order_data[[#This Row],[Order_Date]],"mmm")</f>
        <v>Jan</v>
      </c>
      <c r="R1742">
        <f>MONTH(order_data[[#This Row],[Order_Date]])</f>
        <v>1</v>
      </c>
    </row>
    <row r="1743" spans="1:18" x14ac:dyDescent="0.35">
      <c r="A1743" t="s">
        <v>2515</v>
      </c>
      <c r="B1743" t="s">
        <v>61</v>
      </c>
      <c r="C1743" t="s">
        <v>1788</v>
      </c>
      <c r="D1743" t="s">
        <v>16</v>
      </c>
      <c r="E1743" t="s">
        <v>131</v>
      </c>
      <c r="F1743" t="s">
        <v>55</v>
      </c>
      <c r="G1743" t="s">
        <v>107</v>
      </c>
      <c r="H1743">
        <v>559</v>
      </c>
      <c r="I1743">
        <v>30</v>
      </c>
      <c r="J1743">
        <v>0</v>
      </c>
      <c r="K1743" t="s">
        <v>29</v>
      </c>
      <c r="L1743">
        <v>42</v>
      </c>
      <c r="M1743" t="s">
        <v>21</v>
      </c>
      <c r="N1743">
        <f>COUNTIF(order_data[Order_ID],order_data[[#This Row],[Order_ID]])</f>
        <v>1</v>
      </c>
      <c r="O1743">
        <f>order_data[[#This Row],[Order_Value]]-order_data[[#This Row],[Discount]]</f>
        <v>559</v>
      </c>
      <c r="P1743">
        <f>order_data[[#This Row],[Order_Value]]+order_data[[#This Row],[Delivery_Fee]]-order_data[[#This Row],[Discount]]</f>
        <v>589</v>
      </c>
      <c r="Q1743" t="str">
        <f>TEXT(order_data[[#This Row],[Order_Date]],"mmm")</f>
        <v>Jan</v>
      </c>
      <c r="R1743">
        <f>MONTH(order_data[[#This Row],[Order_Date]])</f>
        <v>1</v>
      </c>
    </row>
    <row r="1744" spans="1:18" x14ac:dyDescent="0.35">
      <c r="A1744" t="s">
        <v>2516</v>
      </c>
      <c r="B1744" t="s">
        <v>32</v>
      </c>
      <c r="C1744" t="s">
        <v>1725</v>
      </c>
      <c r="D1744" t="s">
        <v>40</v>
      </c>
      <c r="E1744" t="s">
        <v>111</v>
      </c>
      <c r="F1744" t="s">
        <v>18</v>
      </c>
      <c r="G1744" t="s">
        <v>74</v>
      </c>
      <c r="H1744">
        <v>677</v>
      </c>
      <c r="I1744">
        <v>40</v>
      </c>
      <c r="J1744">
        <v>50</v>
      </c>
      <c r="K1744" t="s">
        <v>29</v>
      </c>
      <c r="L1744">
        <v>21</v>
      </c>
      <c r="M1744" t="s">
        <v>21</v>
      </c>
      <c r="N1744">
        <f>COUNTIF(order_data[Order_ID],order_data[[#This Row],[Order_ID]])</f>
        <v>1</v>
      </c>
      <c r="O1744">
        <f>order_data[[#This Row],[Order_Value]]-order_data[[#This Row],[Discount]]</f>
        <v>627</v>
      </c>
      <c r="P1744">
        <f>order_data[[#This Row],[Order_Value]]+order_data[[#This Row],[Delivery_Fee]]-order_data[[#This Row],[Discount]]</f>
        <v>667</v>
      </c>
      <c r="Q1744" t="str">
        <f>TEXT(order_data[[#This Row],[Order_Date]],"mmm")</f>
        <v>Jan</v>
      </c>
      <c r="R1744">
        <f>MONTH(order_data[[#This Row],[Order_Date]])</f>
        <v>1</v>
      </c>
    </row>
    <row r="1745" spans="1:18" x14ac:dyDescent="0.35">
      <c r="A1745" t="s">
        <v>2517</v>
      </c>
      <c r="B1745" t="s">
        <v>76</v>
      </c>
      <c r="C1745" t="s">
        <v>1505</v>
      </c>
      <c r="D1745" t="s">
        <v>40</v>
      </c>
      <c r="E1745" t="s">
        <v>67</v>
      </c>
      <c r="F1745" t="s">
        <v>48</v>
      </c>
      <c r="G1745" t="s">
        <v>74</v>
      </c>
      <c r="H1745">
        <v>733</v>
      </c>
      <c r="I1745">
        <v>20</v>
      </c>
      <c r="J1745">
        <v>100</v>
      </c>
      <c r="K1745" t="s">
        <v>20</v>
      </c>
      <c r="L1745">
        <v>24</v>
      </c>
      <c r="M1745" t="s">
        <v>21</v>
      </c>
      <c r="N1745">
        <f>COUNTIF(order_data[Order_ID],order_data[[#This Row],[Order_ID]])</f>
        <v>1</v>
      </c>
      <c r="O1745">
        <f>order_data[[#This Row],[Order_Value]]-order_data[[#This Row],[Discount]]</f>
        <v>633</v>
      </c>
      <c r="P1745">
        <f>order_data[[#This Row],[Order_Value]]+order_data[[#This Row],[Delivery_Fee]]-order_data[[#This Row],[Discount]]</f>
        <v>653</v>
      </c>
      <c r="Q1745" t="str">
        <f>TEXT(order_data[[#This Row],[Order_Date]],"mmm")</f>
        <v>Feb</v>
      </c>
      <c r="R1745">
        <f>MONTH(order_data[[#This Row],[Order_Date]])</f>
        <v>2</v>
      </c>
    </row>
    <row r="1746" spans="1:18" x14ac:dyDescent="0.35">
      <c r="A1746" t="s">
        <v>2518</v>
      </c>
      <c r="B1746" t="s">
        <v>113</v>
      </c>
      <c r="C1746" t="s">
        <v>1571</v>
      </c>
      <c r="D1746" t="s">
        <v>16</v>
      </c>
      <c r="E1746" t="s">
        <v>89</v>
      </c>
      <c r="F1746" t="s">
        <v>18</v>
      </c>
      <c r="G1746" t="s">
        <v>28</v>
      </c>
      <c r="H1746">
        <v>308</v>
      </c>
      <c r="I1746">
        <v>20</v>
      </c>
      <c r="J1746">
        <v>50</v>
      </c>
      <c r="K1746" t="s">
        <v>20</v>
      </c>
      <c r="L1746">
        <v>25</v>
      </c>
      <c r="M1746" t="s">
        <v>21</v>
      </c>
      <c r="N1746">
        <f>COUNTIF(order_data[Order_ID],order_data[[#This Row],[Order_ID]])</f>
        <v>1</v>
      </c>
      <c r="O1746">
        <f>order_data[[#This Row],[Order_Value]]-order_data[[#This Row],[Discount]]</f>
        <v>258</v>
      </c>
      <c r="P1746">
        <f>order_data[[#This Row],[Order_Value]]+order_data[[#This Row],[Delivery_Fee]]-order_data[[#This Row],[Discount]]</f>
        <v>278</v>
      </c>
      <c r="Q1746" t="str">
        <f>TEXT(order_data[[#This Row],[Order_Date]],"mmm")</f>
        <v>Mar</v>
      </c>
      <c r="R1746">
        <f>MONTH(order_data[[#This Row],[Order_Date]])</f>
        <v>3</v>
      </c>
    </row>
    <row r="1747" spans="1:18" x14ac:dyDescent="0.35">
      <c r="A1747" t="s">
        <v>2519</v>
      </c>
      <c r="B1747" t="s">
        <v>143</v>
      </c>
      <c r="C1747" t="s">
        <v>708</v>
      </c>
      <c r="D1747" t="s">
        <v>46</v>
      </c>
      <c r="E1747" t="s">
        <v>47</v>
      </c>
      <c r="F1747" t="s">
        <v>48</v>
      </c>
      <c r="G1747" t="s">
        <v>107</v>
      </c>
      <c r="H1747">
        <v>429</v>
      </c>
      <c r="I1747">
        <v>40</v>
      </c>
      <c r="J1747">
        <v>50</v>
      </c>
      <c r="K1747" t="s">
        <v>29</v>
      </c>
      <c r="L1747">
        <v>48</v>
      </c>
      <c r="M1747" t="s">
        <v>21</v>
      </c>
      <c r="N1747">
        <f>COUNTIF(order_data[Order_ID],order_data[[#This Row],[Order_ID]])</f>
        <v>1</v>
      </c>
      <c r="O1747">
        <f>order_data[[#This Row],[Order_Value]]-order_data[[#This Row],[Discount]]</f>
        <v>379</v>
      </c>
      <c r="P1747">
        <f>order_data[[#This Row],[Order_Value]]+order_data[[#This Row],[Delivery_Fee]]-order_data[[#This Row],[Discount]]</f>
        <v>419</v>
      </c>
      <c r="Q1747" t="str">
        <f>TEXT(order_data[[#This Row],[Order_Date]],"mmm")</f>
        <v>Feb</v>
      </c>
      <c r="R1747">
        <f>MONTH(order_data[[#This Row],[Order_Date]])</f>
        <v>2</v>
      </c>
    </row>
    <row r="1748" spans="1:18" x14ac:dyDescent="0.35">
      <c r="A1748" t="s">
        <v>2520</v>
      </c>
      <c r="B1748" t="s">
        <v>72</v>
      </c>
      <c r="C1748" t="s">
        <v>1741</v>
      </c>
      <c r="D1748" t="s">
        <v>16</v>
      </c>
      <c r="E1748" t="s">
        <v>131</v>
      </c>
      <c r="F1748" t="s">
        <v>55</v>
      </c>
      <c r="G1748" t="s">
        <v>28</v>
      </c>
      <c r="H1748">
        <v>781</v>
      </c>
      <c r="I1748">
        <v>30</v>
      </c>
      <c r="J1748">
        <v>20</v>
      </c>
      <c r="K1748" t="s">
        <v>20</v>
      </c>
      <c r="L1748">
        <v>48</v>
      </c>
      <c r="M1748" t="s">
        <v>21</v>
      </c>
      <c r="N1748">
        <f>COUNTIF(order_data[Order_ID],order_data[[#This Row],[Order_ID]])</f>
        <v>1</v>
      </c>
      <c r="O1748">
        <f>order_data[[#This Row],[Order_Value]]-order_data[[#This Row],[Discount]]</f>
        <v>761</v>
      </c>
      <c r="P1748">
        <f>order_data[[#This Row],[Order_Value]]+order_data[[#This Row],[Delivery_Fee]]-order_data[[#This Row],[Discount]]</f>
        <v>791</v>
      </c>
      <c r="Q1748" t="str">
        <f>TEXT(order_data[[#This Row],[Order_Date]],"mmm")</f>
        <v>Jan</v>
      </c>
      <c r="R1748">
        <f>MONTH(order_data[[#This Row],[Order_Date]])</f>
        <v>1</v>
      </c>
    </row>
    <row r="1749" spans="1:18" x14ac:dyDescent="0.35">
      <c r="A1749" t="s">
        <v>2521</v>
      </c>
      <c r="B1749" t="s">
        <v>61</v>
      </c>
      <c r="C1749" t="s">
        <v>728</v>
      </c>
      <c r="D1749" t="s">
        <v>40</v>
      </c>
      <c r="E1749" t="s">
        <v>41</v>
      </c>
      <c r="F1749" t="s">
        <v>27</v>
      </c>
      <c r="G1749" t="s">
        <v>74</v>
      </c>
      <c r="H1749">
        <v>378</v>
      </c>
      <c r="I1749">
        <v>30</v>
      </c>
      <c r="J1749">
        <v>50</v>
      </c>
      <c r="K1749" t="s">
        <v>29</v>
      </c>
      <c r="L1749">
        <v>34</v>
      </c>
      <c r="M1749" t="s">
        <v>30</v>
      </c>
      <c r="N1749">
        <f>COUNTIF(order_data[Order_ID],order_data[[#This Row],[Order_ID]])</f>
        <v>1</v>
      </c>
      <c r="O1749">
        <f>order_data[[#This Row],[Order_Value]]-order_data[[#This Row],[Discount]]</f>
        <v>328</v>
      </c>
      <c r="P1749">
        <f>order_data[[#This Row],[Order_Value]]+order_data[[#This Row],[Delivery_Fee]]-order_data[[#This Row],[Discount]]</f>
        <v>358</v>
      </c>
      <c r="Q1749" t="str">
        <f>TEXT(order_data[[#This Row],[Order_Date]],"mmm")</f>
        <v>Jan</v>
      </c>
      <c r="R1749">
        <f>MONTH(order_data[[#This Row],[Order_Date]])</f>
        <v>1</v>
      </c>
    </row>
    <row r="1750" spans="1:18" x14ac:dyDescent="0.35">
      <c r="A1750" t="s">
        <v>2522</v>
      </c>
      <c r="B1750" t="s">
        <v>174</v>
      </c>
      <c r="C1750" t="s">
        <v>1687</v>
      </c>
      <c r="D1750" t="s">
        <v>40</v>
      </c>
      <c r="E1750" t="s">
        <v>41</v>
      </c>
      <c r="F1750" t="s">
        <v>27</v>
      </c>
      <c r="G1750" t="s">
        <v>59</v>
      </c>
      <c r="H1750">
        <v>357</v>
      </c>
      <c r="I1750">
        <v>50</v>
      </c>
      <c r="J1750">
        <v>0</v>
      </c>
      <c r="K1750" t="s">
        <v>20</v>
      </c>
      <c r="L1750">
        <v>27</v>
      </c>
      <c r="M1750" t="s">
        <v>21</v>
      </c>
      <c r="N1750">
        <f>COUNTIF(order_data[Order_ID],order_data[[#This Row],[Order_ID]])</f>
        <v>1</v>
      </c>
      <c r="O1750">
        <f>order_data[[#This Row],[Order_Value]]-order_data[[#This Row],[Discount]]</f>
        <v>357</v>
      </c>
      <c r="P1750">
        <f>order_data[[#This Row],[Order_Value]]+order_data[[#This Row],[Delivery_Fee]]-order_data[[#This Row],[Discount]]</f>
        <v>407</v>
      </c>
      <c r="Q1750" t="str">
        <f>TEXT(order_data[[#This Row],[Order_Date]],"mmm")</f>
        <v>Feb</v>
      </c>
      <c r="R1750">
        <f>MONTH(order_data[[#This Row],[Order_Date]])</f>
        <v>2</v>
      </c>
    </row>
    <row r="1751" spans="1:18" x14ac:dyDescent="0.35">
      <c r="A1751" t="s">
        <v>2523</v>
      </c>
      <c r="B1751" t="s">
        <v>109</v>
      </c>
      <c r="C1751" t="s">
        <v>1133</v>
      </c>
      <c r="D1751" t="s">
        <v>16</v>
      </c>
      <c r="E1751" t="s">
        <v>89</v>
      </c>
      <c r="F1751" t="s">
        <v>18</v>
      </c>
      <c r="G1751" t="s">
        <v>28</v>
      </c>
      <c r="H1751">
        <v>774</v>
      </c>
      <c r="I1751">
        <v>20</v>
      </c>
      <c r="J1751">
        <v>30</v>
      </c>
      <c r="K1751" t="s">
        <v>20</v>
      </c>
      <c r="L1751">
        <v>34</v>
      </c>
      <c r="M1751" t="s">
        <v>21</v>
      </c>
      <c r="N1751">
        <f>COUNTIF(order_data[Order_ID],order_data[[#This Row],[Order_ID]])</f>
        <v>1</v>
      </c>
      <c r="O1751">
        <f>order_data[[#This Row],[Order_Value]]-order_data[[#This Row],[Discount]]</f>
        <v>744</v>
      </c>
      <c r="P1751">
        <f>order_data[[#This Row],[Order_Value]]+order_data[[#This Row],[Delivery_Fee]]-order_data[[#This Row],[Discount]]</f>
        <v>764</v>
      </c>
      <c r="Q1751" t="str">
        <f>TEXT(order_data[[#This Row],[Order_Date]],"mmm")</f>
        <v>Jan</v>
      </c>
      <c r="R1751">
        <f>MONTH(order_data[[#This Row],[Order_Date]])</f>
        <v>1</v>
      </c>
    </row>
    <row r="1752" spans="1:18" x14ac:dyDescent="0.35">
      <c r="A1752" t="s">
        <v>2524</v>
      </c>
      <c r="B1752" t="s">
        <v>657</v>
      </c>
      <c r="C1752" t="s">
        <v>2525</v>
      </c>
      <c r="D1752" t="s">
        <v>53</v>
      </c>
      <c r="E1752" t="s">
        <v>54</v>
      </c>
      <c r="F1752" t="s">
        <v>55</v>
      </c>
      <c r="G1752" t="s">
        <v>176</v>
      </c>
      <c r="H1752">
        <v>548</v>
      </c>
      <c r="I1752">
        <v>40</v>
      </c>
      <c r="J1752">
        <v>100</v>
      </c>
      <c r="K1752" t="s">
        <v>20</v>
      </c>
      <c r="L1752">
        <v>54</v>
      </c>
      <c r="M1752" t="s">
        <v>21</v>
      </c>
      <c r="N1752">
        <f>COUNTIF(order_data[Order_ID],order_data[[#This Row],[Order_ID]])</f>
        <v>1</v>
      </c>
      <c r="O1752">
        <f>order_data[[#This Row],[Order_Value]]-order_data[[#This Row],[Discount]]</f>
        <v>448</v>
      </c>
      <c r="P1752">
        <f>order_data[[#This Row],[Order_Value]]+order_data[[#This Row],[Delivery_Fee]]-order_data[[#This Row],[Discount]]</f>
        <v>488</v>
      </c>
      <c r="Q1752" t="str">
        <f>TEXT(order_data[[#This Row],[Order_Date]],"mmm")</f>
        <v>Jan</v>
      </c>
      <c r="R1752">
        <f>MONTH(order_data[[#This Row],[Order_Date]])</f>
        <v>1</v>
      </c>
    </row>
    <row r="1753" spans="1:18" x14ac:dyDescent="0.35">
      <c r="A1753" t="s">
        <v>2526</v>
      </c>
      <c r="B1753" t="s">
        <v>310</v>
      </c>
      <c r="C1753" t="s">
        <v>2527</v>
      </c>
      <c r="D1753" t="s">
        <v>46</v>
      </c>
      <c r="E1753" t="s">
        <v>47</v>
      </c>
      <c r="F1753" t="s">
        <v>48</v>
      </c>
      <c r="G1753" t="s">
        <v>35</v>
      </c>
      <c r="H1753">
        <v>179</v>
      </c>
      <c r="I1753">
        <v>50</v>
      </c>
      <c r="J1753">
        <v>50</v>
      </c>
      <c r="K1753" t="s">
        <v>36</v>
      </c>
      <c r="L1753">
        <v>31</v>
      </c>
      <c r="M1753" t="s">
        <v>30</v>
      </c>
      <c r="N1753">
        <f>COUNTIF(order_data[Order_ID],order_data[[#This Row],[Order_ID]])</f>
        <v>1</v>
      </c>
      <c r="O1753">
        <f>order_data[[#This Row],[Order_Value]]-order_data[[#This Row],[Discount]]</f>
        <v>129</v>
      </c>
      <c r="P1753">
        <f>order_data[[#This Row],[Order_Value]]+order_data[[#This Row],[Delivery_Fee]]-order_data[[#This Row],[Discount]]</f>
        <v>179</v>
      </c>
      <c r="Q1753" t="str">
        <f>TEXT(order_data[[#This Row],[Order_Date]],"mmm")</f>
        <v>Feb</v>
      </c>
      <c r="R1753">
        <f>MONTH(order_data[[#This Row],[Order_Date]])</f>
        <v>2</v>
      </c>
    </row>
    <row r="1754" spans="1:18" x14ac:dyDescent="0.35">
      <c r="A1754" t="s">
        <v>2528</v>
      </c>
      <c r="B1754" t="s">
        <v>368</v>
      </c>
      <c r="C1754" t="s">
        <v>2529</v>
      </c>
      <c r="D1754" t="s">
        <v>53</v>
      </c>
      <c r="E1754" t="s">
        <v>152</v>
      </c>
      <c r="F1754" t="s">
        <v>18</v>
      </c>
      <c r="G1754" t="s">
        <v>176</v>
      </c>
      <c r="H1754">
        <v>718</v>
      </c>
      <c r="I1754">
        <v>50</v>
      </c>
      <c r="J1754">
        <v>50</v>
      </c>
      <c r="K1754" t="s">
        <v>29</v>
      </c>
      <c r="L1754">
        <v>50</v>
      </c>
      <c r="M1754" t="s">
        <v>30</v>
      </c>
      <c r="N1754">
        <f>COUNTIF(order_data[Order_ID],order_data[[#This Row],[Order_ID]])</f>
        <v>1</v>
      </c>
      <c r="O1754">
        <f>order_data[[#This Row],[Order_Value]]-order_data[[#This Row],[Discount]]</f>
        <v>668</v>
      </c>
      <c r="P1754">
        <f>order_data[[#This Row],[Order_Value]]+order_data[[#This Row],[Delivery_Fee]]-order_data[[#This Row],[Discount]]</f>
        <v>718</v>
      </c>
      <c r="Q1754" t="str">
        <f>TEXT(order_data[[#This Row],[Order_Date]],"mmm")</f>
        <v>Feb</v>
      </c>
      <c r="R1754">
        <f>MONTH(order_data[[#This Row],[Order_Date]])</f>
        <v>2</v>
      </c>
    </row>
    <row r="1755" spans="1:18" x14ac:dyDescent="0.35">
      <c r="A1755" t="s">
        <v>2530</v>
      </c>
      <c r="B1755" t="s">
        <v>61</v>
      </c>
      <c r="C1755" t="s">
        <v>1141</v>
      </c>
      <c r="D1755" t="s">
        <v>16</v>
      </c>
      <c r="E1755" t="s">
        <v>17</v>
      </c>
      <c r="F1755" t="s">
        <v>18</v>
      </c>
      <c r="G1755" t="s">
        <v>107</v>
      </c>
      <c r="H1755">
        <v>444</v>
      </c>
      <c r="I1755">
        <v>20</v>
      </c>
      <c r="J1755">
        <v>30</v>
      </c>
      <c r="K1755" t="s">
        <v>29</v>
      </c>
      <c r="L1755">
        <v>38</v>
      </c>
      <c r="M1755" t="s">
        <v>21</v>
      </c>
      <c r="N1755">
        <f>COUNTIF(order_data[Order_ID],order_data[[#This Row],[Order_ID]])</f>
        <v>1</v>
      </c>
      <c r="O1755">
        <f>order_data[[#This Row],[Order_Value]]-order_data[[#This Row],[Discount]]</f>
        <v>414</v>
      </c>
      <c r="P1755">
        <f>order_data[[#This Row],[Order_Value]]+order_data[[#This Row],[Delivery_Fee]]-order_data[[#This Row],[Discount]]</f>
        <v>434</v>
      </c>
      <c r="Q1755" t="str">
        <f>TEXT(order_data[[#This Row],[Order_Date]],"mmm")</f>
        <v>Jan</v>
      </c>
      <c r="R1755">
        <f>MONTH(order_data[[#This Row],[Order_Date]])</f>
        <v>1</v>
      </c>
    </row>
    <row r="1756" spans="1:18" x14ac:dyDescent="0.35">
      <c r="A1756" t="s">
        <v>2531</v>
      </c>
      <c r="B1756" t="s">
        <v>657</v>
      </c>
      <c r="C1756" t="s">
        <v>2532</v>
      </c>
      <c r="D1756" t="s">
        <v>40</v>
      </c>
      <c r="E1756" t="s">
        <v>67</v>
      </c>
      <c r="F1756" t="s">
        <v>48</v>
      </c>
      <c r="G1756" t="s">
        <v>63</v>
      </c>
      <c r="H1756">
        <v>561</v>
      </c>
      <c r="I1756">
        <v>40</v>
      </c>
      <c r="J1756">
        <v>100</v>
      </c>
      <c r="K1756" t="s">
        <v>36</v>
      </c>
      <c r="L1756">
        <v>49</v>
      </c>
      <c r="M1756" t="s">
        <v>21</v>
      </c>
      <c r="N1756">
        <f>COUNTIF(order_data[Order_ID],order_data[[#This Row],[Order_ID]])</f>
        <v>1</v>
      </c>
      <c r="O1756">
        <f>order_data[[#This Row],[Order_Value]]-order_data[[#This Row],[Discount]]</f>
        <v>461</v>
      </c>
      <c r="P1756">
        <f>order_data[[#This Row],[Order_Value]]+order_data[[#This Row],[Delivery_Fee]]-order_data[[#This Row],[Discount]]</f>
        <v>501</v>
      </c>
      <c r="Q1756" t="str">
        <f>TEXT(order_data[[#This Row],[Order_Date]],"mmm")</f>
        <v>Jan</v>
      </c>
      <c r="R1756">
        <f>MONTH(order_data[[#This Row],[Order_Date]])</f>
        <v>1</v>
      </c>
    </row>
    <row r="1757" spans="1:18" x14ac:dyDescent="0.35">
      <c r="A1757" t="s">
        <v>2533</v>
      </c>
      <c r="B1757" t="s">
        <v>580</v>
      </c>
      <c r="C1757" t="s">
        <v>1505</v>
      </c>
      <c r="D1757" t="s">
        <v>25</v>
      </c>
      <c r="E1757" t="s">
        <v>78</v>
      </c>
      <c r="F1757" t="s">
        <v>48</v>
      </c>
      <c r="G1757" t="s">
        <v>19</v>
      </c>
      <c r="H1757">
        <v>579</v>
      </c>
      <c r="I1757">
        <v>20</v>
      </c>
      <c r="J1757">
        <v>100</v>
      </c>
      <c r="K1757" t="s">
        <v>36</v>
      </c>
      <c r="L1757">
        <v>60</v>
      </c>
      <c r="M1757" t="s">
        <v>21</v>
      </c>
      <c r="N1757">
        <f>COUNTIF(order_data[Order_ID],order_data[[#This Row],[Order_ID]])</f>
        <v>1</v>
      </c>
      <c r="O1757">
        <f>order_data[[#This Row],[Order_Value]]-order_data[[#This Row],[Discount]]</f>
        <v>479</v>
      </c>
      <c r="P1757">
        <f>order_data[[#This Row],[Order_Value]]+order_data[[#This Row],[Delivery_Fee]]-order_data[[#This Row],[Discount]]</f>
        <v>499</v>
      </c>
      <c r="Q1757" t="str">
        <f>TEXT(order_data[[#This Row],[Order_Date]],"mmm")</f>
        <v>Mar</v>
      </c>
      <c r="R1757">
        <f>MONTH(order_data[[#This Row],[Order_Date]])</f>
        <v>3</v>
      </c>
    </row>
    <row r="1758" spans="1:18" x14ac:dyDescent="0.35">
      <c r="A1758" t="s">
        <v>2534</v>
      </c>
      <c r="B1758" t="s">
        <v>388</v>
      </c>
      <c r="C1758" t="s">
        <v>455</v>
      </c>
      <c r="D1758" t="s">
        <v>46</v>
      </c>
      <c r="E1758" t="s">
        <v>148</v>
      </c>
      <c r="F1758" t="s">
        <v>27</v>
      </c>
      <c r="G1758" t="s">
        <v>59</v>
      </c>
      <c r="H1758">
        <v>284</v>
      </c>
      <c r="I1758">
        <v>40</v>
      </c>
      <c r="J1758">
        <v>0</v>
      </c>
      <c r="K1758" t="s">
        <v>29</v>
      </c>
      <c r="L1758">
        <v>34</v>
      </c>
      <c r="M1758" t="s">
        <v>21</v>
      </c>
      <c r="N1758">
        <f>COUNTIF(order_data[Order_ID],order_data[[#This Row],[Order_ID]])</f>
        <v>1</v>
      </c>
      <c r="O1758">
        <f>order_data[[#This Row],[Order_Value]]-order_data[[#This Row],[Discount]]</f>
        <v>284</v>
      </c>
      <c r="P1758">
        <f>order_data[[#This Row],[Order_Value]]+order_data[[#This Row],[Delivery_Fee]]-order_data[[#This Row],[Discount]]</f>
        <v>324</v>
      </c>
      <c r="Q1758" t="str">
        <f>TEXT(order_data[[#This Row],[Order_Date]],"mmm")</f>
        <v>Mar</v>
      </c>
      <c r="R1758">
        <f>MONTH(order_data[[#This Row],[Order_Date]])</f>
        <v>3</v>
      </c>
    </row>
    <row r="1759" spans="1:18" x14ac:dyDescent="0.35">
      <c r="A1759" t="s">
        <v>2535</v>
      </c>
      <c r="B1759" t="s">
        <v>305</v>
      </c>
      <c r="C1759" t="s">
        <v>849</v>
      </c>
      <c r="D1759" t="s">
        <v>16</v>
      </c>
      <c r="E1759" t="s">
        <v>17</v>
      </c>
      <c r="F1759" t="s">
        <v>18</v>
      </c>
      <c r="G1759" t="s">
        <v>28</v>
      </c>
      <c r="H1759">
        <v>353</v>
      </c>
      <c r="I1759">
        <v>40</v>
      </c>
      <c r="J1759">
        <v>30</v>
      </c>
      <c r="K1759" t="s">
        <v>29</v>
      </c>
      <c r="L1759">
        <v>47</v>
      </c>
      <c r="M1759" t="s">
        <v>21</v>
      </c>
      <c r="N1759">
        <f>COUNTIF(order_data[Order_ID],order_data[[#This Row],[Order_ID]])</f>
        <v>1</v>
      </c>
      <c r="O1759">
        <f>order_data[[#This Row],[Order_Value]]-order_data[[#This Row],[Discount]]</f>
        <v>323</v>
      </c>
      <c r="P1759">
        <f>order_data[[#This Row],[Order_Value]]+order_data[[#This Row],[Delivery_Fee]]-order_data[[#This Row],[Discount]]</f>
        <v>363</v>
      </c>
      <c r="Q1759" t="str">
        <f>TEXT(order_data[[#This Row],[Order_Date]],"mmm")</f>
        <v>Jan</v>
      </c>
      <c r="R1759">
        <f>MONTH(order_data[[#This Row],[Order_Date]])</f>
        <v>1</v>
      </c>
    </row>
    <row r="1760" spans="1:18" x14ac:dyDescent="0.35">
      <c r="A1760" t="s">
        <v>2536</v>
      </c>
      <c r="B1760" t="s">
        <v>368</v>
      </c>
      <c r="C1760" t="s">
        <v>1149</v>
      </c>
      <c r="D1760" t="s">
        <v>16</v>
      </c>
      <c r="E1760" t="s">
        <v>89</v>
      </c>
      <c r="F1760" t="s">
        <v>18</v>
      </c>
      <c r="G1760" t="s">
        <v>74</v>
      </c>
      <c r="H1760">
        <v>728</v>
      </c>
      <c r="I1760">
        <v>20</v>
      </c>
      <c r="J1760">
        <v>30</v>
      </c>
      <c r="K1760" t="s">
        <v>20</v>
      </c>
      <c r="L1760">
        <v>34</v>
      </c>
      <c r="M1760" t="s">
        <v>21</v>
      </c>
      <c r="N1760">
        <f>COUNTIF(order_data[Order_ID],order_data[[#This Row],[Order_ID]])</f>
        <v>1</v>
      </c>
      <c r="O1760">
        <f>order_data[[#This Row],[Order_Value]]-order_data[[#This Row],[Discount]]</f>
        <v>698</v>
      </c>
      <c r="P1760">
        <f>order_data[[#This Row],[Order_Value]]+order_data[[#This Row],[Delivery_Fee]]-order_data[[#This Row],[Discount]]</f>
        <v>718</v>
      </c>
      <c r="Q1760" t="str">
        <f>TEXT(order_data[[#This Row],[Order_Date]],"mmm")</f>
        <v>Feb</v>
      </c>
      <c r="R1760">
        <f>MONTH(order_data[[#This Row],[Order_Date]])</f>
        <v>2</v>
      </c>
    </row>
    <row r="1761" spans="1:18" x14ac:dyDescent="0.35">
      <c r="A1761" t="s">
        <v>2537</v>
      </c>
      <c r="B1761" t="s">
        <v>280</v>
      </c>
      <c r="C1761" t="s">
        <v>242</v>
      </c>
      <c r="D1761" t="s">
        <v>53</v>
      </c>
      <c r="E1761" t="s">
        <v>84</v>
      </c>
      <c r="F1761" t="s">
        <v>85</v>
      </c>
      <c r="G1761" t="s">
        <v>63</v>
      </c>
      <c r="H1761">
        <v>236</v>
      </c>
      <c r="I1761">
        <v>40</v>
      </c>
      <c r="J1761">
        <v>20</v>
      </c>
      <c r="K1761" t="s">
        <v>20</v>
      </c>
      <c r="L1761">
        <v>31</v>
      </c>
      <c r="M1761" t="s">
        <v>21</v>
      </c>
      <c r="N1761">
        <f>COUNTIF(order_data[Order_ID],order_data[[#This Row],[Order_ID]])</f>
        <v>1</v>
      </c>
      <c r="O1761">
        <f>order_data[[#This Row],[Order_Value]]-order_data[[#This Row],[Discount]]</f>
        <v>216</v>
      </c>
      <c r="P1761">
        <f>order_data[[#This Row],[Order_Value]]+order_data[[#This Row],[Delivery_Fee]]-order_data[[#This Row],[Discount]]</f>
        <v>256</v>
      </c>
      <c r="Q1761" t="str">
        <f>TEXT(order_data[[#This Row],[Order_Date]],"mmm")</f>
        <v>Jan</v>
      </c>
      <c r="R1761">
        <f>MONTH(order_data[[#This Row],[Order_Date]])</f>
        <v>1</v>
      </c>
    </row>
    <row r="1762" spans="1:18" x14ac:dyDescent="0.35">
      <c r="A1762" t="s">
        <v>2538</v>
      </c>
      <c r="B1762" t="s">
        <v>295</v>
      </c>
      <c r="C1762" t="s">
        <v>2539</v>
      </c>
      <c r="D1762" t="s">
        <v>46</v>
      </c>
      <c r="E1762" t="s">
        <v>47</v>
      </c>
      <c r="F1762" t="s">
        <v>48</v>
      </c>
      <c r="G1762" t="s">
        <v>107</v>
      </c>
      <c r="H1762">
        <v>634</v>
      </c>
      <c r="I1762">
        <v>30</v>
      </c>
      <c r="J1762">
        <v>20</v>
      </c>
      <c r="K1762" t="s">
        <v>36</v>
      </c>
      <c r="L1762">
        <v>41</v>
      </c>
      <c r="M1762" t="s">
        <v>21</v>
      </c>
      <c r="N1762">
        <f>COUNTIF(order_data[Order_ID],order_data[[#This Row],[Order_ID]])</f>
        <v>1</v>
      </c>
      <c r="O1762">
        <f>order_data[[#This Row],[Order_Value]]-order_data[[#This Row],[Discount]]</f>
        <v>614</v>
      </c>
      <c r="P1762">
        <f>order_data[[#This Row],[Order_Value]]+order_data[[#This Row],[Delivery_Fee]]-order_data[[#This Row],[Discount]]</f>
        <v>644</v>
      </c>
      <c r="Q1762" t="str">
        <f>TEXT(order_data[[#This Row],[Order_Date]],"mmm")</f>
        <v>Jan</v>
      </c>
      <c r="R1762">
        <f>MONTH(order_data[[#This Row],[Order_Date]])</f>
        <v>1</v>
      </c>
    </row>
    <row r="1763" spans="1:18" x14ac:dyDescent="0.35">
      <c r="A1763" t="s">
        <v>2540</v>
      </c>
      <c r="B1763" t="s">
        <v>473</v>
      </c>
      <c r="C1763" t="s">
        <v>1495</v>
      </c>
      <c r="D1763" t="s">
        <v>53</v>
      </c>
      <c r="E1763" t="s">
        <v>84</v>
      </c>
      <c r="F1763" t="s">
        <v>85</v>
      </c>
      <c r="G1763" t="s">
        <v>19</v>
      </c>
      <c r="H1763">
        <v>555</v>
      </c>
      <c r="I1763">
        <v>30</v>
      </c>
      <c r="J1763">
        <v>100</v>
      </c>
      <c r="K1763" t="s">
        <v>20</v>
      </c>
      <c r="L1763">
        <v>52</v>
      </c>
      <c r="M1763" t="s">
        <v>30</v>
      </c>
      <c r="N1763">
        <f>COUNTIF(order_data[Order_ID],order_data[[#This Row],[Order_ID]])</f>
        <v>1</v>
      </c>
      <c r="O1763">
        <f>order_data[[#This Row],[Order_Value]]-order_data[[#This Row],[Discount]]</f>
        <v>455</v>
      </c>
      <c r="P1763">
        <f>order_data[[#This Row],[Order_Value]]+order_data[[#This Row],[Delivery_Fee]]-order_data[[#This Row],[Discount]]</f>
        <v>485</v>
      </c>
      <c r="Q1763" t="str">
        <f>TEXT(order_data[[#This Row],[Order_Date]],"mmm")</f>
        <v>Mar</v>
      </c>
      <c r="R1763">
        <f>MONTH(order_data[[#This Row],[Order_Date]])</f>
        <v>3</v>
      </c>
    </row>
    <row r="1764" spans="1:18" x14ac:dyDescent="0.35">
      <c r="A1764" t="s">
        <v>2541</v>
      </c>
      <c r="B1764" t="s">
        <v>91</v>
      </c>
      <c r="C1764" t="s">
        <v>2542</v>
      </c>
      <c r="D1764" t="s">
        <v>40</v>
      </c>
      <c r="E1764" t="s">
        <v>67</v>
      </c>
      <c r="F1764" t="s">
        <v>48</v>
      </c>
      <c r="G1764" t="s">
        <v>107</v>
      </c>
      <c r="H1764">
        <v>204</v>
      </c>
      <c r="I1764">
        <v>40</v>
      </c>
      <c r="J1764">
        <v>20</v>
      </c>
      <c r="K1764" t="s">
        <v>29</v>
      </c>
      <c r="L1764">
        <v>54</v>
      </c>
      <c r="M1764" t="s">
        <v>21</v>
      </c>
      <c r="N1764">
        <f>COUNTIF(order_data[Order_ID],order_data[[#This Row],[Order_ID]])</f>
        <v>1</v>
      </c>
      <c r="O1764">
        <f>order_data[[#This Row],[Order_Value]]-order_data[[#This Row],[Discount]]</f>
        <v>184</v>
      </c>
      <c r="P1764">
        <f>order_data[[#This Row],[Order_Value]]+order_data[[#This Row],[Delivery_Fee]]-order_data[[#This Row],[Discount]]</f>
        <v>224</v>
      </c>
      <c r="Q1764" t="str">
        <f>TEXT(order_data[[#This Row],[Order_Date]],"mmm")</f>
        <v>Mar</v>
      </c>
      <c r="R1764">
        <f>MONTH(order_data[[#This Row],[Order_Date]])</f>
        <v>3</v>
      </c>
    </row>
    <row r="1765" spans="1:18" x14ac:dyDescent="0.35">
      <c r="A1765" t="s">
        <v>2543</v>
      </c>
      <c r="B1765" t="s">
        <v>486</v>
      </c>
      <c r="C1765" t="s">
        <v>1539</v>
      </c>
      <c r="D1765" t="s">
        <v>46</v>
      </c>
      <c r="E1765" t="s">
        <v>148</v>
      </c>
      <c r="F1765" t="s">
        <v>27</v>
      </c>
      <c r="G1765" t="s">
        <v>59</v>
      </c>
      <c r="H1765">
        <v>184</v>
      </c>
      <c r="I1765">
        <v>50</v>
      </c>
      <c r="J1765">
        <v>100</v>
      </c>
      <c r="K1765" t="s">
        <v>36</v>
      </c>
      <c r="L1765">
        <v>49</v>
      </c>
      <c r="M1765" t="s">
        <v>21</v>
      </c>
      <c r="N1765">
        <f>COUNTIF(order_data[Order_ID],order_data[[#This Row],[Order_ID]])</f>
        <v>1</v>
      </c>
      <c r="O1765">
        <f>order_data[[#This Row],[Order_Value]]-order_data[[#This Row],[Discount]]</f>
        <v>84</v>
      </c>
      <c r="P1765">
        <f>order_data[[#This Row],[Order_Value]]+order_data[[#This Row],[Delivery_Fee]]-order_data[[#This Row],[Discount]]</f>
        <v>134</v>
      </c>
      <c r="Q1765" t="str">
        <f>TEXT(order_data[[#This Row],[Order_Date]],"mmm")</f>
        <v>Jan</v>
      </c>
      <c r="R1765">
        <f>MONTH(order_data[[#This Row],[Order_Date]])</f>
        <v>1</v>
      </c>
    </row>
    <row r="1766" spans="1:18" x14ac:dyDescent="0.35">
      <c r="A1766" t="s">
        <v>2544</v>
      </c>
      <c r="B1766" t="s">
        <v>167</v>
      </c>
      <c r="C1766" t="s">
        <v>737</v>
      </c>
      <c r="D1766" t="s">
        <v>25</v>
      </c>
      <c r="E1766" t="s">
        <v>78</v>
      </c>
      <c r="F1766" t="s">
        <v>48</v>
      </c>
      <c r="G1766" t="s">
        <v>63</v>
      </c>
      <c r="H1766">
        <v>567</v>
      </c>
      <c r="I1766">
        <v>30</v>
      </c>
      <c r="J1766">
        <v>20</v>
      </c>
      <c r="K1766" t="s">
        <v>29</v>
      </c>
      <c r="L1766">
        <v>22</v>
      </c>
      <c r="M1766" t="s">
        <v>21</v>
      </c>
      <c r="N1766">
        <f>COUNTIF(order_data[Order_ID],order_data[[#This Row],[Order_ID]])</f>
        <v>1</v>
      </c>
      <c r="O1766">
        <f>order_data[[#This Row],[Order_Value]]-order_data[[#This Row],[Discount]]</f>
        <v>547</v>
      </c>
      <c r="P1766">
        <f>order_data[[#This Row],[Order_Value]]+order_data[[#This Row],[Delivery_Fee]]-order_data[[#This Row],[Discount]]</f>
        <v>577</v>
      </c>
      <c r="Q1766" t="str">
        <f>TEXT(order_data[[#This Row],[Order_Date]],"mmm")</f>
        <v>Feb</v>
      </c>
      <c r="R1766">
        <f>MONTH(order_data[[#This Row],[Order_Date]])</f>
        <v>2</v>
      </c>
    </row>
    <row r="1767" spans="1:18" x14ac:dyDescent="0.35">
      <c r="A1767" t="s">
        <v>2545</v>
      </c>
      <c r="B1767" t="s">
        <v>580</v>
      </c>
      <c r="C1767" t="s">
        <v>1514</v>
      </c>
      <c r="D1767" t="s">
        <v>16</v>
      </c>
      <c r="E1767" t="s">
        <v>131</v>
      </c>
      <c r="F1767" t="s">
        <v>55</v>
      </c>
      <c r="G1767" t="s">
        <v>49</v>
      </c>
      <c r="H1767">
        <v>430</v>
      </c>
      <c r="I1767">
        <v>30</v>
      </c>
      <c r="J1767">
        <v>100</v>
      </c>
      <c r="K1767" t="s">
        <v>29</v>
      </c>
      <c r="L1767">
        <v>30</v>
      </c>
      <c r="M1767" t="s">
        <v>21</v>
      </c>
      <c r="N1767">
        <f>COUNTIF(order_data[Order_ID],order_data[[#This Row],[Order_ID]])</f>
        <v>1</v>
      </c>
      <c r="O1767">
        <f>order_data[[#This Row],[Order_Value]]-order_data[[#This Row],[Discount]]</f>
        <v>330</v>
      </c>
      <c r="P1767">
        <f>order_data[[#This Row],[Order_Value]]+order_data[[#This Row],[Delivery_Fee]]-order_data[[#This Row],[Discount]]</f>
        <v>360</v>
      </c>
      <c r="Q1767" t="str">
        <f>TEXT(order_data[[#This Row],[Order_Date]],"mmm")</f>
        <v>Mar</v>
      </c>
      <c r="R1767">
        <f>MONTH(order_data[[#This Row],[Order_Date]])</f>
        <v>3</v>
      </c>
    </row>
    <row r="1768" spans="1:18" x14ac:dyDescent="0.35">
      <c r="A1768" t="s">
        <v>2546</v>
      </c>
      <c r="B1768" t="s">
        <v>365</v>
      </c>
      <c r="C1768" t="s">
        <v>1855</v>
      </c>
      <c r="D1768" t="s">
        <v>16</v>
      </c>
      <c r="E1768" t="s">
        <v>89</v>
      </c>
      <c r="F1768" t="s">
        <v>18</v>
      </c>
      <c r="G1768" t="s">
        <v>107</v>
      </c>
      <c r="H1768">
        <v>320</v>
      </c>
      <c r="I1768">
        <v>20</v>
      </c>
      <c r="J1768">
        <v>30</v>
      </c>
      <c r="K1768" t="s">
        <v>36</v>
      </c>
      <c r="L1768">
        <v>32</v>
      </c>
      <c r="M1768" t="s">
        <v>21</v>
      </c>
      <c r="N1768">
        <f>COUNTIF(order_data[Order_ID],order_data[[#This Row],[Order_ID]])</f>
        <v>1</v>
      </c>
      <c r="O1768">
        <f>order_data[[#This Row],[Order_Value]]-order_data[[#This Row],[Discount]]</f>
        <v>290</v>
      </c>
      <c r="P1768">
        <f>order_data[[#This Row],[Order_Value]]+order_data[[#This Row],[Delivery_Fee]]-order_data[[#This Row],[Discount]]</f>
        <v>310</v>
      </c>
      <c r="Q1768" t="str">
        <f>TEXT(order_data[[#This Row],[Order_Date]],"mmm")</f>
        <v>Jan</v>
      </c>
      <c r="R1768">
        <f>MONTH(order_data[[#This Row],[Order_Date]])</f>
        <v>1</v>
      </c>
    </row>
    <row r="1769" spans="1:18" x14ac:dyDescent="0.35">
      <c r="A1769" t="s">
        <v>2547</v>
      </c>
      <c r="B1769" t="s">
        <v>69</v>
      </c>
      <c r="C1769" t="s">
        <v>172</v>
      </c>
      <c r="D1769" t="s">
        <v>53</v>
      </c>
      <c r="E1769" t="s">
        <v>152</v>
      </c>
      <c r="F1769" t="s">
        <v>18</v>
      </c>
      <c r="G1769" t="s">
        <v>107</v>
      </c>
      <c r="H1769">
        <v>687</v>
      </c>
      <c r="I1769">
        <v>40</v>
      </c>
      <c r="J1769">
        <v>50</v>
      </c>
      <c r="K1769" t="s">
        <v>36</v>
      </c>
      <c r="L1769">
        <v>31</v>
      </c>
      <c r="M1769" t="s">
        <v>21</v>
      </c>
      <c r="N1769">
        <f>COUNTIF(order_data[Order_ID],order_data[[#This Row],[Order_ID]])</f>
        <v>1</v>
      </c>
      <c r="O1769">
        <f>order_data[[#This Row],[Order_Value]]-order_data[[#This Row],[Discount]]</f>
        <v>637</v>
      </c>
      <c r="P1769">
        <f>order_data[[#This Row],[Order_Value]]+order_data[[#This Row],[Delivery_Fee]]-order_data[[#This Row],[Discount]]</f>
        <v>677</v>
      </c>
      <c r="Q1769" t="str">
        <f>TEXT(order_data[[#This Row],[Order_Date]],"mmm")</f>
        <v>Feb</v>
      </c>
      <c r="R1769">
        <f>MONTH(order_data[[#This Row],[Order_Date]])</f>
        <v>2</v>
      </c>
    </row>
    <row r="1770" spans="1:18" x14ac:dyDescent="0.35">
      <c r="A1770" t="s">
        <v>2548</v>
      </c>
      <c r="B1770" t="s">
        <v>305</v>
      </c>
      <c r="C1770" t="s">
        <v>2549</v>
      </c>
      <c r="D1770" t="s">
        <v>46</v>
      </c>
      <c r="E1770" t="s">
        <v>47</v>
      </c>
      <c r="F1770" t="s">
        <v>48</v>
      </c>
      <c r="G1770" t="s">
        <v>74</v>
      </c>
      <c r="H1770">
        <v>346</v>
      </c>
      <c r="I1770">
        <v>20</v>
      </c>
      <c r="J1770">
        <v>20</v>
      </c>
      <c r="K1770" t="s">
        <v>29</v>
      </c>
      <c r="L1770">
        <v>41</v>
      </c>
      <c r="M1770" t="s">
        <v>21</v>
      </c>
      <c r="N1770">
        <f>COUNTIF(order_data[Order_ID],order_data[[#This Row],[Order_ID]])</f>
        <v>1</v>
      </c>
      <c r="O1770">
        <f>order_data[[#This Row],[Order_Value]]-order_data[[#This Row],[Discount]]</f>
        <v>326</v>
      </c>
      <c r="P1770">
        <f>order_data[[#This Row],[Order_Value]]+order_data[[#This Row],[Delivery_Fee]]-order_data[[#This Row],[Discount]]</f>
        <v>346</v>
      </c>
      <c r="Q1770" t="str">
        <f>TEXT(order_data[[#This Row],[Order_Date]],"mmm")</f>
        <v>Jan</v>
      </c>
      <c r="R1770">
        <f>MONTH(order_data[[#This Row],[Order_Date]])</f>
        <v>1</v>
      </c>
    </row>
    <row r="1771" spans="1:18" x14ac:dyDescent="0.35">
      <c r="A1771" t="s">
        <v>2550</v>
      </c>
      <c r="B1771" t="s">
        <v>65</v>
      </c>
      <c r="C1771" t="s">
        <v>467</v>
      </c>
      <c r="D1771" t="s">
        <v>46</v>
      </c>
      <c r="E1771" t="s">
        <v>148</v>
      </c>
      <c r="F1771" t="s">
        <v>27</v>
      </c>
      <c r="G1771" t="s">
        <v>35</v>
      </c>
      <c r="H1771">
        <v>710</v>
      </c>
      <c r="I1771">
        <v>20</v>
      </c>
      <c r="J1771">
        <v>20</v>
      </c>
      <c r="K1771" t="s">
        <v>20</v>
      </c>
      <c r="L1771">
        <v>57</v>
      </c>
      <c r="M1771" t="s">
        <v>21</v>
      </c>
      <c r="N1771">
        <f>COUNTIF(order_data[Order_ID],order_data[[#This Row],[Order_ID]])</f>
        <v>1</v>
      </c>
      <c r="O1771">
        <f>order_data[[#This Row],[Order_Value]]-order_data[[#This Row],[Discount]]</f>
        <v>690</v>
      </c>
      <c r="P1771">
        <f>order_data[[#This Row],[Order_Value]]+order_data[[#This Row],[Delivery_Fee]]-order_data[[#This Row],[Discount]]</f>
        <v>710</v>
      </c>
      <c r="Q1771" t="str">
        <f>TEXT(order_data[[#This Row],[Order_Date]],"mmm")</f>
        <v>Mar</v>
      </c>
      <c r="R1771">
        <f>MONTH(order_data[[#This Row],[Order_Date]])</f>
        <v>3</v>
      </c>
    </row>
    <row r="1772" spans="1:18" x14ac:dyDescent="0.35">
      <c r="A1772" t="s">
        <v>2551</v>
      </c>
      <c r="B1772" t="s">
        <v>218</v>
      </c>
      <c r="C1772" t="s">
        <v>1085</v>
      </c>
      <c r="D1772" t="s">
        <v>25</v>
      </c>
      <c r="E1772" t="s">
        <v>26</v>
      </c>
      <c r="F1772" t="s">
        <v>27</v>
      </c>
      <c r="G1772" t="s">
        <v>42</v>
      </c>
      <c r="H1772">
        <v>218</v>
      </c>
      <c r="I1772">
        <v>40</v>
      </c>
      <c r="J1772">
        <v>0</v>
      </c>
      <c r="K1772" t="s">
        <v>20</v>
      </c>
      <c r="L1772">
        <v>56</v>
      </c>
      <c r="M1772" t="s">
        <v>21</v>
      </c>
      <c r="N1772">
        <f>COUNTIF(order_data[Order_ID],order_data[[#This Row],[Order_ID]])</f>
        <v>1</v>
      </c>
      <c r="O1772">
        <f>order_data[[#This Row],[Order_Value]]-order_data[[#This Row],[Discount]]</f>
        <v>218</v>
      </c>
      <c r="P1772">
        <f>order_data[[#This Row],[Order_Value]]+order_data[[#This Row],[Delivery_Fee]]-order_data[[#This Row],[Discount]]</f>
        <v>258</v>
      </c>
      <c r="Q1772" t="str">
        <f>TEXT(order_data[[#This Row],[Order_Date]],"mmm")</f>
        <v>Feb</v>
      </c>
      <c r="R1772">
        <f>MONTH(order_data[[#This Row],[Order_Date]])</f>
        <v>2</v>
      </c>
    </row>
    <row r="1773" spans="1:18" x14ac:dyDescent="0.35">
      <c r="A1773" t="s">
        <v>2552</v>
      </c>
      <c r="B1773" t="s">
        <v>186</v>
      </c>
      <c r="C1773" t="s">
        <v>351</v>
      </c>
      <c r="D1773" t="s">
        <v>53</v>
      </c>
      <c r="E1773" t="s">
        <v>54</v>
      </c>
      <c r="F1773" t="s">
        <v>55</v>
      </c>
      <c r="G1773" t="s">
        <v>28</v>
      </c>
      <c r="H1773">
        <v>437</v>
      </c>
      <c r="I1773">
        <v>20</v>
      </c>
      <c r="J1773">
        <v>0</v>
      </c>
      <c r="K1773" t="s">
        <v>29</v>
      </c>
      <c r="L1773">
        <v>36</v>
      </c>
      <c r="M1773" t="s">
        <v>21</v>
      </c>
      <c r="N1773">
        <f>COUNTIF(order_data[Order_ID],order_data[[#This Row],[Order_ID]])</f>
        <v>1</v>
      </c>
      <c r="O1773">
        <f>order_data[[#This Row],[Order_Value]]-order_data[[#This Row],[Discount]]</f>
        <v>437</v>
      </c>
      <c r="P1773">
        <f>order_data[[#This Row],[Order_Value]]+order_data[[#This Row],[Delivery_Fee]]-order_data[[#This Row],[Discount]]</f>
        <v>457</v>
      </c>
      <c r="Q1773" t="str">
        <f>TEXT(order_data[[#This Row],[Order_Date]],"mmm")</f>
        <v>Mar</v>
      </c>
      <c r="R1773">
        <f>MONTH(order_data[[#This Row],[Order_Date]])</f>
        <v>3</v>
      </c>
    </row>
    <row r="1774" spans="1:18" x14ac:dyDescent="0.35">
      <c r="A1774" t="s">
        <v>2553</v>
      </c>
      <c r="B1774" t="s">
        <v>192</v>
      </c>
      <c r="C1774" t="s">
        <v>2554</v>
      </c>
      <c r="D1774" t="s">
        <v>53</v>
      </c>
      <c r="E1774" t="s">
        <v>152</v>
      </c>
      <c r="F1774" t="s">
        <v>18</v>
      </c>
      <c r="G1774" t="s">
        <v>107</v>
      </c>
      <c r="H1774">
        <v>244</v>
      </c>
      <c r="I1774">
        <v>40</v>
      </c>
      <c r="J1774">
        <v>50</v>
      </c>
      <c r="K1774" t="s">
        <v>29</v>
      </c>
      <c r="L1774">
        <v>52</v>
      </c>
      <c r="M1774" t="s">
        <v>30</v>
      </c>
      <c r="N1774">
        <f>COUNTIF(order_data[Order_ID],order_data[[#This Row],[Order_ID]])</f>
        <v>1</v>
      </c>
      <c r="O1774">
        <f>order_data[[#This Row],[Order_Value]]-order_data[[#This Row],[Discount]]</f>
        <v>194</v>
      </c>
      <c r="P1774">
        <f>order_data[[#This Row],[Order_Value]]+order_data[[#This Row],[Delivery_Fee]]-order_data[[#This Row],[Discount]]</f>
        <v>234</v>
      </c>
      <c r="Q1774" t="str">
        <f>TEXT(order_data[[#This Row],[Order_Date]],"mmm")</f>
        <v>Mar</v>
      </c>
      <c r="R1774">
        <f>MONTH(order_data[[#This Row],[Order_Date]])</f>
        <v>3</v>
      </c>
    </row>
    <row r="1775" spans="1:18" x14ac:dyDescent="0.35">
      <c r="A1775" t="s">
        <v>2555</v>
      </c>
      <c r="B1775" t="s">
        <v>583</v>
      </c>
      <c r="C1775" t="s">
        <v>1774</v>
      </c>
      <c r="D1775" t="s">
        <v>46</v>
      </c>
      <c r="E1775" t="s">
        <v>148</v>
      </c>
      <c r="F1775" t="s">
        <v>27</v>
      </c>
      <c r="G1775" t="s">
        <v>176</v>
      </c>
      <c r="H1775">
        <v>668</v>
      </c>
      <c r="I1775">
        <v>40</v>
      </c>
      <c r="J1775">
        <v>30</v>
      </c>
      <c r="K1775" t="s">
        <v>36</v>
      </c>
      <c r="L1775">
        <v>37</v>
      </c>
      <c r="M1775" t="s">
        <v>21</v>
      </c>
      <c r="N1775">
        <f>COUNTIF(order_data[Order_ID],order_data[[#This Row],[Order_ID]])</f>
        <v>1</v>
      </c>
      <c r="O1775">
        <f>order_data[[#This Row],[Order_Value]]-order_data[[#This Row],[Discount]]</f>
        <v>638</v>
      </c>
      <c r="P1775">
        <f>order_data[[#This Row],[Order_Value]]+order_data[[#This Row],[Delivery_Fee]]-order_data[[#This Row],[Discount]]</f>
        <v>678</v>
      </c>
      <c r="Q1775" t="str">
        <f>TEXT(order_data[[#This Row],[Order_Date]],"mmm")</f>
        <v>Jan</v>
      </c>
      <c r="R1775">
        <f>MONTH(order_data[[#This Row],[Order_Date]])</f>
        <v>1</v>
      </c>
    </row>
    <row r="1776" spans="1:18" x14ac:dyDescent="0.35">
      <c r="A1776" t="s">
        <v>2556</v>
      </c>
      <c r="B1776" t="s">
        <v>526</v>
      </c>
      <c r="C1776" t="s">
        <v>1413</v>
      </c>
      <c r="D1776" t="s">
        <v>16</v>
      </c>
      <c r="E1776" t="s">
        <v>17</v>
      </c>
      <c r="F1776" t="s">
        <v>18</v>
      </c>
      <c r="G1776" t="s">
        <v>28</v>
      </c>
      <c r="H1776">
        <v>663</v>
      </c>
      <c r="I1776">
        <v>50</v>
      </c>
      <c r="J1776">
        <v>20</v>
      </c>
      <c r="K1776" t="s">
        <v>20</v>
      </c>
      <c r="L1776">
        <v>35</v>
      </c>
      <c r="M1776" t="s">
        <v>21</v>
      </c>
      <c r="N1776">
        <f>COUNTIF(order_data[Order_ID],order_data[[#This Row],[Order_ID]])</f>
        <v>1</v>
      </c>
      <c r="O1776">
        <f>order_data[[#This Row],[Order_Value]]-order_data[[#This Row],[Discount]]</f>
        <v>643</v>
      </c>
      <c r="P1776">
        <f>order_data[[#This Row],[Order_Value]]+order_data[[#This Row],[Delivery_Fee]]-order_data[[#This Row],[Discount]]</f>
        <v>693</v>
      </c>
      <c r="Q1776" t="str">
        <f>TEXT(order_data[[#This Row],[Order_Date]],"mmm")</f>
        <v>Jan</v>
      </c>
      <c r="R1776">
        <f>MONTH(order_data[[#This Row],[Order_Date]])</f>
        <v>1</v>
      </c>
    </row>
    <row r="1777" spans="1:18" x14ac:dyDescent="0.35">
      <c r="A1777" t="s">
        <v>2557</v>
      </c>
      <c r="B1777" t="s">
        <v>109</v>
      </c>
      <c r="C1777" t="s">
        <v>960</v>
      </c>
      <c r="D1777" t="s">
        <v>53</v>
      </c>
      <c r="E1777" t="s">
        <v>84</v>
      </c>
      <c r="F1777" t="s">
        <v>85</v>
      </c>
      <c r="G1777" t="s">
        <v>42</v>
      </c>
      <c r="H1777">
        <v>505</v>
      </c>
      <c r="I1777">
        <v>20</v>
      </c>
      <c r="J1777">
        <v>30</v>
      </c>
      <c r="K1777" t="s">
        <v>20</v>
      </c>
      <c r="L1777">
        <v>34</v>
      </c>
      <c r="M1777" t="s">
        <v>21</v>
      </c>
      <c r="N1777">
        <f>COUNTIF(order_data[Order_ID],order_data[[#This Row],[Order_ID]])</f>
        <v>1</v>
      </c>
      <c r="O1777">
        <f>order_data[[#This Row],[Order_Value]]-order_data[[#This Row],[Discount]]</f>
        <v>475</v>
      </c>
      <c r="P1777">
        <f>order_data[[#This Row],[Order_Value]]+order_data[[#This Row],[Delivery_Fee]]-order_data[[#This Row],[Discount]]</f>
        <v>495</v>
      </c>
      <c r="Q1777" t="str">
        <f>TEXT(order_data[[#This Row],[Order_Date]],"mmm")</f>
        <v>Jan</v>
      </c>
      <c r="R1777">
        <f>MONTH(order_data[[#This Row],[Order_Date]])</f>
        <v>1</v>
      </c>
    </row>
    <row r="1778" spans="1:18" x14ac:dyDescent="0.35">
      <c r="A1778" t="s">
        <v>2558</v>
      </c>
      <c r="B1778" t="s">
        <v>38</v>
      </c>
      <c r="C1778" t="s">
        <v>604</v>
      </c>
      <c r="D1778" t="s">
        <v>16</v>
      </c>
      <c r="E1778" t="s">
        <v>89</v>
      </c>
      <c r="F1778" t="s">
        <v>18</v>
      </c>
      <c r="G1778" t="s">
        <v>107</v>
      </c>
      <c r="H1778">
        <v>792</v>
      </c>
      <c r="I1778">
        <v>20</v>
      </c>
      <c r="J1778">
        <v>50</v>
      </c>
      <c r="K1778" t="s">
        <v>36</v>
      </c>
      <c r="L1778">
        <v>21</v>
      </c>
      <c r="M1778" t="s">
        <v>21</v>
      </c>
      <c r="N1778">
        <f>COUNTIF(order_data[Order_ID],order_data[[#This Row],[Order_ID]])</f>
        <v>1</v>
      </c>
      <c r="O1778">
        <f>order_data[[#This Row],[Order_Value]]-order_data[[#This Row],[Discount]]</f>
        <v>742</v>
      </c>
      <c r="P1778">
        <f>order_data[[#This Row],[Order_Value]]+order_data[[#This Row],[Delivery_Fee]]-order_data[[#This Row],[Discount]]</f>
        <v>762</v>
      </c>
      <c r="Q1778" t="str">
        <f>TEXT(order_data[[#This Row],[Order_Date]],"mmm")</f>
        <v>Jan</v>
      </c>
      <c r="R1778">
        <f>MONTH(order_data[[#This Row],[Order_Date]])</f>
        <v>1</v>
      </c>
    </row>
    <row r="1779" spans="1:18" x14ac:dyDescent="0.35">
      <c r="A1779" t="s">
        <v>2559</v>
      </c>
      <c r="B1779" t="s">
        <v>192</v>
      </c>
      <c r="C1779" t="s">
        <v>1273</v>
      </c>
      <c r="D1779" t="s">
        <v>40</v>
      </c>
      <c r="E1779" t="s">
        <v>41</v>
      </c>
      <c r="F1779" t="s">
        <v>27</v>
      </c>
      <c r="G1779" t="s">
        <v>74</v>
      </c>
      <c r="H1779">
        <v>629</v>
      </c>
      <c r="I1779">
        <v>30</v>
      </c>
      <c r="J1779">
        <v>0</v>
      </c>
      <c r="K1779" t="s">
        <v>36</v>
      </c>
      <c r="L1779">
        <v>28</v>
      </c>
      <c r="M1779" t="s">
        <v>21</v>
      </c>
      <c r="N1779">
        <f>COUNTIF(order_data[Order_ID],order_data[[#This Row],[Order_ID]])</f>
        <v>1</v>
      </c>
      <c r="O1779">
        <f>order_data[[#This Row],[Order_Value]]-order_data[[#This Row],[Discount]]</f>
        <v>629</v>
      </c>
      <c r="P1779">
        <f>order_data[[#This Row],[Order_Value]]+order_data[[#This Row],[Delivery_Fee]]-order_data[[#This Row],[Discount]]</f>
        <v>659</v>
      </c>
      <c r="Q1779" t="str">
        <f>TEXT(order_data[[#This Row],[Order_Date]],"mmm")</f>
        <v>Mar</v>
      </c>
      <c r="R1779">
        <f>MONTH(order_data[[#This Row],[Order_Date]])</f>
        <v>3</v>
      </c>
    </row>
    <row r="1780" spans="1:18" x14ac:dyDescent="0.35">
      <c r="A1780" t="s">
        <v>2560</v>
      </c>
      <c r="B1780" t="s">
        <v>413</v>
      </c>
      <c r="C1780" t="s">
        <v>1037</v>
      </c>
      <c r="D1780" t="s">
        <v>16</v>
      </c>
      <c r="E1780" t="s">
        <v>89</v>
      </c>
      <c r="F1780" t="s">
        <v>18</v>
      </c>
      <c r="G1780" t="s">
        <v>35</v>
      </c>
      <c r="H1780">
        <v>665</v>
      </c>
      <c r="I1780">
        <v>40</v>
      </c>
      <c r="J1780">
        <v>50</v>
      </c>
      <c r="K1780" t="s">
        <v>20</v>
      </c>
      <c r="L1780">
        <v>39</v>
      </c>
      <c r="M1780" t="s">
        <v>21</v>
      </c>
      <c r="N1780">
        <f>COUNTIF(order_data[Order_ID],order_data[[#This Row],[Order_ID]])</f>
        <v>1</v>
      </c>
      <c r="O1780">
        <f>order_data[[#This Row],[Order_Value]]-order_data[[#This Row],[Discount]]</f>
        <v>615</v>
      </c>
      <c r="P1780">
        <f>order_data[[#This Row],[Order_Value]]+order_data[[#This Row],[Delivery_Fee]]-order_data[[#This Row],[Discount]]</f>
        <v>655</v>
      </c>
      <c r="Q1780" t="str">
        <f>TEXT(order_data[[#This Row],[Order_Date]],"mmm")</f>
        <v>Mar</v>
      </c>
      <c r="R1780">
        <f>MONTH(order_data[[#This Row],[Order_Date]])</f>
        <v>3</v>
      </c>
    </row>
    <row r="1781" spans="1:18" x14ac:dyDescent="0.35">
      <c r="A1781" t="s">
        <v>2561</v>
      </c>
      <c r="B1781" t="s">
        <v>541</v>
      </c>
      <c r="C1781" t="s">
        <v>2460</v>
      </c>
      <c r="D1781" t="s">
        <v>25</v>
      </c>
      <c r="E1781" t="s">
        <v>34</v>
      </c>
      <c r="F1781" t="s">
        <v>27</v>
      </c>
      <c r="G1781" t="s">
        <v>74</v>
      </c>
      <c r="H1781">
        <v>706</v>
      </c>
      <c r="I1781">
        <v>40</v>
      </c>
      <c r="J1781">
        <v>30</v>
      </c>
      <c r="K1781" t="s">
        <v>36</v>
      </c>
      <c r="L1781">
        <v>30</v>
      </c>
      <c r="M1781" t="s">
        <v>21</v>
      </c>
      <c r="N1781">
        <f>COUNTIF(order_data[Order_ID],order_data[[#This Row],[Order_ID]])</f>
        <v>1</v>
      </c>
      <c r="O1781">
        <f>order_data[[#This Row],[Order_Value]]-order_data[[#This Row],[Discount]]</f>
        <v>676</v>
      </c>
      <c r="P1781">
        <f>order_data[[#This Row],[Order_Value]]+order_data[[#This Row],[Delivery_Fee]]-order_data[[#This Row],[Discount]]</f>
        <v>716</v>
      </c>
      <c r="Q1781" t="str">
        <f>TEXT(order_data[[#This Row],[Order_Date]],"mmm")</f>
        <v>Jan</v>
      </c>
      <c r="R1781">
        <f>MONTH(order_data[[#This Row],[Order_Date]])</f>
        <v>1</v>
      </c>
    </row>
    <row r="1782" spans="1:18" x14ac:dyDescent="0.35">
      <c r="A1782" t="s">
        <v>2562</v>
      </c>
      <c r="B1782" t="s">
        <v>310</v>
      </c>
      <c r="C1782" t="s">
        <v>578</v>
      </c>
      <c r="D1782" t="s">
        <v>46</v>
      </c>
      <c r="E1782" t="s">
        <v>148</v>
      </c>
      <c r="F1782" t="s">
        <v>27</v>
      </c>
      <c r="G1782" t="s">
        <v>19</v>
      </c>
      <c r="H1782">
        <v>483</v>
      </c>
      <c r="I1782">
        <v>20</v>
      </c>
      <c r="J1782">
        <v>30</v>
      </c>
      <c r="K1782" t="s">
        <v>29</v>
      </c>
      <c r="L1782">
        <v>24</v>
      </c>
      <c r="M1782" t="s">
        <v>21</v>
      </c>
      <c r="N1782">
        <f>COUNTIF(order_data[Order_ID],order_data[[#This Row],[Order_ID]])</f>
        <v>1</v>
      </c>
      <c r="O1782">
        <f>order_data[[#This Row],[Order_Value]]-order_data[[#This Row],[Discount]]</f>
        <v>453</v>
      </c>
      <c r="P1782">
        <f>order_data[[#This Row],[Order_Value]]+order_data[[#This Row],[Delivery_Fee]]-order_data[[#This Row],[Discount]]</f>
        <v>473</v>
      </c>
      <c r="Q1782" t="str">
        <f>TEXT(order_data[[#This Row],[Order_Date]],"mmm")</f>
        <v>Feb</v>
      </c>
      <c r="R1782">
        <f>MONTH(order_data[[#This Row],[Order_Date]])</f>
        <v>2</v>
      </c>
    </row>
    <row r="1783" spans="1:18" x14ac:dyDescent="0.35">
      <c r="A1783" t="s">
        <v>2563</v>
      </c>
      <c r="B1783" t="s">
        <v>247</v>
      </c>
      <c r="C1783" t="s">
        <v>1016</v>
      </c>
      <c r="D1783" t="s">
        <v>16</v>
      </c>
      <c r="E1783" t="s">
        <v>17</v>
      </c>
      <c r="F1783" t="s">
        <v>18</v>
      </c>
      <c r="G1783" t="s">
        <v>176</v>
      </c>
      <c r="H1783">
        <v>407</v>
      </c>
      <c r="I1783">
        <v>20</v>
      </c>
      <c r="J1783">
        <v>50</v>
      </c>
      <c r="K1783" t="s">
        <v>29</v>
      </c>
      <c r="L1783">
        <v>40</v>
      </c>
      <c r="M1783" t="s">
        <v>21</v>
      </c>
      <c r="N1783">
        <f>COUNTIF(order_data[Order_ID],order_data[[#This Row],[Order_ID]])</f>
        <v>1</v>
      </c>
      <c r="O1783">
        <f>order_data[[#This Row],[Order_Value]]-order_data[[#This Row],[Discount]]</f>
        <v>357</v>
      </c>
      <c r="P1783">
        <f>order_data[[#This Row],[Order_Value]]+order_data[[#This Row],[Delivery_Fee]]-order_data[[#This Row],[Discount]]</f>
        <v>377</v>
      </c>
      <c r="Q1783" t="str">
        <f>TEXT(order_data[[#This Row],[Order_Date]],"mmm")</f>
        <v>Mar</v>
      </c>
      <c r="R1783">
        <f>MONTH(order_data[[#This Row],[Order_Date]])</f>
        <v>3</v>
      </c>
    </row>
    <row r="1784" spans="1:18" x14ac:dyDescent="0.35">
      <c r="A1784" t="s">
        <v>2564</v>
      </c>
      <c r="B1784" t="s">
        <v>329</v>
      </c>
      <c r="C1784" t="s">
        <v>1959</v>
      </c>
      <c r="D1784" t="s">
        <v>40</v>
      </c>
      <c r="E1784" t="s">
        <v>67</v>
      </c>
      <c r="F1784" t="s">
        <v>48</v>
      </c>
      <c r="G1784" t="s">
        <v>28</v>
      </c>
      <c r="H1784">
        <v>178</v>
      </c>
      <c r="I1784">
        <v>40</v>
      </c>
      <c r="J1784">
        <v>30</v>
      </c>
      <c r="K1784" t="s">
        <v>29</v>
      </c>
      <c r="L1784">
        <v>32</v>
      </c>
      <c r="M1784" t="s">
        <v>21</v>
      </c>
      <c r="N1784">
        <f>COUNTIF(order_data[Order_ID],order_data[[#This Row],[Order_ID]])</f>
        <v>1</v>
      </c>
      <c r="O1784">
        <f>order_data[[#This Row],[Order_Value]]-order_data[[#This Row],[Discount]]</f>
        <v>148</v>
      </c>
      <c r="P1784">
        <f>order_data[[#This Row],[Order_Value]]+order_data[[#This Row],[Delivery_Fee]]-order_data[[#This Row],[Discount]]</f>
        <v>188</v>
      </c>
      <c r="Q1784" t="str">
        <f>TEXT(order_data[[#This Row],[Order_Date]],"mmm")</f>
        <v>Mar</v>
      </c>
      <c r="R1784">
        <f>MONTH(order_data[[#This Row],[Order_Date]])</f>
        <v>3</v>
      </c>
    </row>
    <row r="1785" spans="1:18" x14ac:dyDescent="0.35">
      <c r="A1785" t="s">
        <v>2565</v>
      </c>
      <c r="B1785" t="s">
        <v>126</v>
      </c>
      <c r="C1785" t="s">
        <v>399</v>
      </c>
      <c r="D1785" t="s">
        <v>25</v>
      </c>
      <c r="E1785" t="s">
        <v>26</v>
      </c>
      <c r="F1785" t="s">
        <v>27</v>
      </c>
      <c r="G1785" t="s">
        <v>19</v>
      </c>
      <c r="H1785">
        <v>272</v>
      </c>
      <c r="I1785">
        <v>50</v>
      </c>
      <c r="J1785">
        <v>50</v>
      </c>
      <c r="K1785" t="s">
        <v>20</v>
      </c>
      <c r="L1785">
        <v>33</v>
      </c>
      <c r="M1785" t="s">
        <v>21</v>
      </c>
      <c r="N1785">
        <f>COUNTIF(order_data[Order_ID],order_data[[#This Row],[Order_ID]])</f>
        <v>1</v>
      </c>
      <c r="O1785">
        <f>order_data[[#This Row],[Order_Value]]-order_data[[#This Row],[Discount]]</f>
        <v>222</v>
      </c>
      <c r="P1785">
        <f>order_data[[#This Row],[Order_Value]]+order_data[[#This Row],[Delivery_Fee]]-order_data[[#This Row],[Discount]]</f>
        <v>272</v>
      </c>
      <c r="Q1785" t="str">
        <f>TEXT(order_data[[#This Row],[Order_Date]],"mmm")</f>
        <v>Mar</v>
      </c>
      <c r="R1785">
        <f>MONTH(order_data[[#This Row],[Order_Date]])</f>
        <v>3</v>
      </c>
    </row>
    <row r="1786" spans="1:18" x14ac:dyDescent="0.35">
      <c r="A1786" t="s">
        <v>2566</v>
      </c>
      <c r="B1786" t="s">
        <v>14</v>
      </c>
      <c r="C1786" t="s">
        <v>2539</v>
      </c>
      <c r="D1786" t="s">
        <v>53</v>
      </c>
      <c r="E1786" t="s">
        <v>84</v>
      </c>
      <c r="F1786" t="s">
        <v>85</v>
      </c>
      <c r="G1786" t="s">
        <v>176</v>
      </c>
      <c r="H1786">
        <v>672</v>
      </c>
      <c r="I1786">
        <v>40</v>
      </c>
      <c r="J1786">
        <v>50</v>
      </c>
      <c r="K1786" t="s">
        <v>20</v>
      </c>
      <c r="L1786">
        <v>22</v>
      </c>
      <c r="M1786" t="s">
        <v>21</v>
      </c>
      <c r="N1786">
        <f>COUNTIF(order_data[Order_ID],order_data[[#This Row],[Order_ID]])</f>
        <v>1</v>
      </c>
      <c r="O1786">
        <f>order_data[[#This Row],[Order_Value]]-order_data[[#This Row],[Discount]]</f>
        <v>622</v>
      </c>
      <c r="P1786">
        <f>order_data[[#This Row],[Order_Value]]+order_data[[#This Row],[Delivery_Fee]]-order_data[[#This Row],[Discount]]</f>
        <v>662</v>
      </c>
      <c r="Q1786" t="str">
        <f>TEXT(order_data[[#This Row],[Order_Date]],"mmm")</f>
        <v>Mar</v>
      </c>
      <c r="R1786">
        <f>MONTH(order_data[[#This Row],[Order_Date]])</f>
        <v>3</v>
      </c>
    </row>
    <row r="1787" spans="1:18" x14ac:dyDescent="0.35">
      <c r="A1787" t="s">
        <v>2567</v>
      </c>
      <c r="B1787" t="s">
        <v>600</v>
      </c>
      <c r="C1787" t="s">
        <v>1532</v>
      </c>
      <c r="D1787" t="s">
        <v>25</v>
      </c>
      <c r="E1787" t="s">
        <v>34</v>
      </c>
      <c r="F1787" t="s">
        <v>27</v>
      </c>
      <c r="G1787" t="s">
        <v>63</v>
      </c>
      <c r="H1787">
        <v>667</v>
      </c>
      <c r="I1787">
        <v>40</v>
      </c>
      <c r="J1787">
        <v>50</v>
      </c>
      <c r="K1787" t="s">
        <v>20</v>
      </c>
      <c r="L1787">
        <v>31</v>
      </c>
      <c r="M1787" t="s">
        <v>21</v>
      </c>
      <c r="N1787">
        <f>COUNTIF(order_data[Order_ID],order_data[[#This Row],[Order_ID]])</f>
        <v>1</v>
      </c>
      <c r="O1787">
        <f>order_data[[#This Row],[Order_Value]]-order_data[[#This Row],[Discount]]</f>
        <v>617</v>
      </c>
      <c r="P1787">
        <f>order_data[[#This Row],[Order_Value]]+order_data[[#This Row],[Delivery_Fee]]-order_data[[#This Row],[Discount]]</f>
        <v>657</v>
      </c>
      <c r="Q1787" t="str">
        <f>TEXT(order_data[[#This Row],[Order_Date]],"mmm")</f>
        <v>Mar</v>
      </c>
      <c r="R1787">
        <f>MONTH(order_data[[#This Row],[Order_Date]])</f>
        <v>3</v>
      </c>
    </row>
    <row r="1788" spans="1:18" x14ac:dyDescent="0.35">
      <c r="A1788" t="s">
        <v>2568</v>
      </c>
      <c r="B1788" t="s">
        <v>99</v>
      </c>
      <c r="C1788" t="s">
        <v>423</v>
      </c>
      <c r="D1788" t="s">
        <v>53</v>
      </c>
      <c r="E1788" t="s">
        <v>84</v>
      </c>
      <c r="F1788" t="s">
        <v>85</v>
      </c>
      <c r="G1788" t="s">
        <v>28</v>
      </c>
      <c r="H1788">
        <v>676</v>
      </c>
      <c r="I1788">
        <v>50</v>
      </c>
      <c r="J1788">
        <v>50</v>
      </c>
      <c r="K1788" t="s">
        <v>29</v>
      </c>
      <c r="L1788">
        <v>36</v>
      </c>
      <c r="M1788" t="s">
        <v>21</v>
      </c>
      <c r="N1788">
        <f>COUNTIF(order_data[Order_ID],order_data[[#This Row],[Order_ID]])</f>
        <v>1</v>
      </c>
      <c r="O1788">
        <f>order_data[[#This Row],[Order_Value]]-order_data[[#This Row],[Discount]]</f>
        <v>626</v>
      </c>
      <c r="P1788">
        <f>order_data[[#This Row],[Order_Value]]+order_data[[#This Row],[Delivery_Fee]]-order_data[[#This Row],[Discount]]</f>
        <v>676</v>
      </c>
      <c r="Q1788" t="str">
        <f>TEXT(order_data[[#This Row],[Order_Date]],"mmm")</f>
        <v>Mar</v>
      </c>
      <c r="R1788">
        <f>MONTH(order_data[[#This Row],[Order_Date]])</f>
        <v>3</v>
      </c>
    </row>
    <row r="1789" spans="1:18" x14ac:dyDescent="0.35">
      <c r="A1789" t="s">
        <v>2569</v>
      </c>
      <c r="B1789" t="s">
        <v>486</v>
      </c>
      <c r="C1789" t="s">
        <v>1675</v>
      </c>
      <c r="D1789" t="s">
        <v>16</v>
      </c>
      <c r="E1789" t="s">
        <v>17</v>
      </c>
      <c r="F1789" t="s">
        <v>18</v>
      </c>
      <c r="G1789" t="s">
        <v>28</v>
      </c>
      <c r="H1789">
        <v>666</v>
      </c>
      <c r="I1789">
        <v>30</v>
      </c>
      <c r="J1789">
        <v>0</v>
      </c>
      <c r="K1789" t="s">
        <v>36</v>
      </c>
      <c r="L1789">
        <v>56</v>
      </c>
      <c r="M1789" t="s">
        <v>21</v>
      </c>
      <c r="N1789">
        <f>COUNTIF(order_data[Order_ID],order_data[[#This Row],[Order_ID]])</f>
        <v>1</v>
      </c>
      <c r="O1789">
        <f>order_data[[#This Row],[Order_Value]]-order_data[[#This Row],[Discount]]</f>
        <v>666</v>
      </c>
      <c r="P1789">
        <f>order_data[[#This Row],[Order_Value]]+order_data[[#This Row],[Delivery_Fee]]-order_data[[#This Row],[Discount]]</f>
        <v>696</v>
      </c>
      <c r="Q1789" t="str">
        <f>TEXT(order_data[[#This Row],[Order_Date]],"mmm")</f>
        <v>Jan</v>
      </c>
      <c r="R1789">
        <f>MONTH(order_data[[#This Row],[Order_Date]])</f>
        <v>1</v>
      </c>
    </row>
    <row r="1790" spans="1:18" x14ac:dyDescent="0.35">
      <c r="A1790" t="s">
        <v>2570</v>
      </c>
      <c r="B1790" t="s">
        <v>189</v>
      </c>
      <c r="C1790" t="s">
        <v>684</v>
      </c>
      <c r="D1790" t="s">
        <v>53</v>
      </c>
      <c r="E1790" t="s">
        <v>152</v>
      </c>
      <c r="F1790" t="s">
        <v>18</v>
      </c>
      <c r="G1790" t="s">
        <v>74</v>
      </c>
      <c r="H1790">
        <v>439</v>
      </c>
      <c r="I1790">
        <v>30</v>
      </c>
      <c r="J1790">
        <v>0</v>
      </c>
      <c r="K1790" t="s">
        <v>29</v>
      </c>
      <c r="L1790">
        <v>47</v>
      </c>
      <c r="M1790" t="s">
        <v>21</v>
      </c>
      <c r="N1790">
        <f>COUNTIF(order_data[Order_ID],order_data[[#This Row],[Order_ID]])</f>
        <v>1</v>
      </c>
      <c r="O1790">
        <f>order_data[[#This Row],[Order_Value]]-order_data[[#This Row],[Discount]]</f>
        <v>439</v>
      </c>
      <c r="P1790">
        <f>order_data[[#This Row],[Order_Value]]+order_data[[#This Row],[Delivery_Fee]]-order_data[[#This Row],[Discount]]</f>
        <v>469</v>
      </c>
      <c r="Q1790" t="str">
        <f>TEXT(order_data[[#This Row],[Order_Date]],"mmm")</f>
        <v>Feb</v>
      </c>
      <c r="R1790">
        <f>MONTH(order_data[[#This Row],[Order_Date]])</f>
        <v>2</v>
      </c>
    </row>
    <row r="1791" spans="1:18" x14ac:dyDescent="0.35">
      <c r="A1791" t="s">
        <v>2571</v>
      </c>
      <c r="B1791" t="s">
        <v>562</v>
      </c>
      <c r="C1791" t="s">
        <v>2424</v>
      </c>
      <c r="D1791" t="s">
        <v>25</v>
      </c>
      <c r="E1791" t="s">
        <v>26</v>
      </c>
      <c r="F1791" t="s">
        <v>27</v>
      </c>
      <c r="G1791" t="s">
        <v>74</v>
      </c>
      <c r="H1791">
        <v>664</v>
      </c>
      <c r="I1791">
        <v>50</v>
      </c>
      <c r="J1791">
        <v>100</v>
      </c>
      <c r="K1791" t="s">
        <v>20</v>
      </c>
      <c r="L1791">
        <v>58</v>
      </c>
      <c r="M1791" t="s">
        <v>21</v>
      </c>
      <c r="N1791">
        <f>COUNTIF(order_data[Order_ID],order_data[[#This Row],[Order_ID]])</f>
        <v>1</v>
      </c>
      <c r="O1791">
        <f>order_data[[#This Row],[Order_Value]]-order_data[[#This Row],[Discount]]</f>
        <v>564</v>
      </c>
      <c r="P1791">
        <f>order_data[[#This Row],[Order_Value]]+order_data[[#This Row],[Delivery_Fee]]-order_data[[#This Row],[Discount]]</f>
        <v>614</v>
      </c>
      <c r="Q1791" t="str">
        <f>TEXT(order_data[[#This Row],[Order_Date]],"mmm")</f>
        <v>Feb</v>
      </c>
      <c r="R1791">
        <f>MONTH(order_data[[#This Row],[Order_Date]])</f>
        <v>2</v>
      </c>
    </row>
    <row r="1792" spans="1:18" x14ac:dyDescent="0.35">
      <c r="A1792" t="s">
        <v>2572</v>
      </c>
      <c r="B1792" t="s">
        <v>44</v>
      </c>
      <c r="C1792" t="s">
        <v>797</v>
      </c>
      <c r="D1792" t="s">
        <v>16</v>
      </c>
      <c r="E1792" t="s">
        <v>89</v>
      </c>
      <c r="F1792" t="s">
        <v>18</v>
      </c>
      <c r="G1792" t="s">
        <v>59</v>
      </c>
      <c r="H1792">
        <v>701</v>
      </c>
      <c r="I1792">
        <v>20</v>
      </c>
      <c r="J1792">
        <v>20</v>
      </c>
      <c r="K1792" t="s">
        <v>36</v>
      </c>
      <c r="L1792">
        <v>54</v>
      </c>
      <c r="M1792" t="s">
        <v>21</v>
      </c>
      <c r="N1792">
        <f>COUNTIF(order_data[Order_ID],order_data[[#This Row],[Order_ID]])</f>
        <v>1</v>
      </c>
      <c r="O1792">
        <f>order_data[[#This Row],[Order_Value]]-order_data[[#This Row],[Discount]]</f>
        <v>681</v>
      </c>
      <c r="P1792">
        <f>order_data[[#This Row],[Order_Value]]+order_data[[#This Row],[Delivery_Fee]]-order_data[[#This Row],[Discount]]</f>
        <v>701</v>
      </c>
      <c r="Q1792" t="str">
        <f>TEXT(order_data[[#This Row],[Order_Date]],"mmm")</f>
        <v>Jan</v>
      </c>
      <c r="R1792">
        <f>MONTH(order_data[[#This Row],[Order_Date]])</f>
        <v>1</v>
      </c>
    </row>
    <row r="1793" spans="1:18" x14ac:dyDescent="0.35">
      <c r="A1793" t="s">
        <v>2573</v>
      </c>
      <c r="B1793" t="s">
        <v>44</v>
      </c>
      <c r="C1793" t="s">
        <v>926</v>
      </c>
      <c r="D1793" t="s">
        <v>25</v>
      </c>
      <c r="E1793" t="s">
        <v>26</v>
      </c>
      <c r="F1793" t="s">
        <v>27</v>
      </c>
      <c r="G1793" t="s">
        <v>107</v>
      </c>
      <c r="H1793">
        <v>460</v>
      </c>
      <c r="I1793">
        <v>50</v>
      </c>
      <c r="J1793">
        <v>0</v>
      </c>
      <c r="K1793" t="s">
        <v>36</v>
      </c>
      <c r="L1793">
        <v>57</v>
      </c>
      <c r="M1793" t="s">
        <v>21</v>
      </c>
      <c r="N1793">
        <f>COUNTIF(order_data[Order_ID],order_data[[#This Row],[Order_ID]])</f>
        <v>1</v>
      </c>
      <c r="O1793">
        <f>order_data[[#This Row],[Order_Value]]-order_data[[#This Row],[Discount]]</f>
        <v>460</v>
      </c>
      <c r="P1793">
        <f>order_data[[#This Row],[Order_Value]]+order_data[[#This Row],[Delivery_Fee]]-order_data[[#This Row],[Discount]]</f>
        <v>510</v>
      </c>
      <c r="Q1793" t="str">
        <f>TEXT(order_data[[#This Row],[Order_Date]],"mmm")</f>
        <v>Jan</v>
      </c>
      <c r="R1793">
        <f>MONTH(order_data[[#This Row],[Order_Date]])</f>
        <v>1</v>
      </c>
    </row>
    <row r="1794" spans="1:18" x14ac:dyDescent="0.35">
      <c r="A1794" t="s">
        <v>2574</v>
      </c>
      <c r="B1794" t="s">
        <v>167</v>
      </c>
      <c r="C1794" t="s">
        <v>1166</v>
      </c>
      <c r="D1794" t="s">
        <v>53</v>
      </c>
      <c r="E1794" t="s">
        <v>54</v>
      </c>
      <c r="F1794" t="s">
        <v>55</v>
      </c>
      <c r="G1794" t="s">
        <v>42</v>
      </c>
      <c r="H1794">
        <v>721</v>
      </c>
      <c r="I1794">
        <v>40</v>
      </c>
      <c r="J1794">
        <v>0</v>
      </c>
      <c r="K1794" t="s">
        <v>36</v>
      </c>
      <c r="L1794">
        <v>25</v>
      </c>
      <c r="M1794" t="s">
        <v>21</v>
      </c>
      <c r="N1794">
        <f>COUNTIF(order_data[Order_ID],order_data[[#This Row],[Order_ID]])</f>
        <v>1</v>
      </c>
      <c r="O1794">
        <f>order_data[[#This Row],[Order_Value]]-order_data[[#This Row],[Discount]]</f>
        <v>721</v>
      </c>
      <c r="P1794">
        <f>order_data[[#This Row],[Order_Value]]+order_data[[#This Row],[Delivery_Fee]]-order_data[[#This Row],[Discount]]</f>
        <v>761</v>
      </c>
      <c r="Q1794" t="str">
        <f>TEXT(order_data[[#This Row],[Order_Date]],"mmm")</f>
        <v>Feb</v>
      </c>
      <c r="R1794">
        <f>MONTH(order_data[[#This Row],[Order_Date]])</f>
        <v>2</v>
      </c>
    </row>
    <row r="1795" spans="1:18" x14ac:dyDescent="0.35">
      <c r="A1795" t="s">
        <v>2575</v>
      </c>
      <c r="B1795" t="s">
        <v>213</v>
      </c>
      <c r="C1795" t="s">
        <v>465</v>
      </c>
      <c r="D1795" t="s">
        <v>25</v>
      </c>
      <c r="E1795" t="s">
        <v>26</v>
      </c>
      <c r="F1795" t="s">
        <v>27</v>
      </c>
      <c r="G1795" t="s">
        <v>107</v>
      </c>
      <c r="H1795">
        <v>308</v>
      </c>
      <c r="I1795">
        <v>40</v>
      </c>
      <c r="J1795">
        <v>0</v>
      </c>
      <c r="K1795" t="s">
        <v>36</v>
      </c>
      <c r="L1795">
        <v>23</v>
      </c>
      <c r="M1795" t="s">
        <v>21</v>
      </c>
      <c r="N1795">
        <f>COUNTIF(order_data[Order_ID],order_data[[#This Row],[Order_ID]])</f>
        <v>1</v>
      </c>
      <c r="O1795">
        <f>order_data[[#This Row],[Order_Value]]-order_data[[#This Row],[Discount]]</f>
        <v>308</v>
      </c>
      <c r="P1795">
        <f>order_data[[#This Row],[Order_Value]]+order_data[[#This Row],[Delivery_Fee]]-order_data[[#This Row],[Discount]]</f>
        <v>348</v>
      </c>
      <c r="Q1795" t="str">
        <f>TEXT(order_data[[#This Row],[Order_Date]],"mmm")</f>
        <v>Jan</v>
      </c>
      <c r="R1795">
        <f>MONTH(order_data[[#This Row],[Order_Date]])</f>
        <v>1</v>
      </c>
    </row>
    <row r="1796" spans="1:18" x14ac:dyDescent="0.35">
      <c r="A1796" t="s">
        <v>2576</v>
      </c>
      <c r="B1796" t="s">
        <v>118</v>
      </c>
      <c r="C1796" t="s">
        <v>1368</v>
      </c>
      <c r="D1796" t="s">
        <v>53</v>
      </c>
      <c r="E1796" t="s">
        <v>84</v>
      </c>
      <c r="F1796" t="s">
        <v>85</v>
      </c>
      <c r="G1796" t="s">
        <v>19</v>
      </c>
      <c r="H1796">
        <v>636</v>
      </c>
      <c r="I1796">
        <v>50</v>
      </c>
      <c r="J1796">
        <v>50</v>
      </c>
      <c r="K1796" t="s">
        <v>29</v>
      </c>
      <c r="L1796">
        <v>28</v>
      </c>
      <c r="M1796" t="s">
        <v>21</v>
      </c>
      <c r="N1796">
        <f>COUNTIF(order_data[Order_ID],order_data[[#This Row],[Order_ID]])</f>
        <v>1</v>
      </c>
      <c r="O1796">
        <f>order_data[[#This Row],[Order_Value]]-order_data[[#This Row],[Discount]]</f>
        <v>586</v>
      </c>
      <c r="P1796">
        <f>order_data[[#This Row],[Order_Value]]+order_data[[#This Row],[Delivery_Fee]]-order_data[[#This Row],[Discount]]</f>
        <v>636</v>
      </c>
      <c r="Q1796" t="str">
        <f>TEXT(order_data[[#This Row],[Order_Date]],"mmm")</f>
        <v>Mar</v>
      </c>
      <c r="R1796">
        <f>MONTH(order_data[[#This Row],[Order_Date]])</f>
        <v>3</v>
      </c>
    </row>
    <row r="1797" spans="1:18" x14ac:dyDescent="0.35">
      <c r="A1797" t="s">
        <v>2577</v>
      </c>
      <c r="B1797" t="s">
        <v>129</v>
      </c>
      <c r="C1797" t="s">
        <v>745</v>
      </c>
      <c r="D1797" t="s">
        <v>46</v>
      </c>
      <c r="E1797" t="s">
        <v>47</v>
      </c>
      <c r="F1797" t="s">
        <v>48</v>
      </c>
      <c r="G1797" t="s">
        <v>42</v>
      </c>
      <c r="H1797">
        <v>789</v>
      </c>
      <c r="I1797">
        <v>20</v>
      </c>
      <c r="J1797">
        <v>50</v>
      </c>
      <c r="K1797" t="s">
        <v>20</v>
      </c>
      <c r="L1797">
        <v>55</v>
      </c>
      <c r="M1797" t="s">
        <v>21</v>
      </c>
      <c r="N1797">
        <f>COUNTIF(order_data[Order_ID],order_data[[#This Row],[Order_ID]])</f>
        <v>1</v>
      </c>
      <c r="O1797">
        <f>order_data[[#This Row],[Order_Value]]-order_data[[#This Row],[Discount]]</f>
        <v>739</v>
      </c>
      <c r="P1797">
        <f>order_data[[#This Row],[Order_Value]]+order_data[[#This Row],[Delivery_Fee]]-order_data[[#This Row],[Discount]]</f>
        <v>759</v>
      </c>
      <c r="Q1797" t="str">
        <f>TEXT(order_data[[#This Row],[Order_Date]],"mmm")</f>
        <v>Feb</v>
      </c>
      <c r="R1797">
        <f>MONTH(order_data[[#This Row],[Order_Date]])</f>
        <v>2</v>
      </c>
    </row>
    <row r="1798" spans="1:18" x14ac:dyDescent="0.35">
      <c r="A1798" t="s">
        <v>2578</v>
      </c>
      <c r="B1798" t="s">
        <v>600</v>
      </c>
      <c r="C1798" t="s">
        <v>457</v>
      </c>
      <c r="D1798" t="s">
        <v>40</v>
      </c>
      <c r="E1798" t="s">
        <v>67</v>
      </c>
      <c r="F1798" t="s">
        <v>48</v>
      </c>
      <c r="G1798" t="s">
        <v>35</v>
      </c>
      <c r="H1798">
        <v>589</v>
      </c>
      <c r="I1798">
        <v>50</v>
      </c>
      <c r="J1798">
        <v>50</v>
      </c>
      <c r="K1798" t="s">
        <v>36</v>
      </c>
      <c r="L1798">
        <v>32</v>
      </c>
      <c r="M1798" t="s">
        <v>21</v>
      </c>
      <c r="N1798">
        <f>COUNTIF(order_data[Order_ID],order_data[[#This Row],[Order_ID]])</f>
        <v>1</v>
      </c>
      <c r="O1798">
        <f>order_data[[#This Row],[Order_Value]]-order_data[[#This Row],[Discount]]</f>
        <v>539</v>
      </c>
      <c r="P1798">
        <f>order_data[[#This Row],[Order_Value]]+order_data[[#This Row],[Delivery_Fee]]-order_data[[#This Row],[Discount]]</f>
        <v>589</v>
      </c>
      <c r="Q1798" t="str">
        <f>TEXT(order_data[[#This Row],[Order_Date]],"mmm")</f>
        <v>Mar</v>
      </c>
      <c r="R1798">
        <f>MONTH(order_data[[#This Row],[Order_Date]])</f>
        <v>3</v>
      </c>
    </row>
    <row r="1799" spans="1:18" x14ac:dyDescent="0.35">
      <c r="A1799" t="s">
        <v>2579</v>
      </c>
      <c r="B1799" t="s">
        <v>205</v>
      </c>
      <c r="C1799" t="s">
        <v>1051</v>
      </c>
      <c r="D1799" t="s">
        <v>40</v>
      </c>
      <c r="E1799" t="s">
        <v>111</v>
      </c>
      <c r="F1799" t="s">
        <v>18</v>
      </c>
      <c r="G1799" t="s">
        <v>176</v>
      </c>
      <c r="H1799">
        <v>309</v>
      </c>
      <c r="I1799">
        <v>20</v>
      </c>
      <c r="J1799">
        <v>20</v>
      </c>
      <c r="K1799" t="s">
        <v>29</v>
      </c>
      <c r="L1799">
        <v>29</v>
      </c>
      <c r="M1799" t="s">
        <v>21</v>
      </c>
      <c r="N1799">
        <f>COUNTIF(order_data[Order_ID],order_data[[#This Row],[Order_ID]])</f>
        <v>1</v>
      </c>
      <c r="O1799">
        <f>order_data[[#This Row],[Order_Value]]-order_data[[#This Row],[Discount]]</f>
        <v>289</v>
      </c>
      <c r="P1799">
        <f>order_data[[#This Row],[Order_Value]]+order_data[[#This Row],[Delivery_Fee]]-order_data[[#This Row],[Discount]]</f>
        <v>309</v>
      </c>
      <c r="Q1799" t="str">
        <f>TEXT(order_data[[#This Row],[Order_Date]],"mmm")</f>
        <v>Jan</v>
      </c>
      <c r="R1799">
        <f>MONTH(order_data[[#This Row],[Order_Date]])</f>
        <v>1</v>
      </c>
    </row>
    <row r="1800" spans="1:18" x14ac:dyDescent="0.35">
      <c r="A1800" t="s">
        <v>2580</v>
      </c>
      <c r="B1800" t="s">
        <v>336</v>
      </c>
      <c r="C1800" t="s">
        <v>1450</v>
      </c>
      <c r="D1800" t="s">
        <v>25</v>
      </c>
      <c r="E1800" t="s">
        <v>34</v>
      </c>
      <c r="F1800" t="s">
        <v>27</v>
      </c>
      <c r="G1800" t="s">
        <v>63</v>
      </c>
      <c r="H1800">
        <v>644</v>
      </c>
      <c r="I1800">
        <v>50</v>
      </c>
      <c r="J1800">
        <v>0</v>
      </c>
      <c r="K1800" t="s">
        <v>36</v>
      </c>
      <c r="L1800">
        <v>26</v>
      </c>
      <c r="M1800" t="s">
        <v>21</v>
      </c>
      <c r="N1800">
        <f>COUNTIF(order_data[Order_ID],order_data[[#This Row],[Order_ID]])</f>
        <v>1</v>
      </c>
      <c r="O1800">
        <f>order_data[[#This Row],[Order_Value]]-order_data[[#This Row],[Discount]]</f>
        <v>644</v>
      </c>
      <c r="P1800">
        <f>order_data[[#This Row],[Order_Value]]+order_data[[#This Row],[Delivery_Fee]]-order_data[[#This Row],[Discount]]</f>
        <v>694</v>
      </c>
      <c r="Q1800" t="str">
        <f>TEXT(order_data[[#This Row],[Order_Date]],"mmm")</f>
        <v>Feb</v>
      </c>
      <c r="R1800">
        <f>MONTH(order_data[[#This Row],[Order_Date]])</f>
        <v>2</v>
      </c>
    </row>
    <row r="1801" spans="1:18" x14ac:dyDescent="0.35">
      <c r="A1801" t="s">
        <v>2581</v>
      </c>
      <c r="B1801" t="s">
        <v>80</v>
      </c>
      <c r="C1801" t="s">
        <v>478</v>
      </c>
      <c r="D1801" t="s">
        <v>40</v>
      </c>
      <c r="E1801" t="s">
        <v>41</v>
      </c>
      <c r="F1801" t="s">
        <v>27</v>
      </c>
      <c r="G1801" t="s">
        <v>74</v>
      </c>
      <c r="H1801">
        <v>795</v>
      </c>
      <c r="I1801">
        <v>50</v>
      </c>
      <c r="J1801">
        <v>30</v>
      </c>
      <c r="K1801" t="s">
        <v>20</v>
      </c>
      <c r="L1801">
        <v>28</v>
      </c>
      <c r="M1801" t="s">
        <v>21</v>
      </c>
      <c r="N1801">
        <f>COUNTIF(order_data[Order_ID],order_data[[#This Row],[Order_ID]])</f>
        <v>1</v>
      </c>
      <c r="O1801">
        <f>order_data[[#This Row],[Order_Value]]-order_data[[#This Row],[Discount]]</f>
        <v>765</v>
      </c>
      <c r="P1801">
        <f>order_data[[#This Row],[Order_Value]]+order_data[[#This Row],[Delivery_Fee]]-order_data[[#This Row],[Discount]]</f>
        <v>815</v>
      </c>
      <c r="Q1801" t="str">
        <f>TEXT(order_data[[#This Row],[Order_Date]],"mmm")</f>
        <v>Feb</v>
      </c>
      <c r="R1801">
        <f>MONTH(order_data[[#This Row],[Order_Date]])</f>
        <v>2</v>
      </c>
    </row>
    <row r="1802" spans="1:18" x14ac:dyDescent="0.35">
      <c r="A1802" t="s">
        <v>2582</v>
      </c>
      <c r="B1802" t="s">
        <v>126</v>
      </c>
      <c r="C1802" t="s">
        <v>1133</v>
      </c>
      <c r="D1802" t="s">
        <v>53</v>
      </c>
      <c r="E1802" t="s">
        <v>152</v>
      </c>
      <c r="F1802" t="s">
        <v>18</v>
      </c>
      <c r="G1802" t="s">
        <v>42</v>
      </c>
      <c r="H1802">
        <v>739</v>
      </c>
      <c r="I1802">
        <v>40</v>
      </c>
      <c r="J1802">
        <v>0</v>
      </c>
      <c r="K1802" t="s">
        <v>36</v>
      </c>
      <c r="L1802">
        <v>40</v>
      </c>
      <c r="M1802" t="s">
        <v>21</v>
      </c>
      <c r="N1802">
        <f>COUNTIF(order_data[Order_ID],order_data[[#This Row],[Order_ID]])</f>
        <v>1</v>
      </c>
      <c r="O1802">
        <f>order_data[[#This Row],[Order_Value]]-order_data[[#This Row],[Discount]]</f>
        <v>739</v>
      </c>
      <c r="P1802">
        <f>order_data[[#This Row],[Order_Value]]+order_data[[#This Row],[Delivery_Fee]]-order_data[[#This Row],[Discount]]</f>
        <v>779</v>
      </c>
      <c r="Q1802" t="str">
        <f>TEXT(order_data[[#This Row],[Order_Date]],"mmm")</f>
        <v>Mar</v>
      </c>
      <c r="R1802">
        <f>MONTH(order_data[[#This Row],[Order_Date]])</f>
        <v>3</v>
      </c>
    </row>
    <row r="1803" spans="1:18" x14ac:dyDescent="0.35">
      <c r="A1803" t="s">
        <v>2583</v>
      </c>
      <c r="B1803" t="s">
        <v>252</v>
      </c>
      <c r="C1803" t="s">
        <v>231</v>
      </c>
      <c r="D1803" t="s">
        <v>53</v>
      </c>
      <c r="E1803" t="s">
        <v>54</v>
      </c>
      <c r="F1803" t="s">
        <v>55</v>
      </c>
      <c r="G1803" t="s">
        <v>35</v>
      </c>
      <c r="H1803">
        <v>647</v>
      </c>
      <c r="I1803">
        <v>20</v>
      </c>
      <c r="J1803">
        <v>50</v>
      </c>
      <c r="K1803" t="s">
        <v>36</v>
      </c>
      <c r="L1803">
        <v>55</v>
      </c>
      <c r="M1803" t="s">
        <v>21</v>
      </c>
      <c r="N1803">
        <f>COUNTIF(order_data[Order_ID],order_data[[#This Row],[Order_ID]])</f>
        <v>1</v>
      </c>
      <c r="O1803">
        <f>order_data[[#This Row],[Order_Value]]-order_data[[#This Row],[Discount]]</f>
        <v>597</v>
      </c>
      <c r="P1803">
        <f>order_data[[#This Row],[Order_Value]]+order_data[[#This Row],[Delivery_Fee]]-order_data[[#This Row],[Discount]]</f>
        <v>617</v>
      </c>
      <c r="Q1803" t="str">
        <f>TEXT(order_data[[#This Row],[Order_Date]],"mmm")</f>
        <v>Jan</v>
      </c>
      <c r="R1803">
        <f>MONTH(order_data[[#This Row],[Order_Date]])</f>
        <v>1</v>
      </c>
    </row>
    <row r="1804" spans="1:18" x14ac:dyDescent="0.35">
      <c r="A1804" t="s">
        <v>2584</v>
      </c>
      <c r="B1804" t="s">
        <v>136</v>
      </c>
      <c r="C1804" t="s">
        <v>382</v>
      </c>
      <c r="D1804" t="s">
        <v>46</v>
      </c>
      <c r="E1804" t="s">
        <v>47</v>
      </c>
      <c r="F1804" t="s">
        <v>48</v>
      </c>
      <c r="G1804" t="s">
        <v>74</v>
      </c>
      <c r="H1804">
        <v>792</v>
      </c>
      <c r="I1804">
        <v>50</v>
      </c>
      <c r="J1804">
        <v>30</v>
      </c>
      <c r="K1804" t="s">
        <v>20</v>
      </c>
      <c r="L1804">
        <v>41</v>
      </c>
      <c r="M1804" t="s">
        <v>21</v>
      </c>
      <c r="N1804">
        <f>COUNTIF(order_data[Order_ID],order_data[[#This Row],[Order_ID]])</f>
        <v>1</v>
      </c>
      <c r="O1804">
        <f>order_data[[#This Row],[Order_Value]]-order_data[[#This Row],[Discount]]</f>
        <v>762</v>
      </c>
      <c r="P1804">
        <f>order_data[[#This Row],[Order_Value]]+order_data[[#This Row],[Delivery_Fee]]-order_data[[#This Row],[Discount]]</f>
        <v>812</v>
      </c>
      <c r="Q1804" t="str">
        <f>TEXT(order_data[[#This Row],[Order_Date]],"mmm")</f>
        <v>Feb</v>
      </c>
      <c r="R1804">
        <f>MONTH(order_data[[#This Row],[Order_Date]])</f>
        <v>2</v>
      </c>
    </row>
    <row r="1805" spans="1:18" x14ac:dyDescent="0.35">
      <c r="A1805" t="s">
        <v>2585</v>
      </c>
      <c r="B1805" t="s">
        <v>109</v>
      </c>
      <c r="C1805" t="s">
        <v>506</v>
      </c>
      <c r="D1805" t="s">
        <v>46</v>
      </c>
      <c r="E1805" t="s">
        <v>148</v>
      </c>
      <c r="F1805" t="s">
        <v>27</v>
      </c>
      <c r="G1805" t="s">
        <v>28</v>
      </c>
      <c r="H1805">
        <v>497</v>
      </c>
      <c r="I1805">
        <v>30</v>
      </c>
      <c r="J1805">
        <v>0</v>
      </c>
      <c r="K1805" t="s">
        <v>20</v>
      </c>
      <c r="L1805">
        <v>54</v>
      </c>
      <c r="M1805" t="s">
        <v>21</v>
      </c>
      <c r="N1805">
        <f>COUNTIF(order_data[Order_ID],order_data[[#This Row],[Order_ID]])</f>
        <v>1</v>
      </c>
      <c r="O1805">
        <f>order_data[[#This Row],[Order_Value]]-order_data[[#This Row],[Discount]]</f>
        <v>497</v>
      </c>
      <c r="P1805">
        <f>order_data[[#This Row],[Order_Value]]+order_data[[#This Row],[Delivery_Fee]]-order_data[[#This Row],[Discount]]</f>
        <v>527</v>
      </c>
      <c r="Q1805" t="str">
        <f>TEXT(order_data[[#This Row],[Order_Date]],"mmm")</f>
        <v>Jan</v>
      </c>
      <c r="R1805">
        <f>MONTH(order_data[[#This Row],[Order_Date]])</f>
        <v>1</v>
      </c>
    </row>
    <row r="1806" spans="1:18" x14ac:dyDescent="0.35">
      <c r="A1806" t="s">
        <v>2586</v>
      </c>
      <c r="B1806" t="s">
        <v>267</v>
      </c>
      <c r="C1806" t="s">
        <v>396</v>
      </c>
      <c r="D1806" t="s">
        <v>25</v>
      </c>
      <c r="E1806" t="s">
        <v>34</v>
      </c>
      <c r="F1806" t="s">
        <v>27</v>
      </c>
      <c r="G1806" t="s">
        <v>19</v>
      </c>
      <c r="H1806">
        <v>676</v>
      </c>
      <c r="I1806">
        <v>20</v>
      </c>
      <c r="J1806">
        <v>50</v>
      </c>
      <c r="K1806" t="s">
        <v>20</v>
      </c>
      <c r="L1806">
        <v>47</v>
      </c>
      <c r="M1806" t="s">
        <v>21</v>
      </c>
      <c r="N1806">
        <f>COUNTIF(order_data[Order_ID],order_data[[#This Row],[Order_ID]])</f>
        <v>1</v>
      </c>
      <c r="O1806">
        <f>order_data[[#This Row],[Order_Value]]-order_data[[#This Row],[Discount]]</f>
        <v>626</v>
      </c>
      <c r="P1806">
        <f>order_data[[#This Row],[Order_Value]]+order_data[[#This Row],[Delivery_Fee]]-order_data[[#This Row],[Discount]]</f>
        <v>646</v>
      </c>
      <c r="Q1806" t="str">
        <f>TEXT(order_data[[#This Row],[Order_Date]],"mmm")</f>
        <v>Jan</v>
      </c>
      <c r="R1806">
        <f>MONTH(order_data[[#This Row],[Order_Date]])</f>
        <v>1</v>
      </c>
    </row>
    <row r="1807" spans="1:18" x14ac:dyDescent="0.35">
      <c r="A1807" t="s">
        <v>2587</v>
      </c>
      <c r="B1807" t="s">
        <v>44</v>
      </c>
      <c r="C1807" t="s">
        <v>539</v>
      </c>
      <c r="D1807" t="s">
        <v>53</v>
      </c>
      <c r="E1807" t="s">
        <v>152</v>
      </c>
      <c r="F1807" t="s">
        <v>18</v>
      </c>
      <c r="G1807" t="s">
        <v>74</v>
      </c>
      <c r="H1807">
        <v>609</v>
      </c>
      <c r="I1807">
        <v>30</v>
      </c>
      <c r="J1807">
        <v>50</v>
      </c>
      <c r="K1807" t="s">
        <v>36</v>
      </c>
      <c r="L1807">
        <v>32</v>
      </c>
      <c r="M1807" t="s">
        <v>21</v>
      </c>
      <c r="N1807">
        <f>COUNTIF(order_data[Order_ID],order_data[[#This Row],[Order_ID]])</f>
        <v>1</v>
      </c>
      <c r="O1807">
        <f>order_data[[#This Row],[Order_Value]]-order_data[[#This Row],[Discount]]</f>
        <v>559</v>
      </c>
      <c r="P1807">
        <f>order_data[[#This Row],[Order_Value]]+order_data[[#This Row],[Delivery_Fee]]-order_data[[#This Row],[Discount]]</f>
        <v>589</v>
      </c>
      <c r="Q1807" t="str">
        <f>TEXT(order_data[[#This Row],[Order_Date]],"mmm")</f>
        <v>Jan</v>
      </c>
      <c r="R1807">
        <f>MONTH(order_data[[#This Row],[Order_Date]])</f>
        <v>1</v>
      </c>
    </row>
    <row r="1808" spans="1:18" x14ac:dyDescent="0.35">
      <c r="A1808" t="s">
        <v>2588</v>
      </c>
      <c r="B1808" t="s">
        <v>91</v>
      </c>
      <c r="C1808" t="s">
        <v>401</v>
      </c>
      <c r="D1808" t="s">
        <v>16</v>
      </c>
      <c r="E1808" t="s">
        <v>17</v>
      </c>
      <c r="F1808" t="s">
        <v>18</v>
      </c>
      <c r="G1808" t="s">
        <v>107</v>
      </c>
      <c r="H1808">
        <v>486</v>
      </c>
      <c r="I1808">
        <v>20</v>
      </c>
      <c r="J1808">
        <v>0</v>
      </c>
      <c r="K1808" t="s">
        <v>29</v>
      </c>
      <c r="L1808">
        <v>27</v>
      </c>
      <c r="M1808" t="s">
        <v>21</v>
      </c>
      <c r="N1808">
        <f>COUNTIF(order_data[Order_ID],order_data[[#This Row],[Order_ID]])</f>
        <v>1</v>
      </c>
      <c r="O1808">
        <f>order_data[[#This Row],[Order_Value]]-order_data[[#This Row],[Discount]]</f>
        <v>486</v>
      </c>
      <c r="P1808">
        <f>order_data[[#This Row],[Order_Value]]+order_data[[#This Row],[Delivery_Fee]]-order_data[[#This Row],[Discount]]</f>
        <v>506</v>
      </c>
      <c r="Q1808" t="str">
        <f>TEXT(order_data[[#This Row],[Order_Date]],"mmm")</f>
        <v>Mar</v>
      </c>
      <c r="R1808">
        <f>MONTH(order_data[[#This Row],[Order_Date]])</f>
        <v>3</v>
      </c>
    </row>
    <row r="1809" spans="1:18" x14ac:dyDescent="0.35">
      <c r="A1809" t="s">
        <v>2589</v>
      </c>
      <c r="B1809" t="s">
        <v>368</v>
      </c>
      <c r="C1809" t="s">
        <v>569</v>
      </c>
      <c r="D1809" t="s">
        <v>25</v>
      </c>
      <c r="E1809" t="s">
        <v>34</v>
      </c>
      <c r="F1809" t="s">
        <v>27</v>
      </c>
      <c r="G1809" t="s">
        <v>49</v>
      </c>
      <c r="H1809">
        <v>666</v>
      </c>
      <c r="I1809">
        <v>20</v>
      </c>
      <c r="J1809">
        <v>50</v>
      </c>
      <c r="K1809" t="s">
        <v>29</v>
      </c>
      <c r="L1809">
        <v>34</v>
      </c>
      <c r="M1809" t="s">
        <v>21</v>
      </c>
      <c r="N1809">
        <f>COUNTIF(order_data[Order_ID],order_data[[#This Row],[Order_ID]])</f>
        <v>1</v>
      </c>
      <c r="O1809">
        <f>order_data[[#This Row],[Order_Value]]-order_data[[#This Row],[Discount]]</f>
        <v>616</v>
      </c>
      <c r="P1809">
        <f>order_data[[#This Row],[Order_Value]]+order_data[[#This Row],[Delivery_Fee]]-order_data[[#This Row],[Discount]]</f>
        <v>636</v>
      </c>
      <c r="Q1809" t="str">
        <f>TEXT(order_data[[#This Row],[Order_Date]],"mmm")</f>
        <v>Feb</v>
      </c>
      <c r="R1809">
        <f>MONTH(order_data[[#This Row],[Order_Date]])</f>
        <v>2</v>
      </c>
    </row>
    <row r="1810" spans="1:18" x14ac:dyDescent="0.35">
      <c r="A1810" t="s">
        <v>2590</v>
      </c>
      <c r="B1810" t="s">
        <v>600</v>
      </c>
      <c r="C1810" t="s">
        <v>2397</v>
      </c>
      <c r="D1810" t="s">
        <v>16</v>
      </c>
      <c r="E1810" t="s">
        <v>89</v>
      </c>
      <c r="F1810" t="s">
        <v>18</v>
      </c>
      <c r="G1810" t="s">
        <v>28</v>
      </c>
      <c r="H1810">
        <v>790</v>
      </c>
      <c r="I1810">
        <v>20</v>
      </c>
      <c r="J1810">
        <v>50</v>
      </c>
      <c r="K1810" t="s">
        <v>36</v>
      </c>
      <c r="L1810">
        <v>21</v>
      </c>
      <c r="M1810" t="s">
        <v>21</v>
      </c>
      <c r="N1810">
        <f>COUNTIF(order_data[Order_ID],order_data[[#This Row],[Order_ID]])</f>
        <v>1</v>
      </c>
      <c r="O1810">
        <f>order_data[[#This Row],[Order_Value]]-order_data[[#This Row],[Discount]]</f>
        <v>740</v>
      </c>
      <c r="P1810">
        <f>order_data[[#This Row],[Order_Value]]+order_data[[#This Row],[Delivery_Fee]]-order_data[[#This Row],[Discount]]</f>
        <v>760</v>
      </c>
      <c r="Q1810" t="str">
        <f>TEXT(order_data[[#This Row],[Order_Date]],"mmm")</f>
        <v>Mar</v>
      </c>
      <c r="R1810">
        <f>MONTH(order_data[[#This Row],[Order_Date]])</f>
        <v>3</v>
      </c>
    </row>
    <row r="1811" spans="1:18" x14ac:dyDescent="0.35">
      <c r="A1811" t="s">
        <v>2591</v>
      </c>
      <c r="B1811" t="s">
        <v>105</v>
      </c>
      <c r="C1811" t="s">
        <v>235</v>
      </c>
      <c r="D1811" t="s">
        <v>25</v>
      </c>
      <c r="E1811" t="s">
        <v>34</v>
      </c>
      <c r="F1811" t="s">
        <v>27</v>
      </c>
      <c r="G1811" t="s">
        <v>176</v>
      </c>
      <c r="H1811">
        <v>210</v>
      </c>
      <c r="I1811">
        <v>20</v>
      </c>
      <c r="J1811">
        <v>20</v>
      </c>
      <c r="K1811" t="s">
        <v>29</v>
      </c>
      <c r="L1811">
        <v>45</v>
      </c>
      <c r="M1811" t="s">
        <v>21</v>
      </c>
      <c r="N1811">
        <f>COUNTIF(order_data[Order_ID],order_data[[#This Row],[Order_ID]])</f>
        <v>1</v>
      </c>
      <c r="O1811">
        <f>order_data[[#This Row],[Order_Value]]-order_data[[#This Row],[Discount]]</f>
        <v>190</v>
      </c>
      <c r="P1811">
        <f>order_data[[#This Row],[Order_Value]]+order_data[[#This Row],[Delivery_Fee]]-order_data[[#This Row],[Discount]]</f>
        <v>210</v>
      </c>
      <c r="Q1811" t="str">
        <f>TEXT(order_data[[#This Row],[Order_Date]],"mmm")</f>
        <v>Mar</v>
      </c>
      <c r="R1811">
        <f>MONTH(order_data[[#This Row],[Order_Date]])</f>
        <v>3</v>
      </c>
    </row>
    <row r="1812" spans="1:18" x14ac:dyDescent="0.35">
      <c r="A1812" t="s">
        <v>2592</v>
      </c>
      <c r="B1812" t="s">
        <v>247</v>
      </c>
      <c r="C1812" t="s">
        <v>414</v>
      </c>
      <c r="D1812" t="s">
        <v>46</v>
      </c>
      <c r="E1812" t="s">
        <v>148</v>
      </c>
      <c r="F1812" t="s">
        <v>27</v>
      </c>
      <c r="G1812" t="s">
        <v>19</v>
      </c>
      <c r="H1812">
        <v>765</v>
      </c>
      <c r="I1812">
        <v>40</v>
      </c>
      <c r="J1812">
        <v>100</v>
      </c>
      <c r="K1812" t="s">
        <v>29</v>
      </c>
      <c r="L1812">
        <v>22</v>
      </c>
      <c r="M1812" t="s">
        <v>21</v>
      </c>
      <c r="N1812">
        <f>COUNTIF(order_data[Order_ID],order_data[[#This Row],[Order_ID]])</f>
        <v>1</v>
      </c>
      <c r="O1812">
        <f>order_data[[#This Row],[Order_Value]]-order_data[[#This Row],[Discount]]</f>
        <v>665</v>
      </c>
      <c r="P1812">
        <f>order_data[[#This Row],[Order_Value]]+order_data[[#This Row],[Delivery_Fee]]-order_data[[#This Row],[Discount]]</f>
        <v>705</v>
      </c>
      <c r="Q1812" t="str">
        <f>TEXT(order_data[[#This Row],[Order_Date]],"mmm")</f>
        <v>Mar</v>
      </c>
      <c r="R1812">
        <f>MONTH(order_data[[#This Row],[Order_Date]])</f>
        <v>3</v>
      </c>
    </row>
    <row r="1813" spans="1:18" x14ac:dyDescent="0.35">
      <c r="A1813" t="s">
        <v>2593</v>
      </c>
      <c r="B1813" t="s">
        <v>154</v>
      </c>
      <c r="C1813" t="s">
        <v>726</v>
      </c>
      <c r="D1813" t="s">
        <v>16</v>
      </c>
      <c r="E1813" t="s">
        <v>131</v>
      </c>
      <c r="F1813" t="s">
        <v>55</v>
      </c>
      <c r="G1813" t="s">
        <v>107</v>
      </c>
      <c r="H1813">
        <v>668</v>
      </c>
      <c r="I1813">
        <v>50</v>
      </c>
      <c r="J1813">
        <v>20</v>
      </c>
      <c r="K1813" t="s">
        <v>29</v>
      </c>
      <c r="L1813">
        <v>46</v>
      </c>
      <c r="M1813" t="s">
        <v>21</v>
      </c>
      <c r="N1813">
        <f>COUNTIF(order_data[Order_ID],order_data[[#This Row],[Order_ID]])</f>
        <v>1</v>
      </c>
      <c r="O1813">
        <f>order_data[[#This Row],[Order_Value]]-order_data[[#This Row],[Discount]]</f>
        <v>648</v>
      </c>
      <c r="P1813">
        <f>order_data[[#This Row],[Order_Value]]+order_data[[#This Row],[Delivery_Fee]]-order_data[[#This Row],[Discount]]</f>
        <v>698</v>
      </c>
      <c r="Q1813" t="str">
        <f>TEXT(order_data[[#This Row],[Order_Date]],"mmm")</f>
        <v>Jan</v>
      </c>
      <c r="R1813">
        <f>MONTH(order_data[[#This Row],[Order_Date]])</f>
        <v>1</v>
      </c>
    </row>
    <row r="1814" spans="1:18" x14ac:dyDescent="0.35">
      <c r="A1814" t="s">
        <v>2594</v>
      </c>
      <c r="B1814" t="s">
        <v>154</v>
      </c>
      <c r="C1814" t="s">
        <v>45</v>
      </c>
      <c r="D1814" t="s">
        <v>40</v>
      </c>
      <c r="E1814" t="s">
        <v>67</v>
      </c>
      <c r="F1814" t="s">
        <v>48</v>
      </c>
      <c r="G1814" t="s">
        <v>176</v>
      </c>
      <c r="H1814">
        <v>493</v>
      </c>
      <c r="I1814">
        <v>20</v>
      </c>
      <c r="J1814">
        <v>0</v>
      </c>
      <c r="K1814" t="s">
        <v>20</v>
      </c>
      <c r="L1814">
        <v>34</v>
      </c>
      <c r="M1814" t="s">
        <v>21</v>
      </c>
      <c r="N1814">
        <f>COUNTIF(order_data[Order_ID],order_data[[#This Row],[Order_ID]])</f>
        <v>1</v>
      </c>
      <c r="O1814">
        <f>order_data[[#This Row],[Order_Value]]-order_data[[#This Row],[Discount]]</f>
        <v>493</v>
      </c>
      <c r="P1814">
        <f>order_data[[#This Row],[Order_Value]]+order_data[[#This Row],[Delivery_Fee]]-order_data[[#This Row],[Discount]]</f>
        <v>513</v>
      </c>
      <c r="Q1814" t="str">
        <f>TEXT(order_data[[#This Row],[Order_Date]],"mmm")</f>
        <v>Jan</v>
      </c>
      <c r="R1814">
        <f>MONTH(order_data[[#This Row],[Order_Date]])</f>
        <v>1</v>
      </c>
    </row>
    <row r="1815" spans="1:18" x14ac:dyDescent="0.35">
      <c r="A1815" t="s">
        <v>2595</v>
      </c>
      <c r="B1815" t="s">
        <v>87</v>
      </c>
      <c r="C1815" t="s">
        <v>922</v>
      </c>
      <c r="D1815" t="s">
        <v>40</v>
      </c>
      <c r="E1815" t="s">
        <v>41</v>
      </c>
      <c r="F1815" t="s">
        <v>27</v>
      </c>
      <c r="G1815" t="s">
        <v>35</v>
      </c>
      <c r="H1815">
        <v>304</v>
      </c>
      <c r="I1815">
        <v>20</v>
      </c>
      <c r="J1815">
        <v>50</v>
      </c>
      <c r="K1815" t="s">
        <v>20</v>
      </c>
      <c r="L1815">
        <v>55</v>
      </c>
      <c r="M1815" t="s">
        <v>21</v>
      </c>
      <c r="N1815">
        <f>COUNTIF(order_data[Order_ID],order_data[[#This Row],[Order_ID]])</f>
        <v>1</v>
      </c>
      <c r="O1815">
        <f>order_data[[#This Row],[Order_Value]]-order_data[[#This Row],[Discount]]</f>
        <v>254</v>
      </c>
      <c r="P1815">
        <f>order_data[[#This Row],[Order_Value]]+order_data[[#This Row],[Delivery_Fee]]-order_data[[#This Row],[Discount]]</f>
        <v>274</v>
      </c>
      <c r="Q1815" t="str">
        <f>TEXT(order_data[[#This Row],[Order_Date]],"mmm")</f>
        <v>Jan</v>
      </c>
      <c r="R1815">
        <f>MONTH(order_data[[#This Row],[Order_Date]])</f>
        <v>1</v>
      </c>
    </row>
    <row r="1816" spans="1:18" x14ac:dyDescent="0.35">
      <c r="A1816" t="s">
        <v>2596</v>
      </c>
      <c r="B1816" t="s">
        <v>580</v>
      </c>
      <c r="C1816" t="s">
        <v>1990</v>
      </c>
      <c r="D1816" t="s">
        <v>25</v>
      </c>
      <c r="E1816" t="s">
        <v>78</v>
      </c>
      <c r="F1816" t="s">
        <v>48</v>
      </c>
      <c r="G1816" t="s">
        <v>19</v>
      </c>
      <c r="H1816">
        <v>465</v>
      </c>
      <c r="I1816">
        <v>50</v>
      </c>
      <c r="J1816">
        <v>30</v>
      </c>
      <c r="K1816" t="s">
        <v>36</v>
      </c>
      <c r="L1816">
        <v>45</v>
      </c>
      <c r="M1816" t="s">
        <v>21</v>
      </c>
      <c r="N1816">
        <f>COUNTIF(order_data[Order_ID],order_data[[#This Row],[Order_ID]])</f>
        <v>1</v>
      </c>
      <c r="O1816">
        <f>order_data[[#This Row],[Order_Value]]-order_data[[#This Row],[Discount]]</f>
        <v>435</v>
      </c>
      <c r="P1816">
        <f>order_data[[#This Row],[Order_Value]]+order_data[[#This Row],[Delivery_Fee]]-order_data[[#This Row],[Discount]]</f>
        <v>485</v>
      </c>
      <c r="Q1816" t="str">
        <f>TEXT(order_data[[#This Row],[Order_Date]],"mmm")</f>
        <v>Mar</v>
      </c>
      <c r="R1816">
        <f>MONTH(order_data[[#This Row],[Order_Date]])</f>
        <v>3</v>
      </c>
    </row>
    <row r="1817" spans="1:18" x14ac:dyDescent="0.35">
      <c r="A1817" t="s">
        <v>2597</v>
      </c>
      <c r="B1817" t="s">
        <v>223</v>
      </c>
      <c r="C1817" t="s">
        <v>895</v>
      </c>
      <c r="D1817" t="s">
        <v>25</v>
      </c>
      <c r="E1817" t="s">
        <v>34</v>
      </c>
      <c r="F1817" t="s">
        <v>27</v>
      </c>
      <c r="G1817" t="s">
        <v>176</v>
      </c>
      <c r="H1817">
        <v>186</v>
      </c>
      <c r="I1817">
        <v>40</v>
      </c>
      <c r="J1817">
        <v>50</v>
      </c>
      <c r="K1817" t="s">
        <v>36</v>
      </c>
      <c r="L1817">
        <v>39</v>
      </c>
      <c r="M1817" t="s">
        <v>21</v>
      </c>
      <c r="N1817">
        <f>COUNTIF(order_data[Order_ID],order_data[[#This Row],[Order_ID]])</f>
        <v>1</v>
      </c>
      <c r="O1817">
        <f>order_data[[#This Row],[Order_Value]]-order_data[[#This Row],[Discount]]</f>
        <v>136</v>
      </c>
      <c r="P1817">
        <f>order_data[[#This Row],[Order_Value]]+order_data[[#This Row],[Delivery_Fee]]-order_data[[#This Row],[Discount]]</f>
        <v>176</v>
      </c>
      <c r="Q1817" t="str">
        <f>TEXT(order_data[[#This Row],[Order_Date]],"mmm")</f>
        <v>Mar</v>
      </c>
      <c r="R1817">
        <f>MONTH(order_data[[#This Row],[Order_Date]])</f>
        <v>3</v>
      </c>
    </row>
    <row r="1818" spans="1:18" x14ac:dyDescent="0.35">
      <c r="A1818" t="s">
        <v>2598</v>
      </c>
      <c r="B1818" t="s">
        <v>57</v>
      </c>
      <c r="C1818" t="s">
        <v>824</v>
      </c>
      <c r="D1818" t="s">
        <v>53</v>
      </c>
      <c r="E1818" t="s">
        <v>152</v>
      </c>
      <c r="F1818" t="s">
        <v>18</v>
      </c>
      <c r="G1818" t="s">
        <v>28</v>
      </c>
      <c r="H1818">
        <v>289</v>
      </c>
      <c r="I1818">
        <v>30</v>
      </c>
      <c r="J1818">
        <v>20</v>
      </c>
      <c r="K1818" t="s">
        <v>20</v>
      </c>
      <c r="L1818">
        <v>45</v>
      </c>
      <c r="M1818" t="s">
        <v>21</v>
      </c>
      <c r="N1818">
        <f>COUNTIF(order_data[Order_ID],order_data[[#This Row],[Order_ID]])</f>
        <v>1</v>
      </c>
      <c r="O1818">
        <f>order_data[[#This Row],[Order_Value]]-order_data[[#This Row],[Discount]]</f>
        <v>269</v>
      </c>
      <c r="P1818">
        <f>order_data[[#This Row],[Order_Value]]+order_data[[#This Row],[Delivery_Fee]]-order_data[[#This Row],[Discount]]</f>
        <v>299</v>
      </c>
      <c r="Q1818" t="str">
        <f>TEXT(order_data[[#This Row],[Order_Date]],"mmm")</f>
        <v>Jan</v>
      </c>
      <c r="R1818">
        <f>MONTH(order_data[[#This Row],[Order_Date]])</f>
        <v>1</v>
      </c>
    </row>
    <row r="1819" spans="1:18" x14ac:dyDescent="0.35">
      <c r="A1819" t="s">
        <v>2599</v>
      </c>
      <c r="B1819" t="s">
        <v>326</v>
      </c>
      <c r="C1819" t="s">
        <v>1077</v>
      </c>
      <c r="D1819" t="s">
        <v>25</v>
      </c>
      <c r="E1819" t="s">
        <v>26</v>
      </c>
      <c r="F1819" t="s">
        <v>27</v>
      </c>
      <c r="G1819" t="s">
        <v>49</v>
      </c>
      <c r="H1819">
        <v>297</v>
      </c>
      <c r="I1819">
        <v>30</v>
      </c>
      <c r="J1819">
        <v>0</v>
      </c>
      <c r="K1819" t="s">
        <v>20</v>
      </c>
      <c r="L1819">
        <v>33</v>
      </c>
      <c r="M1819" t="s">
        <v>21</v>
      </c>
      <c r="N1819">
        <f>COUNTIF(order_data[Order_ID],order_data[[#This Row],[Order_ID]])</f>
        <v>1</v>
      </c>
      <c r="O1819">
        <f>order_data[[#This Row],[Order_Value]]-order_data[[#This Row],[Discount]]</f>
        <v>297</v>
      </c>
      <c r="P1819">
        <f>order_data[[#This Row],[Order_Value]]+order_data[[#This Row],[Delivery_Fee]]-order_data[[#This Row],[Discount]]</f>
        <v>327</v>
      </c>
      <c r="Q1819" t="str">
        <f>TEXT(order_data[[#This Row],[Order_Date]],"mmm")</f>
        <v>Mar</v>
      </c>
      <c r="R1819">
        <f>MONTH(order_data[[#This Row],[Order_Date]])</f>
        <v>3</v>
      </c>
    </row>
    <row r="1820" spans="1:18" x14ac:dyDescent="0.35">
      <c r="A1820" t="s">
        <v>2600</v>
      </c>
      <c r="B1820" t="s">
        <v>310</v>
      </c>
      <c r="C1820" t="s">
        <v>2601</v>
      </c>
      <c r="D1820" t="s">
        <v>46</v>
      </c>
      <c r="E1820" t="s">
        <v>148</v>
      </c>
      <c r="F1820" t="s">
        <v>27</v>
      </c>
      <c r="G1820" t="s">
        <v>19</v>
      </c>
      <c r="H1820">
        <v>730</v>
      </c>
      <c r="I1820">
        <v>50</v>
      </c>
      <c r="J1820">
        <v>20</v>
      </c>
      <c r="K1820" t="s">
        <v>20</v>
      </c>
      <c r="L1820">
        <v>56</v>
      </c>
      <c r="M1820" t="s">
        <v>21</v>
      </c>
      <c r="N1820">
        <f>COUNTIF(order_data[Order_ID],order_data[[#This Row],[Order_ID]])</f>
        <v>1</v>
      </c>
      <c r="O1820">
        <f>order_data[[#This Row],[Order_Value]]-order_data[[#This Row],[Discount]]</f>
        <v>710</v>
      </c>
      <c r="P1820">
        <f>order_data[[#This Row],[Order_Value]]+order_data[[#This Row],[Delivery_Fee]]-order_data[[#This Row],[Discount]]</f>
        <v>760</v>
      </c>
      <c r="Q1820" t="str">
        <f>TEXT(order_data[[#This Row],[Order_Date]],"mmm")</f>
        <v>Feb</v>
      </c>
      <c r="R1820">
        <f>MONTH(order_data[[#This Row],[Order_Date]])</f>
        <v>2</v>
      </c>
    </row>
    <row r="1821" spans="1:18" x14ac:dyDescent="0.35">
      <c r="A1821" t="s">
        <v>2602</v>
      </c>
      <c r="B1821" t="s">
        <v>568</v>
      </c>
      <c r="C1821" t="s">
        <v>1939</v>
      </c>
      <c r="D1821" t="s">
        <v>46</v>
      </c>
      <c r="E1821" t="s">
        <v>148</v>
      </c>
      <c r="F1821" t="s">
        <v>27</v>
      </c>
      <c r="G1821" t="s">
        <v>42</v>
      </c>
      <c r="H1821">
        <v>574</v>
      </c>
      <c r="I1821">
        <v>40</v>
      </c>
      <c r="J1821">
        <v>30</v>
      </c>
      <c r="K1821" t="s">
        <v>20</v>
      </c>
      <c r="L1821">
        <v>33</v>
      </c>
      <c r="M1821" t="s">
        <v>21</v>
      </c>
      <c r="N1821">
        <f>COUNTIF(order_data[Order_ID],order_data[[#This Row],[Order_ID]])</f>
        <v>1</v>
      </c>
      <c r="O1821">
        <f>order_data[[#This Row],[Order_Value]]-order_data[[#This Row],[Discount]]</f>
        <v>544</v>
      </c>
      <c r="P1821">
        <f>order_data[[#This Row],[Order_Value]]+order_data[[#This Row],[Delivery_Fee]]-order_data[[#This Row],[Discount]]</f>
        <v>584</v>
      </c>
      <c r="Q1821" t="str">
        <f>TEXT(order_data[[#This Row],[Order_Date]],"mmm")</f>
        <v>Mar</v>
      </c>
      <c r="R1821">
        <f>MONTH(order_data[[#This Row],[Order_Date]])</f>
        <v>3</v>
      </c>
    </row>
    <row r="1822" spans="1:18" x14ac:dyDescent="0.35">
      <c r="A1822" t="s">
        <v>2603</v>
      </c>
      <c r="B1822" t="s">
        <v>388</v>
      </c>
      <c r="C1822" t="s">
        <v>366</v>
      </c>
      <c r="D1822" t="s">
        <v>53</v>
      </c>
      <c r="E1822" t="s">
        <v>84</v>
      </c>
      <c r="F1822" t="s">
        <v>85</v>
      </c>
      <c r="G1822" t="s">
        <v>28</v>
      </c>
      <c r="H1822">
        <v>568</v>
      </c>
      <c r="I1822">
        <v>50</v>
      </c>
      <c r="J1822">
        <v>100</v>
      </c>
      <c r="K1822" t="s">
        <v>20</v>
      </c>
      <c r="L1822">
        <v>44</v>
      </c>
      <c r="M1822" t="s">
        <v>21</v>
      </c>
      <c r="N1822">
        <f>COUNTIF(order_data[Order_ID],order_data[[#This Row],[Order_ID]])</f>
        <v>1</v>
      </c>
      <c r="O1822">
        <f>order_data[[#This Row],[Order_Value]]-order_data[[#This Row],[Discount]]</f>
        <v>468</v>
      </c>
      <c r="P1822">
        <f>order_data[[#This Row],[Order_Value]]+order_data[[#This Row],[Delivery_Fee]]-order_data[[#This Row],[Discount]]</f>
        <v>518</v>
      </c>
      <c r="Q1822" t="str">
        <f>TEXT(order_data[[#This Row],[Order_Date]],"mmm")</f>
        <v>Mar</v>
      </c>
      <c r="R1822">
        <f>MONTH(order_data[[#This Row],[Order_Date]])</f>
        <v>3</v>
      </c>
    </row>
    <row r="1823" spans="1:18" x14ac:dyDescent="0.35">
      <c r="A1823" t="s">
        <v>2604</v>
      </c>
      <c r="B1823" t="s">
        <v>454</v>
      </c>
      <c r="C1823" t="s">
        <v>311</v>
      </c>
      <c r="D1823" t="s">
        <v>53</v>
      </c>
      <c r="E1823" t="s">
        <v>152</v>
      </c>
      <c r="F1823" t="s">
        <v>18</v>
      </c>
      <c r="G1823" t="s">
        <v>28</v>
      </c>
      <c r="H1823">
        <v>586</v>
      </c>
      <c r="I1823">
        <v>40</v>
      </c>
      <c r="J1823">
        <v>30</v>
      </c>
      <c r="K1823" t="s">
        <v>29</v>
      </c>
      <c r="L1823">
        <v>49</v>
      </c>
      <c r="M1823" t="s">
        <v>21</v>
      </c>
      <c r="N1823">
        <f>COUNTIF(order_data[Order_ID],order_data[[#This Row],[Order_ID]])</f>
        <v>1</v>
      </c>
      <c r="O1823">
        <f>order_data[[#This Row],[Order_Value]]-order_data[[#This Row],[Discount]]</f>
        <v>556</v>
      </c>
      <c r="P1823">
        <f>order_data[[#This Row],[Order_Value]]+order_data[[#This Row],[Delivery_Fee]]-order_data[[#This Row],[Discount]]</f>
        <v>596</v>
      </c>
      <c r="Q1823" t="str">
        <f>TEXT(order_data[[#This Row],[Order_Date]],"mmm")</f>
        <v>Jan</v>
      </c>
      <c r="R1823">
        <f>MONTH(order_data[[#This Row],[Order_Date]])</f>
        <v>1</v>
      </c>
    </row>
    <row r="1824" spans="1:18" x14ac:dyDescent="0.35">
      <c r="A1824" t="s">
        <v>2605</v>
      </c>
      <c r="B1824" t="s">
        <v>526</v>
      </c>
      <c r="C1824" t="s">
        <v>1138</v>
      </c>
      <c r="D1824" t="s">
        <v>53</v>
      </c>
      <c r="E1824" t="s">
        <v>84</v>
      </c>
      <c r="F1824" t="s">
        <v>85</v>
      </c>
      <c r="G1824" t="s">
        <v>42</v>
      </c>
      <c r="H1824">
        <v>358</v>
      </c>
      <c r="I1824">
        <v>40</v>
      </c>
      <c r="J1824">
        <v>30</v>
      </c>
      <c r="K1824" t="s">
        <v>20</v>
      </c>
      <c r="L1824">
        <v>38</v>
      </c>
      <c r="M1824" t="s">
        <v>21</v>
      </c>
      <c r="N1824">
        <f>COUNTIF(order_data[Order_ID],order_data[[#This Row],[Order_ID]])</f>
        <v>1</v>
      </c>
      <c r="O1824">
        <f>order_data[[#This Row],[Order_Value]]-order_data[[#This Row],[Discount]]</f>
        <v>328</v>
      </c>
      <c r="P1824">
        <f>order_data[[#This Row],[Order_Value]]+order_data[[#This Row],[Delivery_Fee]]-order_data[[#This Row],[Discount]]</f>
        <v>368</v>
      </c>
      <c r="Q1824" t="str">
        <f>TEXT(order_data[[#This Row],[Order_Date]],"mmm")</f>
        <v>Jan</v>
      </c>
      <c r="R1824">
        <f>MONTH(order_data[[#This Row],[Order_Date]])</f>
        <v>1</v>
      </c>
    </row>
    <row r="1825" spans="1:18" x14ac:dyDescent="0.35">
      <c r="A1825" t="s">
        <v>2606</v>
      </c>
      <c r="B1825" t="s">
        <v>454</v>
      </c>
      <c r="C1825" t="s">
        <v>2607</v>
      </c>
      <c r="D1825" t="s">
        <v>16</v>
      </c>
      <c r="E1825" t="s">
        <v>17</v>
      </c>
      <c r="F1825" t="s">
        <v>18</v>
      </c>
      <c r="G1825" t="s">
        <v>35</v>
      </c>
      <c r="H1825">
        <v>411</v>
      </c>
      <c r="I1825">
        <v>20</v>
      </c>
      <c r="J1825">
        <v>50</v>
      </c>
      <c r="K1825" t="s">
        <v>20</v>
      </c>
      <c r="L1825">
        <v>41</v>
      </c>
      <c r="M1825" t="s">
        <v>21</v>
      </c>
      <c r="N1825">
        <f>COUNTIF(order_data[Order_ID],order_data[[#This Row],[Order_ID]])</f>
        <v>1</v>
      </c>
      <c r="O1825">
        <f>order_data[[#This Row],[Order_Value]]-order_data[[#This Row],[Discount]]</f>
        <v>361</v>
      </c>
      <c r="P1825">
        <f>order_data[[#This Row],[Order_Value]]+order_data[[#This Row],[Delivery_Fee]]-order_data[[#This Row],[Discount]]</f>
        <v>381</v>
      </c>
      <c r="Q1825" t="str">
        <f>TEXT(order_data[[#This Row],[Order_Date]],"mmm")</f>
        <v>Jan</v>
      </c>
      <c r="R1825">
        <f>MONTH(order_data[[#This Row],[Order_Date]])</f>
        <v>1</v>
      </c>
    </row>
    <row r="1826" spans="1:18" x14ac:dyDescent="0.35">
      <c r="A1826" t="s">
        <v>2608</v>
      </c>
      <c r="B1826" t="s">
        <v>61</v>
      </c>
      <c r="C1826" t="s">
        <v>437</v>
      </c>
      <c r="D1826" t="s">
        <v>16</v>
      </c>
      <c r="E1826" t="s">
        <v>17</v>
      </c>
      <c r="F1826" t="s">
        <v>18</v>
      </c>
      <c r="G1826" t="s">
        <v>63</v>
      </c>
      <c r="H1826">
        <v>558</v>
      </c>
      <c r="I1826">
        <v>20</v>
      </c>
      <c r="J1826">
        <v>30</v>
      </c>
      <c r="K1826" t="s">
        <v>36</v>
      </c>
      <c r="L1826">
        <v>25</v>
      </c>
      <c r="M1826" t="s">
        <v>21</v>
      </c>
      <c r="N1826">
        <f>COUNTIF(order_data[Order_ID],order_data[[#This Row],[Order_ID]])</f>
        <v>1</v>
      </c>
      <c r="O1826">
        <f>order_data[[#This Row],[Order_Value]]-order_data[[#This Row],[Discount]]</f>
        <v>528</v>
      </c>
      <c r="P1826">
        <f>order_data[[#This Row],[Order_Value]]+order_data[[#This Row],[Delivery_Fee]]-order_data[[#This Row],[Discount]]</f>
        <v>548</v>
      </c>
      <c r="Q1826" t="str">
        <f>TEXT(order_data[[#This Row],[Order_Date]],"mmm")</f>
        <v>Jan</v>
      </c>
      <c r="R1826">
        <f>MONTH(order_data[[#This Row],[Order_Date]])</f>
        <v>1</v>
      </c>
    </row>
    <row r="1827" spans="1:18" x14ac:dyDescent="0.35">
      <c r="A1827" t="s">
        <v>2609</v>
      </c>
      <c r="B1827" t="s">
        <v>300</v>
      </c>
      <c r="C1827" t="s">
        <v>2529</v>
      </c>
      <c r="D1827" t="s">
        <v>16</v>
      </c>
      <c r="E1827" t="s">
        <v>17</v>
      </c>
      <c r="F1827" t="s">
        <v>18</v>
      </c>
      <c r="G1827" t="s">
        <v>107</v>
      </c>
      <c r="H1827">
        <v>527</v>
      </c>
      <c r="I1827">
        <v>50</v>
      </c>
      <c r="J1827">
        <v>100</v>
      </c>
      <c r="K1827" t="s">
        <v>36</v>
      </c>
      <c r="L1827">
        <v>35</v>
      </c>
      <c r="M1827" t="s">
        <v>21</v>
      </c>
      <c r="N1827">
        <f>COUNTIF(order_data[Order_ID],order_data[[#This Row],[Order_ID]])</f>
        <v>1</v>
      </c>
      <c r="O1827">
        <f>order_data[[#This Row],[Order_Value]]-order_data[[#This Row],[Discount]]</f>
        <v>427</v>
      </c>
      <c r="P1827">
        <f>order_data[[#This Row],[Order_Value]]+order_data[[#This Row],[Delivery_Fee]]-order_data[[#This Row],[Discount]]</f>
        <v>477</v>
      </c>
      <c r="Q1827" t="str">
        <f>TEXT(order_data[[#This Row],[Order_Date]],"mmm")</f>
        <v>Mar</v>
      </c>
      <c r="R1827">
        <f>MONTH(order_data[[#This Row],[Order_Date]])</f>
        <v>3</v>
      </c>
    </row>
    <row r="1828" spans="1:18" x14ac:dyDescent="0.35">
      <c r="A1828" t="s">
        <v>2610</v>
      </c>
      <c r="B1828" t="s">
        <v>32</v>
      </c>
      <c r="C1828" t="s">
        <v>2611</v>
      </c>
      <c r="D1828" t="s">
        <v>25</v>
      </c>
      <c r="E1828" t="s">
        <v>34</v>
      </c>
      <c r="F1828" t="s">
        <v>27</v>
      </c>
      <c r="G1828" t="s">
        <v>35</v>
      </c>
      <c r="H1828">
        <v>680</v>
      </c>
      <c r="I1828">
        <v>50</v>
      </c>
      <c r="J1828">
        <v>100</v>
      </c>
      <c r="K1828" t="s">
        <v>36</v>
      </c>
      <c r="L1828">
        <v>53</v>
      </c>
      <c r="M1828" t="s">
        <v>21</v>
      </c>
      <c r="N1828">
        <f>COUNTIF(order_data[Order_ID],order_data[[#This Row],[Order_ID]])</f>
        <v>1</v>
      </c>
      <c r="O1828">
        <f>order_data[[#This Row],[Order_Value]]-order_data[[#This Row],[Discount]]</f>
        <v>580</v>
      </c>
      <c r="P1828">
        <f>order_data[[#This Row],[Order_Value]]+order_data[[#This Row],[Delivery_Fee]]-order_data[[#This Row],[Discount]]</f>
        <v>630</v>
      </c>
      <c r="Q1828" t="str">
        <f>TEXT(order_data[[#This Row],[Order_Date]],"mmm")</f>
        <v>Jan</v>
      </c>
      <c r="R1828">
        <f>MONTH(order_data[[#This Row],[Order_Date]])</f>
        <v>1</v>
      </c>
    </row>
    <row r="1829" spans="1:18" x14ac:dyDescent="0.35">
      <c r="A1829" t="s">
        <v>2612</v>
      </c>
      <c r="B1829" t="s">
        <v>186</v>
      </c>
      <c r="C1829" t="s">
        <v>263</v>
      </c>
      <c r="D1829" t="s">
        <v>53</v>
      </c>
      <c r="E1829" t="s">
        <v>84</v>
      </c>
      <c r="F1829" t="s">
        <v>85</v>
      </c>
      <c r="G1829" t="s">
        <v>63</v>
      </c>
      <c r="H1829">
        <v>292</v>
      </c>
      <c r="I1829">
        <v>50</v>
      </c>
      <c r="J1829">
        <v>100</v>
      </c>
      <c r="K1829" t="s">
        <v>29</v>
      </c>
      <c r="L1829">
        <v>44</v>
      </c>
      <c r="M1829" t="s">
        <v>21</v>
      </c>
      <c r="N1829">
        <f>COUNTIF(order_data[Order_ID],order_data[[#This Row],[Order_ID]])</f>
        <v>1</v>
      </c>
      <c r="O1829">
        <f>order_data[[#This Row],[Order_Value]]-order_data[[#This Row],[Discount]]</f>
        <v>192</v>
      </c>
      <c r="P1829">
        <f>order_data[[#This Row],[Order_Value]]+order_data[[#This Row],[Delivery_Fee]]-order_data[[#This Row],[Discount]]</f>
        <v>242</v>
      </c>
      <c r="Q1829" t="str">
        <f>TEXT(order_data[[#This Row],[Order_Date]],"mmm")</f>
        <v>Mar</v>
      </c>
      <c r="R1829">
        <f>MONTH(order_data[[#This Row],[Order_Date]])</f>
        <v>3</v>
      </c>
    </row>
    <row r="1830" spans="1:18" x14ac:dyDescent="0.35">
      <c r="A1830" t="s">
        <v>2613</v>
      </c>
      <c r="B1830" t="s">
        <v>326</v>
      </c>
      <c r="C1830" t="s">
        <v>439</v>
      </c>
      <c r="D1830" t="s">
        <v>25</v>
      </c>
      <c r="E1830" t="s">
        <v>78</v>
      </c>
      <c r="F1830" t="s">
        <v>48</v>
      </c>
      <c r="G1830" t="s">
        <v>176</v>
      </c>
      <c r="H1830">
        <v>452</v>
      </c>
      <c r="I1830">
        <v>40</v>
      </c>
      <c r="J1830">
        <v>30</v>
      </c>
      <c r="K1830" t="s">
        <v>29</v>
      </c>
      <c r="L1830">
        <v>54</v>
      </c>
      <c r="M1830" t="s">
        <v>21</v>
      </c>
      <c r="N1830">
        <f>COUNTIF(order_data[Order_ID],order_data[[#This Row],[Order_ID]])</f>
        <v>1</v>
      </c>
      <c r="O1830">
        <f>order_data[[#This Row],[Order_Value]]-order_data[[#This Row],[Discount]]</f>
        <v>422</v>
      </c>
      <c r="P1830">
        <f>order_data[[#This Row],[Order_Value]]+order_data[[#This Row],[Delivery_Fee]]-order_data[[#This Row],[Discount]]</f>
        <v>462</v>
      </c>
      <c r="Q1830" t="str">
        <f>TEXT(order_data[[#This Row],[Order_Date]],"mmm")</f>
        <v>Mar</v>
      </c>
      <c r="R1830">
        <f>MONTH(order_data[[#This Row],[Order_Date]])</f>
        <v>3</v>
      </c>
    </row>
    <row r="1831" spans="1:18" x14ac:dyDescent="0.35">
      <c r="A1831" t="s">
        <v>2614</v>
      </c>
      <c r="B1831" t="s">
        <v>109</v>
      </c>
      <c r="C1831" t="s">
        <v>1675</v>
      </c>
      <c r="D1831" t="s">
        <v>53</v>
      </c>
      <c r="E1831" t="s">
        <v>84</v>
      </c>
      <c r="F1831" t="s">
        <v>85</v>
      </c>
      <c r="G1831" t="s">
        <v>59</v>
      </c>
      <c r="H1831">
        <v>511</v>
      </c>
      <c r="I1831">
        <v>50</v>
      </c>
      <c r="J1831">
        <v>50</v>
      </c>
      <c r="K1831" t="s">
        <v>36</v>
      </c>
      <c r="L1831">
        <v>55</v>
      </c>
      <c r="M1831" t="s">
        <v>21</v>
      </c>
      <c r="N1831">
        <f>COUNTIF(order_data[Order_ID],order_data[[#This Row],[Order_ID]])</f>
        <v>1</v>
      </c>
      <c r="O1831">
        <f>order_data[[#This Row],[Order_Value]]-order_data[[#This Row],[Discount]]</f>
        <v>461</v>
      </c>
      <c r="P1831">
        <f>order_data[[#This Row],[Order_Value]]+order_data[[#This Row],[Delivery_Fee]]-order_data[[#This Row],[Discount]]</f>
        <v>511</v>
      </c>
      <c r="Q1831" t="str">
        <f>TEXT(order_data[[#This Row],[Order_Date]],"mmm")</f>
        <v>Jan</v>
      </c>
      <c r="R1831">
        <f>MONTH(order_data[[#This Row],[Order_Date]])</f>
        <v>1</v>
      </c>
    </row>
    <row r="1832" spans="1:18" x14ac:dyDescent="0.35">
      <c r="A1832" t="s">
        <v>2615</v>
      </c>
      <c r="B1832" t="s">
        <v>271</v>
      </c>
      <c r="C1832" t="s">
        <v>2485</v>
      </c>
      <c r="D1832" t="s">
        <v>53</v>
      </c>
      <c r="E1832" t="s">
        <v>152</v>
      </c>
      <c r="F1832" t="s">
        <v>18</v>
      </c>
      <c r="G1832" t="s">
        <v>107</v>
      </c>
      <c r="H1832">
        <v>768</v>
      </c>
      <c r="I1832">
        <v>30</v>
      </c>
      <c r="J1832">
        <v>0</v>
      </c>
      <c r="K1832" t="s">
        <v>36</v>
      </c>
      <c r="L1832">
        <v>41</v>
      </c>
      <c r="M1832" t="s">
        <v>21</v>
      </c>
      <c r="N1832">
        <f>COUNTIF(order_data[Order_ID],order_data[[#This Row],[Order_ID]])</f>
        <v>1</v>
      </c>
      <c r="O1832">
        <f>order_data[[#This Row],[Order_Value]]-order_data[[#This Row],[Discount]]</f>
        <v>768</v>
      </c>
      <c r="P1832">
        <f>order_data[[#This Row],[Order_Value]]+order_data[[#This Row],[Delivery_Fee]]-order_data[[#This Row],[Discount]]</f>
        <v>798</v>
      </c>
      <c r="Q1832" t="str">
        <f>TEXT(order_data[[#This Row],[Order_Date]],"mmm")</f>
        <v>Jan</v>
      </c>
      <c r="R1832">
        <f>MONTH(order_data[[#This Row],[Order_Date]])</f>
        <v>1</v>
      </c>
    </row>
    <row r="1833" spans="1:18" x14ac:dyDescent="0.35">
      <c r="A1833" t="s">
        <v>2616</v>
      </c>
      <c r="B1833" t="s">
        <v>167</v>
      </c>
      <c r="C1833" t="s">
        <v>172</v>
      </c>
      <c r="D1833" t="s">
        <v>16</v>
      </c>
      <c r="E1833" t="s">
        <v>17</v>
      </c>
      <c r="F1833" t="s">
        <v>18</v>
      </c>
      <c r="G1833" t="s">
        <v>42</v>
      </c>
      <c r="H1833">
        <v>771</v>
      </c>
      <c r="I1833">
        <v>20</v>
      </c>
      <c r="J1833">
        <v>100</v>
      </c>
      <c r="K1833" t="s">
        <v>36</v>
      </c>
      <c r="L1833">
        <v>48</v>
      </c>
      <c r="M1833" t="s">
        <v>30</v>
      </c>
      <c r="N1833">
        <f>COUNTIF(order_data[Order_ID],order_data[[#This Row],[Order_ID]])</f>
        <v>1</v>
      </c>
      <c r="O1833">
        <f>order_data[[#This Row],[Order_Value]]-order_data[[#This Row],[Discount]]</f>
        <v>671</v>
      </c>
      <c r="P1833">
        <f>order_data[[#This Row],[Order_Value]]+order_data[[#This Row],[Delivery_Fee]]-order_data[[#This Row],[Discount]]</f>
        <v>691</v>
      </c>
      <c r="Q1833" t="str">
        <f>TEXT(order_data[[#This Row],[Order_Date]],"mmm")</f>
        <v>Feb</v>
      </c>
      <c r="R1833">
        <f>MONTH(order_data[[#This Row],[Order_Date]])</f>
        <v>2</v>
      </c>
    </row>
    <row r="1834" spans="1:18" x14ac:dyDescent="0.35">
      <c r="A1834" t="s">
        <v>2617</v>
      </c>
      <c r="B1834" t="s">
        <v>413</v>
      </c>
      <c r="C1834" t="s">
        <v>193</v>
      </c>
      <c r="D1834" t="s">
        <v>16</v>
      </c>
      <c r="E1834" t="s">
        <v>17</v>
      </c>
      <c r="F1834" t="s">
        <v>18</v>
      </c>
      <c r="G1834" t="s">
        <v>63</v>
      </c>
      <c r="H1834">
        <v>543</v>
      </c>
      <c r="I1834">
        <v>40</v>
      </c>
      <c r="J1834">
        <v>0</v>
      </c>
      <c r="K1834" t="s">
        <v>36</v>
      </c>
      <c r="L1834">
        <v>27</v>
      </c>
      <c r="M1834" t="s">
        <v>21</v>
      </c>
      <c r="N1834">
        <f>COUNTIF(order_data[Order_ID],order_data[[#This Row],[Order_ID]])</f>
        <v>1</v>
      </c>
      <c r="O1834">
        <f>order_data[[#This Row],[Order_Value]]-order_data[[#This Row],[Discount]]</f>
        <v>543</v>
      </c>
      <c r="P1834">
        <f>order_data[[#This Row],[Order_Value]]+order_data[[#This Row],[Delivery_Fee]]-order_data[[#This Row],[Discount]]</f>
        <v>583</v>
      </c>
      <c r="Q1834" t="str">
        <f>TEXT(order_data[[#This Row],[Order_Date]],"mmm")</f>
        <v>Mar</v>
      </c>
      <c r="R1834">
        <f>MONTH(order_data[[#This Row],[Order_Date]])</f>
        <v>3</v>
      </c>
    </row>
    <row r="1835" spans="1:18" x14ac:dyDescent="0.35">
      <c r="A1835" t="s">
        <v>2618</v>
      </c>
      <c r="B1835" t="s">
        <v>121</v>
      </c>
      <c r="C1835" t="s">
        <v>343</v>
      </c>
      <c r="D1835" t="s">
        <v>25</v>
      </c>
      <c r="E1835" t="s">
        <v>26</v>
      </c>
      <c r="F1835" t="s">
        <v>27</v>
      </c>
      <c r="G1835" t="s">
        <v>107</v>
      </c>
      <c r="H1835">
        <v>164</v>
      </c>
      <c r="I1835">
        <v>20</v>
      </c>
      <c r="J1835">
        <v>100</v>
      </c>
      <c r="K1835" t="s">
        <v>29</v>
      </c>
      <c r="L1835">
        <v>48</v>
      </c>
      <c r="M1835" t="s">
        <v>21</v>
      </c>
      <c r="N1835">
        <f>COUNTIF(order_data[Order_ID],order_data[[#This Row],[Order_ID]])</f>
        <v>1</v>
      </c>
      <c r="O1835">
        <f>order_data[[#This Row],[Order_Value]]-order_data[[#This Row],[Discount]]</f>
        <v>64</v>
      </c>
      <c r="P1835">
        <f>order_data[[#This Row],[Order_Value]]+order_data[[#This Row],[Delivery_Fee]]-order_data[[#This Row],[Discount]]</f>
        <v>84</v>
      </c>
      <c r="Q1835" t="str">
        <f>TEXT(order_data[[#This Row],[Order_Date]],"mmm")</f>
        <v>Feb</v>
      </c>
      <c r="R1835">
        <f>MONTH(order_data[[#This Row],[Order_Date]])</f>
        <v>2</v>
      </c>
    </row>
    <row r="1836" spans="1:18" x14ac:dyDescent="0.35">
      <c r="A1836" t="s">
        <v>2619</v>
      </c>
      <c r="B1836" t="s">
        <v>218</v>
      </c>
      <c r="C1836" t="s">
        <v>1931</v>
      </c>
      <c r="D1836" t="s">
        <v>53</v>
      </c>
      <c r="E1836" t="s">
        <v>54</v>
      </c>
      <c r="F1836" t="s">
        <v>55</v>
      </c>
      <c r="G1836" t="s">
        <v>49</v>
      </c>
      <c r="H1836">
        <v>485</v>
      </c>
      <c r="I1836">
        <v>50</v>
      </c>
      <c r="J1836">
        <v>30</v>
      </c>
      <c r="K1836" t="s">
        <v>29</v>
      </c>
      <c r="L1836">
        <v>42</v>
      </c>
      <c r="M1836" t="s">
        <v>21</v>
      </c>
      <c r="N1836">
        <f>COUNTIF(order_data[Order_ID],order_data[[#This Row],[Order_ID]])</f>
        <v>1</v>
      </c>
      <c r="O1836">
        <f>order_data[[#This Row],[Order_Value]]-order_data[[#This Row],[Discount]]</f>
        <v>455</v>
      </c>
      <c r="P1836">
        <f>order_data[[#This Row],[Order_Value]]+order_data[[#This Row],[Delivery_Fee]]-order_data[[#This Row],[Discount]]</f>
        <v>505</v>
      </c>
      <c r="Q1836" t="str">
        <f>TEXT(order_data[[#This Row],[Order_Date]],"mmm")</f>
        <v>Feb</v>
      </c>
      <c r="R1836">
        <f>MONTH(order_data[[#This Row],[Order_Date]])</f>
        <v>2</v>
      </c>
    </row>
    <row r="1837" spans="1:18" x14ac:dyDescent="0.35">
      <c r="A1837" t="s">
        <v>2620</v>
      </c>
      <c r="B1837" t="s">
        <v>339</v>
      </c>
      <c r="C1837" t="s">
        <v>1344</v>
      </c>
      <c r="D1837" t="s">
        <v>53</v>
      </c>
      <c r="E1837" t="s">
        <v>152</v>
      </c>
      <c r="F1837" t="s">
        <v>18</v>
      </c>
      <c r="G1837" t="s">
        <v>63</v>
      </c>
      <c r="H1837">
        <v>470</v>
      </c>
      <c r="I1837">
        <v>20</v>
      </c>
      <c r="J1837">
        <v>20</v>
      </c>
      <c r="K1837" t="s">
        <v>36</v>
      </c>
      <c r="L1837">
        <v>22</v>
      </c>
      <c r="M1837" t="s">
        <v>21</v>
      </c>
      <c r="N1837">
        <f>COUNTIF(order_data[Order_ID],order_data[[#This Row],[Order_ID]])</f>
        <v>1</v>
      </c>
      <c r="O1837">
        <f>order_data[[#This Row],[Order_Value]]-order_data[[#This Row],[Discount]]</f>
        <v>450</v>
      </c>
      <c r="P1837">
        <f>order_data[[#This Row],[Order_Value]]+order_data[[#This Row],[Delivery_Fee]]-order_data[[#This Row],[Discount]]</f>
        <v>470</v>
      </c>
      <c r="Q1837" t="str">
        <f>TEXT(order_data[[#This Row],[Order_Date]],"mmm")</f>
        <v>Jan</v>
      </c>
      <c r="R1837">
        <f>MONTH(order_data[[#This Row],[Order_Date]])</f>
        <v>1</v>
      </c>
    </row>
    <row r="1838" spans="1:18" x14ac:dyDescent="0.35">
      <c r="A1838" t="s">
        <v>2621</v>
      </c>
      <c r="B1838" t="s">
        <v>87</v>
      </c>
      <c r="C1838" t="s">
        <v>2622</v>
      </c>
      <c r="D1838" t="s">
        <v>40</v>
      </c>
      <c r="E1838" t="s">
        <v>67</v>
      </c>
      <c r="F1838" t="s">
        <v>48</v>
      </c>
      <c r="G1838" t="s">
        <v>107</v>
      </c>
      <c r="H1838">
        <v>476</v>
      </c>
      <c r="I1838">
        <v>40</v>
      </c>
      <c r="J1838">
        <v>50</v>
      </c>
      <c r="K1838" t="s">
        <v>36</v>
      </c>
      <c r="L1838">
        <v>36</v>
      </c>
      <c r="M1838" t="s">
        <v>21</v>
      </c>
      <c r="N1838">
        <f>COUNTIF(order_data[Order_ID],order_data[[#This Row],[Order_ID]])</f>
        <v>1</v>
      </c>
      <c r="O1838">
        <f>order_data[[#This Row],[Order_Value]]-order_data[[#This Row],[Discount]]</f>
        <v>426</v>
      </c>
      <c r="P1838">
        <f>order_data[[#This Row],[Order_Value]]+order_data[[#This Row],[Delivery_Fee]]-order_data[[#This Row],[Discount]]</f>
        <v>466</v>
      </c>
      <c r="Q1838" t="str">
        <f>TEXT(order_data[[#This Row],[Order_Date]],"mmm")</f>
        <v>Jan</v>
      </c>
      <c r="R1838">
        <f>MONTH(order_data[[#This Row],[Order_Date]])</f>
        <v>1</v>
      </c>
    </row>
    <row r="1839" spans="1:18" x14ac:dyDescent="0.35">
      <c r="A1839" t="s">
        <v>2623</v>
      </c>
      <c r="B1839" t="s">
        <v>23</v>
      </c>
      <c r="C1839" t="s">
        <v>2624</v>
      </c>
      <c r="D1839" t="s">
        <v>46</v>
      </c>
      <c r="E1839" t="s">
        <v>70</v>
      </c>
      <c r="F1839" t="s">
        <v>18</v>
      </c>
      <c r="G1839" t="s">
        <v>63</v>
      </c>
      <c r="H1839">
        <v>492</v>
      </c>
      <c r="I1839">
        <v>20</v>
      </c>
      <c r="J1839">
        <v>100</v>
      </c>
      <c r="K1839" t="s">
        <v>20</v>
      </c>
      <c r="L1839">
        <v>36</v>
      </c>
      <c r="M1839" t="s">
        <v>21</v>
      </c>
      <c r="N1839">
        <f>COUNTIF(order_data[Order_ID],order_data[[#This Row],[Order_ID]])</f>
        <v>1</v>
      </c>
      <c r="O1839">
        <f>order_data[[#This Row],[Order_Value]]-order_data[[#This Row],[Discount]]</f>
        <v>392</v>
      </c>
      <c r="P1839">
        <f>order_data[[#This Row],[Order_Value]]+order_data[[#This Row],[Delivery_Fee]]-order_data[[#This Row],[Discount]]</f>
        <v>412</v>
      </c>
      <c r="Q1839" t="str">
        <f>TEXT(order_data[[#This Row],[Order_Date]],"mmm")</f>
        <v>Mar</v>
      </c>
      <c r="R1839">
        <f>MONTH(order_data[[#This Row],[Order_Date]])</f>
        <v>3</v>
      </c>
    </row>
    <row r="1840" spans="1:18" x14ac:dyDescent="0.35">
      <c r="A1840" t="s">
        <v>2625</v>
      </c>
      <c r="B1840" t="s">
        <v>273</v>
      </c>
      <c r="C1840" t="s">
        <v>427</v>
      </c>
      <c r="D1840" t="s">
        <v>40</v>
      </c>
      <c r="E1840" t="s">
        <v>41</v>
      </c>
      <c r="F1840" t="s">
        <v>27</v>
      </c>
      <c r="G1840" t="s">
        <v>59</v>
      </c>
      <c r="H1840">
        <v>295</v>
      </c>
      <c r="I1840">
        <v>30</v>
      </c>
      <c r="J1840">
        <v>50</v>
      </c>
      <c r="K1840" t="s">
        <v>20</v>
      </c>
      <c r="L1840">
        <v>48</v>
      </c>
      <c r="M1840" t="s">
        <v>21</v>
      </c>
      <c r="N1840">
        <f>COUNTIF(order_data[Order_ID],order_data[[#This Row],[Order_ID]])</f>
        <v>1</v>
      </c>
      <c r="O1840">
        <f>order_data[[#This Row],[Order_Value]]-order_data[[#This Row],[Discount]]</f>
        <v>245</v>
      </c>
      <c r="P1840">
        <f>order_data[[#This Row],[Order_Value]]+order_data[[#This Row],[Delivery_Fee]]-order_data[[#This Row],[Discount]]</f>
        <v>275</v>
      </c>
      <c r="Q1840" t="str">
        <f>TEXT(order_data[[#This Row],[Order_Date]],"mmm")</f>
        <v>Mar</v>
      </c>
      <c r="R1840">
        <f>MONTH(order_data[[#This Row],[Order_Date]])</f>
        <v>3</v>
      </c>
    </row>
    <row r="1841" spans="1:18" x14ac:dyDescent="0.35">
      <c r="A1841" t="s">
        <v>2626</v>
      </c>
      <c r="B1841" t="s">
        <v>291</v>
      </c>
      <c r="C1841" t="s">
        <v>2259</v>
      </c>
      <c r="D1841" t="s">
        <v>46</v>
      </c>
      <c r="E1841" t="s">
        <v>47</v>
      </c>
      <c r="F1841" t="s">
        <v>48</v>
      </c>
      <c r="G1841" t="s">
        <v>107</v>
      </c>
      <c r="H1841">
        <v>453</v>
      </c>
      <c r="I1841">
        <v>20</v>
      </c>
      <c r="J1841">
        <v>30</v>
      </c>
      <c r="K1841" t="s">
        <v>20</v>
      </c>
      <c r="L1841">
        <v>59</v>
      </c>
      <c r="M1841" t="s">
        <v>21</v>
      </c>
      <c r="N1841">
        <f>COUNTIF(order_data[Order_ID],order_data[[#This Row],[Order_ID]])</f>
        <v>1</v>
      </c>
      <c r="O1841">
        <f>order_data[[#This Row],[Order_Value]]-order_data[[#This Row],[Discount]]</f>
        <v>423</v>
      </c>
      <c r="P1841">
        <f>order_data[[#This Row],[Order_Value]]+order_data[[#This Row],[Delivery_Fee]]-order_data[[#This Row],[Discount]]</f>
        <v>443</v>
      </c>
      <c r="Q1841" t="str">
        <f>TEXT(order_data[[#This Row],[Order_Date]],"mmm")</f>
        <v>Feb</v>
      </c>
      <c r="R1841">
        <f>MONTH(order_data[[#This Row],[Order_Date]])</f>
        <v>2</v>
      </c>
    </row>
    <row r="1842" spans="1:18" x14ac:dyDescent="0.35">
      <c r="A1842" t="s">
        <v>2627</v>
      </c>
      <c r="B1842" t="s">
        <v>51</v>
      </c>
      <c r="C1842" t="s">
        <v>163</v>
      </c>
      <c r="D1842" t="s">
        <v>25</v>
      </c>
      <c r="E1842" t="s">
        <v>26</v>
      </c>
      <c r="F1842" t="s">
        <v>27</v>
      </c>
      <c r="G1842" t="s">
        <v>107</v>
      </c>
      <c r="H1842">
        <v>215</v>
      </c>
      <c r="I1842">
        <v>50</v>
      </c>
      <c r="J1842">
        <v>30</v>
      </c>
      <c r="K1842" t="s">
        <v>29</v>
      </c>
      <c r="L1842">
        <v>52</v>
      </c>
      <c r="M1842" t="s">
        <v>21</v>
      </c>
      <c r="N1842">
        <f>COUNTIF(order_data[Order_ID],order_data[[#This Row],[Order_ID]])</f>
        <v>1</v>
      </c>
      <c r="O1842">
        <f>order_data[[#This Row],[Order_Value]]-order_data[[#This Row],[Discount]]</f>
        <v>185</v>
      </c>
      <c r="P1842">
        <f>order_data[[#This Row],[Order_Value]]+order_data[[#This Row],[Delivery_Fee]]-order_data[[#This Row],[Discount]]</f>
        <v>235</v>
      </c>
      <c r="Q1842" t="str">
        <f>TEXT(order_data[[#This Row],[Order_Date]],"mmm")</f>
        <v>Feb</v>
      </c>
      <c r="R1842">
        <f>MONTH(order_data[[#This Row],[Order_Date]])</f>
        <v>2</v>
      </c>
    </row>
    <row r="1843" spans="1:18" x14ac:dyDescent="0.35">
      <c r="A1843" t="s">
        <v>2628</v>
      </c>
      <c r="B1843" t="s">
        <v>32</v>
      </c>
      <c r="C1843" t="s">
        <v>1441</v>
      </c>
      <c r="D1843" t="s">
        <v>53</v>
      </c>
      <c r="E1843" t="s">
        <v>54</v>
      </c>
      <c r="F1843" t="s">
        <v>55</v>
      </c>
      <c r="G1843" t="s">
        <v>74</v>
      </c>
      <c r="H1843">
        <v>512</v>
      </c>
      <c r="I1843">
        <v>20</v>
      </c>
      <c r="J1843">
        <v>30</v>
      </c>
      <c r="K1843" t="s">
        <v>36</v>
      </c>
      <c r="L1843">
        <v>25</v>
      </c>
      <c r="M1843" t="s">
        <v>21</v>
      </c>
      <c r="N1843">
        <f>COUNTIF(order_data[Order_ID],order_data[[#This Row],[Order_ID]])</f>
        <v>1</v>
      </c>
      <c r="O1843">
        <f>order_data[[#This Row],[Order_Value]]-order_data[[#This Row],[Discount]]</f>
        <v>482</v>
      </c>
      <c r="P1843">
        <f>order_data[[#This Row],[Order_Value]]+order_data[[#This Row],[Delivery_Fee]]-order_data[[#This Row],[Discount]]</f>
        <v>502</v>
      </c>
      <c r="Q1843" t="str">
        <f>TEXT(order_data[[#This Row],[Order_Date]],"mmm")</f>
        <v>Jan</v>
      </c>
      <c r="R1843">
        <f>MONTH(order_data[[#This Row],[Order_Date]])</f>
        <v>1</v>
      </c>
    </row>
    <row r="1844" spans="1:18" x14ac:dyDescent="0.35">
      <c r="A1844" t="s">
        <v>2629</v>
      </c>
      <c r="B1844" t="s">
        <v>133</v>
      </c>
      <c r="C1844" t="s">
        <v>2293</v>
      </c>
      <c r="D1844" t="s">
        <v>46</v>
      </c>
      <c r="E1844" t="s">
        <v>70</v>
      </c>
      <c r="F1844" t="s">
        <v>18</v>
      </c>
      <c r="G1844" t="s">
        <v>28</v>
      </c>
      <c r="H1844">
        <v>228</v>
      </c>
      <c r="I1844">
        <v>20</v>
      </c>
      <c r="J1844">
        <v>20</v>
      </c>
      <c r="K1844" t="s">
        <v>20</v>
      </c>
      <c r="L1844">
        <v>26</v>
      </c>
      <c r="M1844" t="s">
        <v>21</v>
      </c>
      <c r="N1844">
        <f>COUNTIF(order_data[Order_ID],order_data[[#This Row],[Order_ID]])</f>
        <v>1</v>
      </c>
      <c r="O1844">
        <f>order_data[[#This Row],[Order_Value]]-order_data[[#This Row],[Discount]]</f>
        <v>208</v>
      </c>
      <c r="P1844">
        <f>order_data[[#This Row],[Order_Value]]+order_data[[#This Row],[Delivery_Fee]]-order_data[[#This Row],[Discount]]</f>
        <v>228</v>
      </c>
      <c r="Q1844" t="str">
        <f>TEXT(order_data[[#This Row],[Order_Date]],"mmm")</f>
        <v>Mar</v>
      </c>
      <c r="R1844">
        <f>MONTH(order_data[[#This Row],[Order_Date]])</f>
        <v>3</v>
      </c>
    </row>
    <row r="1845" spans="1:18" x14ac:dyDescent="0.35">
      <c r="A1845" t="s">
        <v>2630</v>
      </c>
      <c r="B1845" t="s">
        <v>61</v>
      </c>
      <c r="C1845" t="s">
        <v>789</v>
      </c>
      <c r="D1845" t="s">
        <v>16</v>
      </c>
      <c r="E1845" t="s">
        <v>17</v>
      </c>
      <c r="F1845" t="s">
        <v>18</v>
      </c>
      <c r="G1845" t="s">
        <v>28</v>
      </c>
      <c r="H1845">
        <v>457</v>
      </c>
      <c r="I1845">
        <v>40</v>
      </c>
      <c r="J1845">
        <v>100</v>
      </c>
      <c r="K1845" t="s">
        <v>36</v>
      </c>
      <c r="L1845">
        <v>58</v>
      </c>
      <c r="M1845" t="s">
        <v>21</v>
      </c>
      <c r="N1845">
        <f>COUNTIF(order_data[Order_ID],order_data[[#This Row],[Order_ID]])</f>
        <v>1</v>
      </c>
      <c r="O1845">
        <f>order_data[[#This Row],[Order_Value]]-order_data[[#This Row],[Discount]]</f>
        <v>357</v>
      </c>
      <c r="P1845">
        <f>order_data[[#This Row],[Order_Value]]+order_data[[#This Row],[Delivery_Fee]]-order_data[[#This Row],[Discount]]</f>
        <v>397</v>
      </c>
      <c r="Q1845" t="str">
        <f>TEXT(order_data[[#This Row],[Order_Date]],"mmm")</f>
        <v>Jan</v>
      </c>
      <c r="R1845">
        <f>MONTH(order_data[[#This Row],[Order_Date]])</f>
        <v>1</v>
      </c>
    </row>
    <row r="1846" spans="1:18" x14ac:dyDescent="0.35">
      <c r="A1846" t="s">
        <v>2631</v>
      </c>
      <c r="B1846" t="s">
        <v>568</v>
      </c>
      <c r="C1846" t="s">
        <v>430</v>
      </c>
      <c r="D1846" t="s">
        <v>25</v>
      </c>
      <c r="E1846" t="s">
        <v>78</v>
      </c>
      <c r="F1846" t="s">
        <v>48</v>
      </c>
      <c r="G1846" t="s">
        <v>28</v>
      </c>
      <c r="H1846">
        <v>230</v>
      </c>
      <c r="I1846">
        <v>50</v>
      </c>
      <c r="J1846">
        <v>0</v>
      </c>
      <c r="K1846" t="s">
        <v>29</v>
      </c>
      <c r="L1846">
        <v>56</v>
      </c>
      <c r="M1846" t="s">
        <v>21</v>
      </c>
      <c r="N1846">
        <f>COUNTIF(order_data[Order_ID],order_data[[#This Row],[Order_ID]])</f>
        <v>1</v>
      </c>
      <c r="O1846">
        <f>order_data[[#This Row],[Order_Value]]-order_data[[#This Row],[Discount]]</f>
        <v>230</v>
      </c>
      <c r="P1846">
        <f>order_data[[#This Row],[Order_Value]]+order_data[[#This Row],[Delivery_Fee]]-order_data[[#This Row],[Discount]]</f>
        <v>280</v>
      </c>
      <c r="Q1846" t="str">
        <f>TEXT(order_data[[#This Row],[Order_Date]],"mmm")</f>
        <v>Mar</v>
      </c>
      <c r="R1846">
        <f>MONTH(order_data[[#This Row],[Order_Date]])</f>
        <v>3</v>
      </c>
    </row>
    <row r="1847" spans="1:18" x14ac:dyDescent="0.35">
      <c r="A1847" t="s">
        <v>2632</v>
      </c>
      <c r="B1847" t="s">
        <v>102</v>
      </c>
      <c r="C1847" t="s">
        <v>1024</v>
      </c>
      <c r="D1847" t="s">
        <v>53</v>
      </c>
      <c r="E1847" t="s">
        <v>54</v>
      </c>
      <c r="F1847" t="s">
        <v>55</v>
      </c>
      <c r="G1847" t="s">
        <v>49</v>
      </c>
      <c r="H1847">
        <v>659</v>
      </c>
      <c r="I1847">
        <v>20</v>
      </c>
      <c r="J1847">
        <v>30</v>
      </c>
      <c r="K1847" t="s">
        <v>20</v>
      </c>
      <c r="L1847">
        <v>25</v>
      </c>
      <c r="M1847" t="s">
        <v>21</v>
      </c>
      <c r="N1847">
        <f>COUNTIF(order_data[Order_ID],order_data[[#This Row],[Order_ID]])</f>
        <v>1</v>
      </c>
      <c r="O1847">
        <f>order_data[[#This Row],[Order_Value]]-order_data[[#This Row],[Discount]]</f>
        <v>629</v>
      </c>
      <c r="P1847">
        <f>order_data[[#This Row],[Order_Value]]+order_data[[#This Row],[Delivery_Fee]]-order_data[[#This Row],[Discount]]</f>
        <v>649</v>
      </c>
      <c r="Q1847" t="str">
        <f>TEXT(order_data[[#This Row],[Order_Date]],"mmm")</f>
        <v>Mar</v>
      </c>
      <c r="R1847">
        <f>MONTH(order_data[[#This Row],[Order_Date]])</f>
        <v>3</v>
      </c>
    </row>
    <row r="1848" spans="1:18" x14ac:dyDescent="0.35">
      <c r="A1848" t="s">
        <v>2633</v>
      </c>
      <c r="B1848" t="s">
        <v>241</v>
      </c>
      <c r="C1848" t="s">
        <v>315</v>
      </c>
      <c r="D1848" t="s">
        <v>16</v>
      </c>
      <c r="E1848" t="s">
        <v>131</v>
      </c>
      <c r="F1848" t="s">
        <v>55</v>
      </c>
      <c r="G1848" t="s">
        <v>42</v>
      </c>
      <c r="H1848">
        <v>447</v>
      </c>
      <c r="I1848">
        <v>30</v>
      </c>
      <c r="J1848">
        <v>100</v>
      </c>
      <c r="K1848" t="s">
        <v>20</v>
      </c>
      <c r="L1848">
        <v>32</v>
      </c>
      <c r="M1848" t="s">
        <v>21</v>
      </c>
      <c r="N1848">
        <f>COUNTIF(order_data[Order_ID],order_data[[#This Row],[Order_ID]])</f>
        <v>1</v>
      </c>
      <c r="O1848">
        <f>order_data[[#This Row],[Order_Value]]-order_data[[#This Row],[Discount]]</f>
        <v>347</v>
      </c>
      <c r="P1848">
        <f>order_data[[#This Row],[Order_Value]]+order_data[[#This Row],[Delivery_Fee]]-order_data[[#This Row],[Discount]]</f>
        <v>377</v>
      </c>
      <c r="Q1848" t="str">
        <f>TEXT(order_data[[#This Row],[Order_Date]],"mmm")</f>
        <v>Mar</v>
      </c>
      <c r="R1848">
        <f>MONTH(order_data[[#This Row],[Order_Date]])</f>
        <v>3</v>
      </c>
    </row>
    <row r="1849" spans="1:18" x14ac:dyDescent="0.35">
      <c r="A1849" t="s">
        <v>2634</v>
      </c>
      <c r="B1849" t="s">
        <v>178</v>
      </c>
      <c r="C1849" t="s">
        <v>789</v>
      </c>
      <c r="D1849" t="s">
        <v>16</v>
      </c>
      <c r="E1849" t="s">
        <v>89</v>
      </c>
      <c r="F1849" t="s">
        <v>18</v>
      </c>
      <c r="G1849" t="s">
        <v>28</v>
      </c>
      <c r="H1849">
        <v>420</v>
      </c>
      <c r="I1849">
        <v>40</v>
      </c>
      <c r="J1849">
        <v>30</v>
      </c>
      <c r="K1849" t="s">
        <v>29</v>
      </c>
      <c r="L1849">
        <v>23</v>
      </c>
      <c r="M1849" t="s">
        <v>21</v>
      </c>
      <c r="N1849">
        <f>COUNTIF(order_data[Order_ID],order_data[[#This Row],[Order_ID]])</f>
        <v>1</v>
      </c>
      <c r="O1849">
        <f>order_data[[#This Row],[Order_Value]]-order_data[[#This Row],[Discount]]</f>
        <v>390</v>
      </c>
      <c r="P1849">
        <f>order_data[[#This Row],[Order_Value]]+order_data[[#This Row],[Delivery_Fee]]-order_data[[#This Row],[Discount]]</f>
        <v>430</v>
      </c>
      <c r="Q1849" t="str">
        <f>TEXT(order_data[[#This Row],[Order_Date]],"mmm")</f>
        <v>Feb</v>
      </c>
      <c r="R1849">
        <f>MONTH(order_data[[#This Row],[Order_Date]])</f>
        <v>2</v>
      </c>
    </row>
    <row r="1850" spans="1:18" x14ac:dyDescent="0.35">
      <c r="A1850" t="s">
        <v>2635</v>
      </c>
      <c r="B1850" t="s">
        <v>286</v>
      </c>
      <c r="C1850" t="s">
        <v>779</v>
      </c>
      <c r="D1850" t="s">
        <v>25</v>
      </c>
      <c r="E1850" t="s">
        <v>26</v>
      </c>
      <c r="F1850" t="s">
        <v>27</v>
      </c>
      <c r="G1850" t="s">
        <v>107</v>
      </c>
      <c r="H1850">
        <v>798</v>
      </c>
      <c r="I1850">
        <v>30</v>
      </c>
      <c r="J1850">
        <v>20</v>
      </c>
      <c r="K1850" t="s">
        <v>29</v>
      </c>
      <c r="L1850">
        <v>36</v>
      </c>
      <c r="M1850" t="s">
        <v>21</v>
      </c>
      <c r="N1850">
        <f>COUNTIF(order_data[Order_ID],order_data[[#This Row],[Order_ID]])</f>
        <v>1</v>
      </c>
      <c r="O1850">
        <f>order_data[[#This Row],[Order_Value]]-order_data[[#This Row],[Discount]]</f>
        <v>778</v>
      </c>
      <c r="P1850">
        <f>order_data[[#This Row],[Order_Value]]+order_data[[#This Row],[Delivery_Fee]]-order_data[[#This Row],[Discount]]</f>
        <v>808</v>
      </c>
      <c r="Q1850" t="str">
        <f>TEXT(order_data[[#This Row],[Order_Date]],"mmm")</f>
        <v>Mar</v>
      </c>
      <c r="R1850">
        <f>MONTH(order_data[[#This Row],[Order_Date]])</f>
        <v>3</v>
      </c>
    </row>
    <row r="1851" spans="1:18" x14ac:dyDescent="0.35">
      <c r="A1851" t="s">
        <v>2636</v>
      </c>
      <c r="B1851" t="s">
        <v>241</v>
      </c>
      <c r="C1851" t="s">
        <v>1061</v>
      </c>
      <c r="D1851" t="s">
        <v>25</v>
      </c>
      <c r="E1851" t="s">
        <v>34</v>
      </c>
      <c r="F1851" t="s">
        <v>27</v>
      </c>
      <c r="G1851" t="s">
        <v>59</v>
      </c>
      <c r="H1851">
        <v>466</v>
      </c>
      <c r="I1851">
        <v>40</v>
      </c>
      <c r="J1851">
        <v>100</v>
      </c>
      <c r="K1851" t="s">
        <v>36</v>
      </c>
      <c r="L1851">
        <v>39</v>
      </c>
      <c r="M1851" t="s">
        <v>21</v>
      </c>
      <c r="N1851">
        <f>COUNTIF(order_data[Order_ID],order_data[[#This Row],[Order_ID]])</f>
        <v>1</v>
      </c>
      <c r="O1851">
        <f>order_data[[#This Row],[Order_Value]]-order_data[[#This Row],[Discount]]</f>
        <v>366</v>
      </c>
      <c r="P1851">
        <f>order_data[[#This Row],[Order_Value]]+order_data[[#This Row],[Delivery_Fee]]-order_data[[#This Row],[Discount]]</f>
        <v>406</v>
      </c>
      <c r="Q1851" t="str">
        <f>TEXT(order_data[[#This Row],[Order_Date]],"mmm")</f>
        <v>Mar</v>
      </c>
      <c r="R1851">
        <f>MONTH(order_data[[#This Row],[Order_Date]])</f>
        <v>3</v>
      </c>
    </row>
    <row r="1852" spans="1:18" x14ac:dyDescent="0.35">
      <c r="A1852" t="s">
        <v>2637</v>
      </c>
      <c r="B1852" t="s">
        <v>541</v>
      </c>
      <c r="C1852" t="s">
        <v>1432</v>
      </c>
      <c r="D1852" t="s">
        <v>46</v>
      </c>
      <c r="E1852" t="s">
        <v>148</v>
      </c>
      <c r="F1852" t="s">
        <v>27</v>
      </c>
      <c r="G1852" t="s">
        <v>176</v>
      </c>
      <c r="H1852">
        <v>608</v>
      </c>
      <c r="I1852">
        <v>50</v>
      </c>
      <c r="J1852">
        <v>20</v>
      </c>
      <c r="K1852" t="s">
        <v>20</v>
      </c>
      <c r="L1852">
        <v>37</v>
      </c>
      <c r="M1852" t="s">
        <v>21</v>
      </c>
      <c r="N1852">
        <f>COUNTIF(order_data[Order_ID],order_data[[#This Row],[Order_ID]])</f>
        <v>1</v>
      </c>
      <c r="O1852">
        <f>order_data[[#This Row],[Order_Value]]-order_data[[#This Row],[Discount]]</f>
        <v>588</v>
      </c>
      <c r="P1852">
        <f>order_data[[#This Row],[Order_Value]]+order_data[[#This Row],[Delivery_Fee]]-order_data[[#This Row],[Discount]]</f>
        <v>638</v>
      </c>
      <c r="Q1852" t="str">
        <f>TEXT(order_data[[#This Row],[Order_Date]],"mmm")</f>
        <v>Jan</v>
      </c>
      <c r="R1852">
        <f>MONTH(order_data[[#This Row],[Order_Date]])</f>
        <v>1</v>
      </c>
    </row>
    <row r="1853" spans="1:18" x14ac:dyDescent="0.35">
      <c r="A1853" t="s">
        <v>2638</v>
      </c>
      <c r="B1853" t="s">
        <v>252</v>
      </c>
      <c r="C1853" t="s">
        <v>1779</v>
      </c>
      <c r="D1853" t="s">
        <v>40</v>
      </c>
      <c r="E1853" t="s">
        <v>41</v>
      </c>
      <c r="F1853" t="s">
        <v>27</v>
      </c>
      <c r="G1853" t="s">
        <v>59</v>
      </c>
      <c r="H1853">
        <v>291</v>
      </c>
      <c r="I1853">
        <v>40</v>
      </c>
      <c r="J1853">
        <v>0</v>
      </c>
      <c r="K1853" t="s">
        <v>29</v>
      </c>
      <c r="L1853">
        <v>31</v>
      </c>
      <c r="M1853" t="s">
        <v>21</v>
      </c>
      <c r="N1853">
        <f>COUNTIF(order_data[Order_ID],order_data[[#This Row],[Order_ID]])</f>
        <v>1</v>
      </c>
      <c r="O1853">
        <f>order_data[[#This Row],[Order_Value]]-order_data[[#This Row],[Discount]]</f>
        <v>291</v>
      </c>
      <c r="P1853">
        <f>order_data[[#This Row],[Order_Value]]+order_data[[#This Row],[Delivery_Fee]]-order_data[[#This Row],[Discount]]</f>
        <v>331</v>
      </c>
      <c r="Q1853" t="str">
        <f>TEXT(order_data[[#This Row],[Order_Date]],"mmm")</f>
        <v>Jan</v>
      </c>
      <c r="R1853">
        <f>MONTH(order_data[[#This Row],[Order_Date]])</f>
        <v>1</v>
      </c>
    </row>
    <row r="1854" spans="1:18" x14ac:dyDescent="0.35">
      <c r="A1854" t="s">
        <v>2639</v>
      </c>
      <c r="B1854" t="s">
        <v>99</v>
      </c>
      <c r="C1854" t="s">
        <v>2640</v>
      </c>
      <c r="D1854" t="s">
        <v>46</v>
      </c>
      <c r="E1854" t="s">
        <v>148</v>
      </c>
      <c r="F1854" t="s">
        <v>27</v>
      </c>
      <c r="G1854" t="s">
        <v>74</v>
      </c>
      <c r="H1854">
        <v>358</v>
      </c>
      <c r="I1854">
        <v>20</v>
      </c>
      <c r="J1854">
        <v>100</v>
      </c>
      <c r="K1854" t="s">
        <v>29</v>
      </c>
      <c r="L1854">
        <v>51</v>
      </c>
      <c r="M1854" t="s">
        <v>21</v>
      </c>
      <c r="N1854">
        <f>COUNTIF(order_data[Order_ID],order_data[[#This Row],[Order_ID]])</f>
        <v>1</v>
      </c>
      <c r="O1854">
        <f>order_data[[#This Row],[Order_Value]]-order_data[[#This Row],[Discount]]</f>
        <v>258</v>
      </c>
      <c r="P1854">
        <f>order_data[[#This Row],[Order_Value]]+order_data[[#This Row],[Delivery_Fee]]-order_data[[#This Row],[Discount]]</f>
        <v>278</v>
      </c>
      <c r="Q1854" t="str">
        <f>TEXT(order_data[[#This Row],[Order_Date]],"mmm")</f>
        <v>Mar</v>
      </c>
      <c r="R1854">
        <f>MONTH(order_data[[#This Row],[Order_Date]])</f>
        <v>3</v>
      </c>
    </row>
    <row r="1855" spans="1:18" x14ac:dyDescent="0.35">
      <c r="A1855" t="s">
        <v>2641</v>
      </c>
      <c r="B1855" t="s">
        <v>113</v>
      </c>
      <c r="C1855" t="s">
        <v>1495</v>
      </c>
      <c r="D1855" t="s">
        <v>25</v>
      </c>
      <c r="E1855" t="s">
        <v>78</v>
      </c>
      <c r="F1855" t="s">
        <v>48</v>
      </c>
      <c r="G1855" t="s">
        <v>59</v>
      </c>
      <c r="H1855">
        <v>545</v>
      </c>
      <c r="I1855">
        <v>30</v>
      </c>
      <c r="J1855">
        <v>100</v>
      </c>
      <c r="K1855" t="s">
        <v>29</v>
      </c>
      <c r="L1855">
        <v>44</v>
      </c>
      <c r="M1855" t="s">
        <v>21</v>
      </c>
      <c r="N1855">
        <f>COUNTIF(order_data[Order_ID],order_data[[#This Row],[Order_ID]])</f>
        <v>1</v>
      </c>
      <c r="O1855">
        <f>order_data[[#This Row],[Order_Value]]-order_data[[#This Row],[Discount]]</f>
        <v>445</v>
      </c>
      <c r="P1855">
        <f>order_data[[#This Row],[Order_Value]]+order_data[[#This Row],[Delivery_Fee]]-order_data[[#This Row],[Discount]]</f>
        <v>475</v>
      </c>
      <c r="Q1855" t="str">
        <f>TEXT(order_data[[#This Row],[Order_Date]],"mmm")</f>
        <v>Mar</v>
      </c>
      <c r="R1855">
        <f>MONTH(order_data[[#This Row],[Order_Date]])</f>
        <v>3</v>
      </c>
    </row>
    <row r="1856" spans="1:18" x14ac:dyDescent="0.35">
      <c r="A1856" t="s">
        <v>2642</v>
      </c>
      <c r="B1856" t="s">
        <v>154</v>
      </c>
      <c r="C1856" t="s">
        <v>195</v>
      </c>
      <c r="D1856" t="s">
        <v>53</v>
      </c>
      <c r="E1856" t="s">
        <v>84</v>
      </c>
      <c r="F1856" t="s">
        <v>85</v>
      </c>
      <c r="G1856" t="s">
        <v>107</v>
      </c>
      <c r="H1856">
        <v>529</v>
      </c>
      <c r="I1856">
        <v>30</v>
      </c>
      <c r="J1856">
        <v>30</v>
      </c>
      <c r="K1856" t="s">
        <v>20</v>
      </c>
      <c r="L1856">
        <v>21</v>
      </c>
      <c r="M1856" t="s">
        <v>21</v>
      </c>
      <c r="N1856">
        <f>COUNTIF(order_data[Order_ID],order_data[[#This Row],[Order_ID]])</f>
        <v>1</v>
      </c>
      <c r="O1856">
        <f>order_data[[#This Row],[Order_Value]]-order_data[[#This Row],[Discount]]</f>
        <v>499</v>
      </c>
      <c r="P1856">
        <f>order_data[[#This Row],[Order_Value]]+order_data[[#This Row],[Delivery_Fee]]-order_data[[#This Row],[Discount]]</f>
        <v>529</v>
      </c>
      <c r="Q1856" t="str">
        <f>TEXT(order_data[[#This Row],[Order_Date]],"mmm")</f>
        <v>Jan</v>
      </c>
      <c r="R1856">
        <f>MONTH(order_data[[#This Row],[Order_Date]])</f>
        <v>1</v>
      </c>
    </row>
    <row r="1857" spans="1:18" x14ac:dyDescent="0.35">
      <c r="A1857" t="s">
        <v>2643</v>
      </c>
      <c r="B1857" t="s">
        <v>178</v>
      </c>
      <c r="C1857" t="s">
        <v>1098</v>
      </c>
      <c r="D1857" t="s">
        <v>25</v>
      </c>
      <c r="E1857" t="s">
        <v>26</v>
      </c>
      <c r="F1857" t="s">
        <v>27</v>
      </c>
      <c r="G1857" t="s">
        <v>42</v>
      </c>
      <c r="H1857">
        <v>225</v>
      </c>
      <c r="I1857">
        <v>30</v>
      </c>
      <c r="J1857">
        <v>0</v>
      </c>
      <c r="K1857" t="s">
        <v>36</v>
      </c>
      <c r="L1857">
        <v>46</v>
      </c>
      <c r="M1857" t="s">
        <v>21</v>
      </c>
      <c r="N1857">
        <f>COUNTIF(order_data[Order_ID],order_data[[#This Row],[Order_ID]])</f>
        <v>1</v>
      </c>
      <c r="O1857">
        <f>order_data[[#This Row],[Order_Value]]-order_data[[#This Row],[Discount]]</f>
        <v>225</v>
      </c>
      <c r="P1857">
        <f>order_data[[#This Row],[Order_Value]]+order_data[[#This Row],[Delivery_Fee]]-order_data[[#This Row],[Discount]]</f>
        <v>255</v>
      </c>
      <c r="Q1857" t="str">
        <f>TEXT(order_data[[#This Row],[Order_Date]],"mmm")</f>
        <v>Feb</v>
      </c>
      <c r="R1857">
        <f>MONTH(order_data[[#This Row],[Order_Date]])</f>
        <v>2</v>
      </c>
    </row>
    <row r="1858" spans="1:18" x14ac:dyDescent="0.35">
      <c r="A1858" t="s">
        <v>2644</v>
      </c>
      <c r="B1858" t="s">
        <v>174</v>
      </c>
      <c r="C1858" t="s">
        <v>2460</v>
      </c>
      <c r="D1858" t="s">
        <v>25</v>
      </c>
      <c r="E1858" t="s">
        <v>78</v>
      </c>
      <c r="F1858" t="s">
        <v>48</v>
      </c>
      <c r="G1858" t="s">
        <v>107</v>
      </c>
      <c r="H1858">
        <v>775</v>
      </c>
      <c r="I1858">
        <v>20</v>
      </c>
      <c r="J1858">
        <v>50</v>
      </c>
      <c r="K1858" t="s">
        <v>29</v>
      </c>
      <c r="L1858">
        <v>55</v>
      </c>
      <c r="M1858" t="s">
        <v>21</v>
      </c>
      <c r="N1858">
        <f>COUNTIF(order_data[Order_ID],order_data[[#This Row],[Order_ID]])</f>
        <v>1</v>
      </c>
      <c r="O1858">
        <f>order_data[[#This Row],[Order_Value]]-order_data[[#This Row],[Discount]]</f>
        <v>725</v>
      </c>
      <c r="P1858">
        <f>order_data[[#This Row],[Order_Value]]+order_data[[#This Row],[Delivery_Fee]]-order_data[[#This Row],[Discount]]</f>
        <v>745</v>
      </c>
      <c r="Q1858" t="str">
        <f>TEXT(order_data[[#This Row],[Order_Date]],"mmm")</f>
        <v>Feb</v>
      </c>
      <c r="R1858">
        <f>MONTH(order_data[[#This Row],[Order_Date]])</f>
        <v>2</v>
      </c>
    </row>
    <row r="1859" spans="1:18" x14ac:dyDescent="0.35">
      <c r="A1859" t="s">
        <v>2645</v>
      </c>
      <c r="B1859" t="s">
        <v>174</v>
      </c>
      <c r="C1859" t="s">
        <v>1561</v>
      </c>
      <c r="D1859" t="s">
        <v>53</v>
      </c>
      <c r="E1859" t="s">
        <v>84</v>
      </c>
      <c r="F1859" t="s">
        <v>85</v>
      </c>
      <c r="G1859" t="s">
        <v>42</v>
      </c>
      <c r="H1859">
        <v>744</v>
      </c>
      <c r="I1859">
        <v>20</v>
      </c>
      <c r="J1859">
        <v>50</v>
      </c>
      <c r="K1859" t="s">
        <v>20</v>
      </c>
      <c r="L1859">
        <v>44</v>
      </c>
      <c r="M1859" t="s">
        <v>21</v>
      </c>
      <c r="N1859">
        <f>COUNTIF(order_data[Order_ID],order_data[[#This Row],[Order_ID]])</f>
        <v>1</v>
      </c>
      <c r="O1859">
        <f>order_data[[#This Row],[Order_Value]]-order_data[[#This Row],[Discount]]</f>
        <v>694</v>
      </c>
      <c r="P1859">
        <f>order_data[[#This Row],[Order_Value]]+order_data[[#This Row],[Delivery_Fee]]-order_data[[#This Row],[Discount]]</f>
        <v>714</v>
      </c>
      <c r="Q1859" t="str">
        <f>TEXT(order_data[[#This Row],[Order_Date]],"mmm")</f>
        <v>Feb</v>
      </c>
      <c r="R1859">
        <f>MONTH(order_data[[#This Row],[Order_Date]])</f>
        <v>2</v>
      </c>
    </row>
    <row r="1860" spans="1:18" x14ac:dyDescent="0.35">
      <c r="A1860" t="s">
        <v>2646</v>
      </c>
      <c r="B1860" t="s">
        <v>51</v>
      </c>
      <c r="C1860" t="s">
        <v>2532</v>
      </c>
      <c r="D1860" t="s">
        <v>46</v>
      </c>
      <c r="E1860" t="s">
        <v>148</v>
      </c>
      <c r="F1860" t="s">
        <v>27</v>
      </c>
      <c r="G1860" t="s">
        <v>28</v>
      </c>
      <c r="H1860">
        <v>769</v>
      </c>
      <c r="I1860">
        <v>40</v>
      </c>
      <c r="J1860">
        <v>0</v>
      </c>
      <c r="K1860" t="s">
        <v>29</v>
      </c>
      <c r="L1860">
        <v>59</v>
      </c>
      <c r="M1860" t="s">
        <v>21</v>
      </c>
      <c r="N1860">
        <f>COUNTIF(order_data[Order_ID],order_data[[#This Row],[Order_ID]])</f>
        <v>1</v>
      </c>
      <c r="O1860">
        <f>order_data[[#This Row],[Order_Value]]-order_data[[#This Row],[Discount]]</f>
        <v>769</v>
      </c>
      <c r="P1860">
        <f>order_data[[#This Row],[Order_Value]]+order_data[[#This Row],[Delivery_Fee]]-order_data[[#This Row],[Discount]]</f>
        <v>809</v>
      </c>
      <c r="Q1860" t="str">
        <f>TEXT(order_data[[#This Row],[Order_Date]],"mmm")</f>
        <v>Feb</v>
      </c>
      <c r="R1860">
        <f>MONTH(order_data[[#This Row],[Order_Date]])</f>
        <v>2</v>
      </c>
    </row>
    <row r="1861" spans="1:18" x14ac:dyDescent="0.35">
      <c r="A1861" t="s">
        <v>2647</v>
      </c>
      <c r="B1861" t="s">
        <v>329</v>
      </c>
      <c r="C1861" t="s">
        <v>553</v>
      </c>
      <c r="D1861" t="s">
        <v>40</v>
      </c>
      <c r="E1861" t="s">
        <v>67</v>
      </c>
      <c r="F1861" t="s">
        <v>48</v>
      </c>
      <c r="G1861" t="s">
        <v>42</v>
      </c>
      <c r="H1861">
        <v>592</v>
      </c>
      <c r="I1861">
        <v>30</v>
      </c>
      <c r="J1861">
        <v>0</v>
      </c>
      <c r="K1861" t="s">
        <v>20</v>
      </c>
      <c r="L1861">
        <v>29</v>
      </c>
      <c r="M1861" t="s">
        <v>21</v>
      </c>
      <c r="N1861">
        <f>COUNTIF(order_data[Order_ID],order_data[[#This Row],[Order_ID]])</f>
        <v>1</v>
      </c>
      <c r="O1861">
        <f>order_data[[#This Row],[Order_Value]]-order_data[[#This Row],[Discount]]</f>
        <v>592</v>
      </c>
      <c r="P1861">
        <f>order_data[[#This Row],[Order_Value]]+order_data[[#This Row],[Delivery_Fee]]-order_data[[#This Row],[Discount]]</f>
        <v>622</v>
      </c>
      <c r="Q1861" t="str">
        <f>TEXT(order_data[[#This Row],[Order_Date]],"mmm")</f>
        <v>Mar</v>
      </c>
      <c r="R1861">
        <f>MONTH(order_data[[#This Row],[Order_Date]])</f>
        <v>3</v>
      </c>
    </row>
    <row r="1862" spans="1:18" x14ac:dyDescent="0.35">
      <c r="A1862" t="s">
        <v>2648</v>
      </c>
      <c r="B1862" t="s">
        <v>150</v>
      </c>
      <c r="C1862" t="s">
        <v>710</v>
      </c>
      <c r="D1862" t="s">
        <v>53</v>
      </c>
      <c r="E1862" t="s">
        <v>54</v>
      </c>
      <c r="F1862" t="s">
        <v>55</v>
      </c>
      <c r="G1862" t="s">
        <v>74</v>
      </c>
      <c r="H1862">
        <v>567</v>
      </c>
      <c r="I1862">
        <v>40</v>
      </c>
      <c r="J1862">
        <v>100</v>
      </c>
      <c r="K1862" t="s">
        <v>36</v>
      </c>
      <c r="L1862">
        <v>46</v>
      </c>
      <c r="M1862" t="s">
        <v>21</v>
      </c>
      <c r="N1862">
        <f>COUNTIF(order_data[Order_ID],order_data[[#This Row],[Order_ID]])</f>
        <v>1</v>
      </c>
      <c r="O1862">
        <f>order_data[[#This Row],[Order_Value]]-order_data[[#This Row],[Discount]]</f>
        <v>467</v>
      </c>
      <c r="P1862">
        <f>order_data[[#This Row],[Order_Value]]+order_data[[#This Row],[Delivery_Fee]]-order_data[[#This Row],[Discount]]</f>
        <v>507</v>
      </c>
      <c r="Q1862" t="str">
        <f>TEXT(order_data[[#This Row],[Order_Date]],"mmm")</f>
        <v>Feb</v>
      </c>
      <c r="R1862">
        <f>MONTH(order_data[[#This Row],[Order_Date]])</f>
        <v>2</v>
      </c>
    </row>
    <row r="1863" spans="1:18" x14ac:dyDescent="0.35">
      <c r="A1863" t="s">
        <v>2649</v>
      </c>
      <c r="B1863" t="s">
        <v>76</v>
      </c>
      <c r="C1863" t="s">
        <v>414</v>
      </c>
      <c r="D1863" t="s">
        <v>53</v>
      </c>
      <c r="E1863" t="s">
        <v>54</v>
      </c>
      <c r="F1863" t="s">
        <v>55</v>
      </c>
      <c r="G1863" t="s">
        <v>107</v>
      </c>
      <c r="H1863">
        <v>368</v>
      </c>
      <c r="I1863">
        <v>20</v>
      </c>
      <c r="J1863">
        <v>0</v>
      </c>
      <c r="K1863" t="s">
        <v>36</v>
      </c>
      <c r="L1863">
        <v>45</v>
      </c>
      <c r="M1863" t="s">
        <v>21</v>
      </c>
      <c r="N1863">
        <f>COUNTIF(order_data[Order_ID],order_data[[#This Row],[Order_ID]])</f>
        <v>1</v>
      </c>
      <c r="O1863">
        <f>order_data[[#This Row],[Order_Value]]-order_data[[#This Row],[Discount]]</f>
        <v>368</v>
      </c>
      <c r="P1863">
        <f>order_data[[#This Row],[Order_Value]]+order_data[[#This Row],[Delivery_Fee]]-order_data[[#This Row],[Discount]]</f>
        <v>388</v>
      </c>
      <c r="Q1863" t="str">
        <f>TEXT(order_data[[#This Row],[Order_Date]],"mmm")</f>
        <v>Feb</v>
      </c>
      <c r="R1863">
        <f>MONTH(order_data[[#This Row],[Order_Date]])</f>
        <v>2</v>
      </c>
    </row>
    <row r="1864" spans="1:18" x14ac:dyDescent="0.35">
      <c r="A1864" t="s">
        <v>2650</v>
      </c>
      <c r="B1864" t="s">
        <v>113</v>
      </c>
      <c r="C1864" t="s">
        <v>2446</v>
      </c>
      <c r="D1864" t="s">
        <v>25</v>
      </c>
      <c r="E1864" t="s">
        <v>34</v>
      </c>
      <c r="F1864" t="s">
        <v>27</v>
      </c>
      <c r="G1864" t="s">
        <v>35</v>
      </c>
      <c r="H1864">
        <v>486</v>
      </c>
      <c r="I1864">
        <v>30</v>
      </c>
      <c r="J1864">
        <v>0</v>
      </c>
      <c r="K1864" t="s">
        <v>36</v>
      </c>
      <c r="L1864">
        <v>58</v>
      </c>
      <c r="M1864" t="s">
        <v>21</v>
      </c>
      <c r="N1864">
        <f>COUNTIF(order_data[Order_ID],order_data[[#This Row],[Order_ID]])</f>
        <v>1</v>
      </c>
      <c r="O1864">
        <f>order_data[[#This Row],[Order_Value]]-order_data[[#This Row],[Discount]]</f>
        <v>486</v>
      </c>
      <c r="P1864">
        <f>order_data[[#This Row],[Order_Value]]+order_data[[#This Row],[Delivery_Fee]]-order_data[[#This Row],[Discount]]</f>
        <v>516</v>
      </c>
      <c r="Q1864" t="str">
        <f>TEXT(order_data[[#This Row],[Order_Date]],"mmm")</f>
        <v>Mar</v>
      </c>
      <c r="R1864">
        <f>MONTH(order_data[[#This Row],[Order_Date]])</f>
        <v>3</v>
      </c>
    </row>
    <row r="1865" spans="1:18" x14ac:dyDescent="0.35">
      <c r="A1865" t="s">
        <v>2651</v>
      </c>
      <c r="B1865" t="s">
        <v>244</v>
      </c>
      <c r="C1865" t="s">
        <v>455</v>
      </c>
      <c r="D1865" t="s">
        <v>16</v>
      </c>
      <c r="E1865" t="s">
        <v>131</v>
      </c>
      <c r="F1865" t="s">
        <v>55</v>
      </c>
      <c r="G1865" t="s">
        <v>63</v>
      </c>
      <c r="H1865">
        <v>782</v>
      </c>
      <c r="I1865">
        <v>50</v>
      </c>
      <c r="J1865">
        <v>20</v>
      </c>
      <c r="K1865" t="s">
        <v>20</v>
      </c>
      <c r="L1865">
        <v>58</v>
      </c>
      <c r="M1865" t="s">
        <v>21</v>
      </c>
      <c r="N1865">
        <f>COUNTIF(order_data[Order_ID],order_data[[#This Row],[Order_ID]])</f>
        <v>1</v>
      </c>
      <c r="O1865">
        <f>order_data[[#This Row],[Order_Value]]-order_data[[#This Row],[Discount]]</f>
        <v>762</v>
      </c>
      <c r="P1865">
        <f>order_data[[#This Row],[Order_Value]]+order_data[[#This Row],[Delivery_Fee]]-order_data[[#This Row],[Discount]]</f>
        <v>812</v>
      </c>
      <c r="Q1865" t="str">
        <f>TEXT(order_data[[#This Row],[Order_Date]],"mmm")</f>
        <v>Feb</v>
      </c>
      <c r="R1865">
        <f>MONTH(order_data[[#This Row],[Order_Date]])</f>
        <v>2</v>
      </c>
    </row>
    <row r="1866" spans="1:18" x14ac:dyDescent="0.35">
      <c r="A1866" t="s">
        <v>2652</v>
      </c>
      <c r="B1866" t="s">
        <v>413</v>
      </c>
      <c r="C1866" t="s">
        <v>1179</v>
      </c>
      <c r="D1866" t="s">
        <v>25</v>
      </c>
      <c r="E1866" t="s">
        <v>34</v>
      </c>
      <c r="F1866" t="s">
        <v>27</v>
      </c>
      <c r="G1866" t="s">
        <v>107</v>
      </c>
      <c r="H1866">
        <v>175</v>
      </c>
      <c r="I1866">
        <v>40</v>
      </c>
      <c r="J1866">
        <v>100</v>
      </c>
      <c r="K1866" t="s">
        <v>20</v>
      </c>
      <c r="L1866">
        <v>46</v>
      </c>
      <c r="M1866" t="s">
        <v>21</v>
      </c>
      <c r="N1866">
        <f>COUNTIF(order_data[Order_ID],order_data[[#This Row],[Order_ID]])</f>
        <v>1</v>
      </c>
      <c r="O1866">
        <f>order_data[[#This Row],[Order_Value]]-order_data[[#This Row],[Discount]]</f>
        <v>75</v>
      </c>
      <c r="P1866">
        <f>order_data[[#This Row],[Order_Value]]+order_data[[#This Row],[Delivery_Fee]]-order_data[[#This Row],[Discount]]</f>
        <v>115</v>
      </c>
      <c r="Q1866" t="str">
        <f>TEXT(order_data[[#This Row],[Order_Date]],"mmm")</f>
        <v>Mar</v>
      </c>
      <c r="R1866">
        <f>MONTH(order_data[[#This Row],[Order_Date]])</f>
        <v>3</v>
      </c>
    </row>
    <row r="1867" spans="1:18" x14ac:dyDescent="0.35">
      <c r="A1867" t="s">
        <v>2653</v>
      </c>
      <c r="B1867" t="s">
        <v>38</v>
      </c>
      <c r="C1867" t="s">
        <v>799</v>
      </c>
      <c r="D1867" t="s">
        <v>25</v>
      </c>
      <c r="E1867" t="s">
        <v>26</v>
      </c>
      <c r="F1867" t="s">
        <v>27</v>
      </c>
      <c r="G1867" t="s">
        <v>74</v>
      </c>
      <c r="H1867">
        <v>364</v>
      </c>
      <c r="I1867">
        <v>30</v>
      </c>
      <c r="J1867">
        <v>20</v>
      </c>
      <c r="K1867" t="s">
        <v>20</v>
      </c>
      <c r="L1867">
        <v>43</v>
      </c>
      <c r="M1867" t="s">
        <v>30</v>
      </c>
      <c r="N1867">
        <f>COUNTIF(order_data[Order_ID],order_data[[#This Row],[Order_ID]])</f>
        <v>1</v>
      </c>
      <c r="O1867">
        <f>order_data[[#This Row],[Order_Value]]-order_data[[#This Row],[Discount]]</f>
        <v>344</v>
      </c>
      <c r="P1867">
        <f>order_data[[#This Row],[Order_Value]]+order_data[[#This Row],[Delivery_Fee]]-order_data[[#This Row],[Discount]]</f>
        <v>374</v>
      </c>
      <c r="Q1867" t="str">
        <f>TEXT(order_data[[#This Row],[Order_Date]],"mmm")</f>
        <v>Jan</v>
      </c>
      <c r="R1867">
        <f>MONTH(order_data[[#This Row],[Order_Date]])</f>
        <v>1</v>
      </c>
    </row>
    <row r="1868" spans="1:18" x14ac:dyDescent="0.35">
      <c r="A1868" t="s">
        <v>2654</v>
      </c>
      <c r="B1868" t="s">
        <v>102</v>
      </c>
      <c r="C1868" t="s">
        <v>1318</v>
      </c>
      <c r="D1868" t="s">
        <v>40</v>
      </c>
      <c r="E1868" t="s">
        <v>111</v>
      </c>
      <c r="F1868" t="s">
        <v>18</v>
      </c>
      <c r="G1868" t="s">
        <v>107</v>
      </c>
      <c r="H1868">
        <v>195</v>
      </c>
      <c r="I1868">
        <v>30</v>
      </c>
      <c r="J1868">
        <v>0</v>
      </c>
      <c r="K1868" t="s">
        <v>20</v>
      </c>
      <c r="L1868">
        <v>44</v>
      </c>
      <c r="M1868" t="s">
        <v>21</v>
      </c>
      <c r="N1868">
        <f>COUNTIF(order_data[Order_ID],order_data[[#This Row],[Order_ID]])</f>
        <v>1</v>
      </c>
      <c r="O1868">
        <f>order_data[[#This Row],[Order_Value]]-order_data[[#This Row],[Discount]]</f>
        <v>195</v>
      </c>
      <c r="P1868">
        <f>order_data[[#This Row],[Order_Value]]+order_data[[#This Row],[Delivery_Fee]]-order_data[[#This Row],[Discount]]</f>
        <v>225</v>
      </c>
      <c r="Q1868" t="str">
        <f>TEXT(order_data[[#This Row],[Order_Date]],"mmm")</f>
        <v>Mar</v>
      </c>
      <c r="R1868">
        <f>MONTH(order_data[[#This Row],[Order_Date]])</f>
        <v>3</v>
      </c>
    </row>
    <row r="1869" spans="1:18" x14ac:dyDescent="0.35">
      <c r="A1869" t="s">
        <v>2655</v>
      </c>
      <c r="B1869" t="s">
        <v>473</v>
      </c>
      <c r="C1869" t="s">
        <v>1024</v>
      </c>
      <c r="D1869" t="s">
        <v>40</v>
      </c>
      <c r="E1869" t="s">
        <v>41</v>
      </c>
      <c r="F1869" t="s">
        <v>27</v>
      </c>
      <c r="G1869" t="s">
        <v>49</v>
      </c>
      <c r="H1869">
        <v>297</v>
      </c>
      <c r="I1869">
        <v>20</v>
      </c>
      <c r="J1869">
        <v>30</v>
      </c>
      <c r="K1869" t="s">
        <v>36</v>
      </c>
      <c r="L1869">
        <v>29</v>
      </c>
      <c r="M1869" t="s">
        <v>21</v>
      </c>
      <c r="N1869">
        <f>COUNTIF(order_data[Order_ID],order_data[[#This Row],[Order_ID]])</f>
        <v>1</v>
      </c>
      <c r="O1869">
        <f>order_data[[#This Row],[Order_Value]]-order_data[[#This Row],[Discount]]</f>
        <v>267</v>
      </c>
      <c r="P1869">
        <f>order_data[[#This Row],[Order_Value]]+order_data[[#This Row],[Delivery_Fee]]-order_data[[#This Row],[Discount]]</f>
        <v>287</v>
      </c>
      <c r="Q1869" t="str">
        <f>TEXT(order_data[[#This Row],[Order_Date]],"mmm")</f>
        <v>Mar</v>
      </c>
      <c r="R1869">
        <f>MONTH(order_data[[#This Row],[Order_Date]])</f>
        <v>3</v>
      </c>
    </row>
    <row r="1870" spans="1:18" x14ac:dyDescent="0.35">
      <c r="A1870" t="s">
        <v>2656</v>
      </c>
      <c r="B1870" t="s">
        <v>416</v>
      </c>
      <c r="C1870" t="s">
        <v>315</v>
      </c>
      <c r="D1870" t="s">
        <v>53</v>
      </c>
      <c r="E1870" t="s">
        <v>54</v>
      </c>
      <c r="F1870" t="s">
        <v>55</v>
      </c>
      <c r="G1870" t="s">
        <v>28</v>
      </c>
      <c r="H1870">
        <v>644</v>
      </c>
      <c r="I1870">
        <v>20</v>
      </c>
      <c r="J1870">
        <v>0</v>
      </c>
      <c r="K1870" t="s">
        <v>36</v>
      </c>
      <c r="L1870">
        <v>30</v>
      </c>
      <c r="M1870" t="s">
        <v>21</v>
      </c>
      <c r="N1870">
        <f>COUNTIF(order_data[Order_ID],order_data[[#This Row],[Order_ID]])</f>
        <v>1</v>
      </c>
      <c r="O1870">
        <f>order_data[[#This Row],[Order_Value]]-order_data[[#This Row],[Discount]]</f>
        <v>644</v>
      </c>
      <c r="P1870">
        <f>order_data[[#This Row],[Order_Value]]+order_data[[#This Row],[Delivery_Fee]]-order_data[[#This Row],[Discount]]</f>
        <v>664</v>
      </c>
      <c r="Q1870" t="str">
        <f>TEXT(order_data[[#This Row],[Order_Date]],"mmm")</f>
        <v>Mar</v>
      </c>
      <c r="R1870">
        <f>MONTH(order_data[[#This Row],[Order_Date]])</f>
        <v>3</v>
      </c>
    </row>
    <row r="1871" spans="1:18" x14ac:dyDescent="0.35">
      <c r="A1871" t="s">
        <v>2657</v>
      </c>
      <c r="B1871" t="s">
        <v>57</v>
      </c>
      <c r="C1871" t="s">
        <v>216</v>
      </c>
      <c r="D1871" t="s">
        <v>40</v>
      </c>
      <c r="E1871" t="s">
        <v>111</v>
      </c>
      <c r="F1871" t="s">
        <v>18</v>
      </c>
      <c r="G1871" t="s">
        <v>42</v>
      </c>
      <c r="H1871">
        <v>764</v>
      </c>
      <c r="I1871">
        <v>20</v>
      </c>
      <c r="J1871">
        <v>30</v>
      </c>
      <c r="K1871" t="s">
        <v>29</v>
      </c>
      <c r="L1871">
        <v>41</v>
      </c>
      <c r="M1871" t="s">
        <v>21</v>
      </c>
      <c r="N1871">
        <f>COUNTIF(order_data[Order_ID],order_data[[#This Row],[Order_ID]])</f>
        <v>1</v>
      </c>
      <c r="O1871">
        <f>order_data[[#This Row],[Order_Value]]-order_data[[#This Row],[Discount]]</f>
        <v>734</v>
      </c>
      <c r="P1871">
        <f>order_data[[#This Row],[Order_Value]]+order_data[[#This Row],[Delivery_Fee]]-order_data[[#This Row],[Discount]]</f>
        <v>754</v>
      </c>
      <c r="Q1871" t="str">
        <f>TEXT(order_data[[#This Row],[Order_Date]],"mmm")</f>
        <v>Jan</v>
      </c>
      <c r="R1871">
        <f>MONTH(order_data[[#This Row],[Order_Date]])</f>
        <v>1</v>
      </c>
    </row>
    <row r="1872" spans="1:18" x14ac:dyDescent="0.35">
      <c r="A1872" t="s">
        <v>2658</v>
      </c>
      <c r="B1872" t="s">
        <v>99</v>
      </c>
      <c r="C1872" t="s">
        <v>1877</v>
      </c>
      <c r="D1872" t="s">
        <v>40</v>
      </c>
      <c r="E1872" t="s">
        <v>41</v>
      </c>
      <c r="F1872" t="s">
        <v>27</v>
      </c>
      <c r="G1872" t="s">
        <v>42</v>
      </c>
      <c r="H1872">
        <v>378</v>
      </c>
      <c r="I1872">
        <v>20</v>
      </c>
      <c r="J1872">
        <v>20</v>
      </c>
      <c r="K1872" t="s">
        <v>20</v>
      </c>
      <c r="L1872">
        <v>44</v>
      </c>
      <c r="M1872" t="s">
        <v>21</v>
      </c>
      <c r="N1872">
        <f>COUNTIF(order_data[Order_ID],order_data[[#This Row],[Order_ID]])</f>
        <v>1</v>
      </c>
      <c r="O1872">
        <f>order_data[[#This Row],[Order_Value]]-order_data[[#This Row],[Discount]]</f>
        <v>358</v>
      </c>
      <c r="P1872">
        <f>order_data[[#This Row],[Order_Value]]+order_data[[#This Row],[Delivery_Fee]]-order_data[[#This Row],[Discount]]</f>
        <v>378</v>
      </c>
      <c r="Q1872" t="str">
        <f>TEXT(order_data[[#This Row],[Order_Date]],"mmm")</f>
        <v>Mar</v>
      </c>
      <c r="R1872">
        <f>MONTH(order_data[[#This Row],[Order_Date]])</f>
        <v>3</v>
      </c>
    </row>
    <row r="1873" spans="1:18" x14ac:dyDescent="0.35">
      <c r="A1873" t="s">
        <v>2659</v>
      </c>
      <c r="B1873" t="s">
        <v>432</v>
      </c>
      <c r="C1873" t="s">
        <v>1269</v>
      </c>
      <c r="D1873" t="s">
        <v>46</v>
      </c>
      <c r="E1873" t="s">
        <v>70</v>
      </c>
      <c r="F1873" t="s">
        <v>18</v>
      </c>
      <c r="G1873" t="s">
        <v>74</v>
      </c>
      <c r="H1873">
        <v>282</v>
      </c>
      <c r="I1873">
        <v>40</v>
      </c>
      <c r="J1873">
        <v>100</v>
      </c>
      <c r="K1873" t="s">
        <v>20</v>
      </c>
      <c r="L1873">
        <v>38</v>
      </c>
      <c r="M1873" t="s">
        <v>21</v>
      </c>
      <c r="N1873">
        <f>COUNTIF(order_data[Order_ID],order_data[[#This Row],[Order_ID]])</f>
        <v>1</v>
      </c>
      <c r="O1873">
        <f>order_data[[#This Row],[Order_Value]]-order_data[[#This Row],[Discount]]</f>
        <v>182</v>
      </c>
      <c r="P1873">
        <f>order_data[[#This Row],[Order_Value]]+order_data[[#This Row],[Delivery_Fee]]-order_data[[#This Row],[Discount]]</f>
        <v>222</v>
      </c>
      <c r="Q1873" t="str">
        <f>TEXT(order_data[[#This Row],[Order_Date]],"mmm")</f>
        <v>Feb</v>
      </c>
      <c r="R1873">
        <f>MONTH(order_data[[#This Row],[Order_Date]])</f>
        <v>2</v>
      </c>
    </row>
    <row r="1874" spans="1:18" x14ac:dyDescent="0.35">
      <c r="A1874" t="s">
        <v>2660</v>
      </c>
      <c r="B1874" t="s">
        <v>342</v>
      </c>
      <c r="C1874" t="s">
        <v>2529</v>
      </c>
      <c r="D1874" t="s">
        <v>25</v>
      </c>
      <c r="E1874" t="s">
        <v>78</v>
      </c>
      <c r="F1874" t="s">
        <v>48</v>
      </c>
      <c r="G1874" t="s">
        <v>176</v>
      </c>
      <c r="H1874">
        <v>420</v>
      </c>
      <c r="I1874">
        <v>20</v>
      </c>
      <c r="J1874">
        <v>100</v>
      </c>
      <c r="K1874" t="s">
        <v>29</v>
      </c>
      <c r="L1874">
        <v>23</v>
      </c>
      <c r="M1874" t="s">
        <v>21</v>
      </c>
      <c r="N1874">
        <f>COUNTIF(order_data[Order_ID],order_data[[#This Row],[Order_ID]])</f>
        <v>1</v>
      </c>
      <c r="O1874">
        <f>order_data[[#This Row],[Order_Value]]-order_data[[#This Row],[Discount]]</f>
        <v>320</v>
      </c>
      <c r="P1874">
        <f>order_data[[#This Row],[Order_Value]]+order_data[[#This Row],[Delivery_Fee]]-order_data[[#This Row],[Discount]]</f>
        <v>340</v>
      </c>
      <c r="Q1874" t="str">
        <f>TEXT(order_data[[#This Row],[Order_Date]],"mmm")</f>
        <v>Jan</v>
      </c>
      <c r="R1874">
        <f>MONTH(order_data[[#This Row],[Order_Date]])</f>
        <v>1</v>
      </c>
    </row>
    <row r="1875" spans="1:18" x14ac:dyDescent="0.35">
      <c r="A1875" t="s">
        <v>2661</v>
      </c>
      <c r="B1875" t="s">
        <v>295</v>
      </c>
      <c r="C1875" t="s">
        <v>589</v>
      </c>
      <c r="D1875" t="s">
        <v>16</v>
      </c>
      <c r="E1875" t="s">
        <v>131</v>
      </c>
      <c r="F1875" t="s">
        <v>55</v>
      </c>
      <c r="G1875" t="s">
        <v>19</v>
      </c>
      <c r="H1875">
        <v>522</v>
      </c>
      <c r="I1875">
        <v>20</v>
      </c>
      <c r="J1875">
        <v>50</v>
      </c>
      <c r="K1875" t="s">
        <v>20</v>
      </c>
      <c r="L1875">
        <v>24</v>
      </c>
      <c r="M1875" t="s">
        <v>21</v>
      </c>
      <c r="N1875">
        <f>COUNTIF(order_data[Order_ID],order_data[[#This Row],[Order_ID]])</f>
        <v>1</v>
      </c>
      <c r="O1875">
        <f>order_data[[#This Row],[Order_Value]]-order_data[[#This Row],[Discount]]</f>
        <v>472</v>
      </c>
      <c r="P1875">
        <f>order_data[[#This Row],[Order_Value]]+order_data[[#This Row],[Delivery_Fee]]-order_data[[#This Row],[Discount]]</f>
        <v>492</v>
      </c>
      <c r="Q1875" t="str">
        <f>TEXT(order_data[[#This Row],[Order_Date]],"mmm")</f>
        <v>Jan</v>
      </c>
      <c r="R1875">
        <f>MONTH(order_data[[#This Row],[Order_Date]])</f>
        <v>1</v>
      </c>
    </row>
    <row r="1876" spans="1:18" x14ac:dyDescent="0.35">
      <c r="A1876" t="s">
        <v>2662</v>
      </c>
      <c r="B1876" t="s">
        <v>69</v>
      </c>
      <c r="C1876" t="s">
        <v>474</v>
      </c>
      <c r="D1876" t="s">
        <v>46</v>
      </c>
      <c r="E1876" t="s">
        <v>47</v>
      </c>
      <c r="F1876" t="s">
        <v>48</v>
      </c>
      <c r="G1876" t="s">
        <v>28</v>
      </c>
      <c r="H1876">
        <v>207</v>
      </c>
      <c r="I1876">
        <v>20</v>
      </c>
      <c r="J1876">
        <v>100</v>
      </c>
      <c r="K1876" t="s">
        <v>36</v>
      </c>
      <c r="L1876">
        <v>33</v>
      </c>
      <c r="M1876" t="s">
        <v>21</v>
      </c>
      <c r="N1876">
        <f>COUNTIF(order_data[Order_ID],order_data[[#This Row],[Order_ID]])</f>
        <v>1</v>
      </c>
      <c r="O1876">
        <f>order_data[[#This Row],[Order_Value]]-order_data[[#This Row],[Discount]]</f>
        <v>107</v>
      </c>
      <c r="P1876">
        <f>order_data[[#This Row],[Order_Value]]+order_data[[#This Row],[Delivery_Fee]]-order_data[[#This Row],[Discount]]</f>
        <v>127</v>
      </c>
      <c r="Q1876" t="str">
        <f>TEXT(order_data[[#This Row],[Order_Date]],"mmm")</f>
        <v>Feb</v>
      </c>
      <c r="R1876">
        <f>MONTH(order_data[[#This Row],[Order_Date]])</f>
        <v>2</v>
      </c>
    </row>
    <row r="1877" spans="1:18" x14ac:dyDescent="0.35">
      <c r="A1877" t="s">
        <v>2663</v>
      </c>
      <c r="B1877" t="s">
        <v>65</v>
      </c>
      <c r="C1877" t="s">
        <v>197</v>
      </c>
      <c r="D1877" t="s">
        <v>16</v>
      </c>
      <c r="E1877" t="s">
        <v>131</v>
      </c>
      <c r="F1877" t="s">
        <v>55</v>
      </c>
      <c r="G1877" t="s">
        <v>49</v>
      </c>
      <c r="H1877">
        <v>583</v>
      </c>
      <c r="I1877">
        <v>40</v>
      </c>
      <c r="J1877">
        <v>100</v>
      </c>
      <c r="K1877" t="s">
        <v>29</v>
      </c>
      <c r="L1877">
        <v>39</v>
      </c>
      <c r="M1877" t="s">
        <v>21</v>
      </c>
      <c r="N1877">
        <f>COUNTIF(order_data[Order_ID],order_data[[#This Row],[Order_ID]])</f>
        <v>1</v>
      </c>
      <c r="O1877">
        <f>order_data[[#This Row],[Order_Value]]-order_data[[#This Row],[Discount]]</f>
        <v>483</v>
      </c>
      <c r="P1877">
        <f>order_data[[#This Row],[Order_Value]]+order_data[[#This Row],[Delivery_Fee]]-order_data[[#This Row],[Discount]]</f>
        <v>523</v>
      </c>
      <c r="Q1877" t="str">
        <f>TEXT(order_data[[#This Row],[Order_Date]],"mmm")</f>
        <v>Mar</v>
      </c>
      <c r="R1877">
        <f>MONTH(order_data[[#This Row],[Order_Date]])</f>
        <v>3</v>
      </c>
    </row>
    <row r="1878" spans="1:18" x14ac:dyDescent="0.35">
      <c r="A1878" t="s">
        <v>2664</v>
      </c>
      <c r="B1878" t="s">
        <v>413</v>
      </c>
      <c r="C1878" t="s">
        <v>394</v>
      </c>
      <c r="D1878" t="s">
        <v>53</v>
      </c>
      <c r="E1878" t="s">
        <v>54</v>
      </c>
      <c r="F1878" t="s">
        <v>55</v>
      </c>
      <c r="G1878" t="s">
        <v>19</v>
      </c>
      <c r="H1878">
        <v>163</v>
      </c>
      <c r="I1878">
        <v>30</v>
      </c>
      <c r="J1878">
        <v>100</v>
      </c>
      <c r="K1878" t="s">
        <v>29</v>
      </c>
      <c r="L1878">
        <v>24</v>
      </c>
      <c r="M1878" t="s">
        <v>21</v>
      </c>
      <c r="N1878">
        <f>COUNTIF(order_data[Order_ID],order_data[[#This Row],[Order_ID]])</f>
        <v>1</v>
      </c>
      <c r="O1878">
        <f>order_data[[#This Row],[Order_Value]]-order_data[[#This Row],[Discount]]</f>
        <v>63</v>
      </c>
      <c r="P1878">
        <f>order_data[[#This Row],[Order_Value]]+order_data[[#This Row],[Delivery_Fee]]-order_data[[#This Row],[Discount]]</f>
        <v>93</v>
      </c>
      <c r="Q1878" t="str">
        <f>TEXT(order_data[[#This Row],[Order_Date]],"mmm")</f>
        <v>Mar</v>
      </c>
      <c r="R1878">
        <f>MONTH(order_data[[#This Row],[Order_Date]])</f>
        <v>3</v>
      </c>
    </row>
    <row r="1879" spans="1:18" x14ac:dyDescent="0.35">
      <c r="A1879" t="s">
        <v>2665</v>
      </c>
      <c r="B1879" t="s">
        <v>541</v>
      </c>
      <c r="C1879" t="s">
        <v>1381</v>
      </c>
      <c r="D1879" t="s">
        <v>53</v>
      </c>
      <c r="E1879" t="s">
        <v>84</v>
      </c>
      <c r="F1879" t="s">
        <v>85</v>
      </c>
      <c r="G1879" t="s">
        <v>74</v>
      </c>
      <c r="H1879">
        <v>553</v>
      </c>
      <c r="I1879">
        <v>20</v>
      </c>
      <c r="J1879">
        <v>20</v>
      </c>
      <c r="K1879" t="s">
        <v>29</v>
      </c>
      <c r="L1879">
        <v>22</v>
      </c>
      <c r="M1879" t="s">
        <v>21</v>
      </c>
      <c r="N1879">
        <f>COUNTIF(order_data[Order_ID],order_data[[#This Row],[Order_ID]])</f>
        <v>1</v>
      </c>
      <c r="O1879">
        <f>order_data[[#This Row],[Order_Value]]-order_data[[#This Row],[Discount]]</f>
        <v>533</v>
      </c>
      <c r="P1879">
        <f>order_data[[#This Row],[Order_Value]]+order_data[[#This Row],[Delivery_Fee]]-order_data[[#This Row],[Discount]]</f>
        <v>553</v>
      </c>
      <c r="Q1879" t="str">
        <f>TEXT(order_data[[#This Row],[Order_Date]],"mmm")</f>
        <v>Jan</v>
      </c>
      <c r="R1879">
        <f>MONTH(order_data[[#This Row],[Order_Date]])</f>
        <v>1</v>
      </c>
    </row>
    <row r="1880" spans="1:18" x14ac:dyDescent="0.35">
      <c r="A1880" t="s">
        <v>2666</v>
      </c>
      <c r="B1880" t="s">
        <v>121</v>
      </c>
      <c r="C1880" t="s">
        <v>686</v>
      </c>
      <c r="D1880" t="s">
        <v>53</v>
      </c>
      <c r="E1880" t="s">
        <v>152</v>
      </c>
      <c r="F1880" t="s">
        <v>18</v>
      </c>
      <c r="G1880" t="s">
        <v>59</v>
      </c>
      <c r="H1880">
        <v>199</v>
      </c>
      <c r="I1880">
        <v>30</v>
      </c>
      <c r="J1880">
        <v>30</v>
      </c>
      <c r="K1880" t="s">
        <v>36</v>
      </c>
      <c r="L1880">
        <v>43</v>
      </c>
      <c r="M1880" t="s">
        <v>21</v>
      </c>
      <c r="N1880">
        <f>COUNTIF(order_data[Order_ID],order_data[[#This Row],[Order_ID]])</f>
        <v>1</v>
      </c>
      <c r="O1880">
        <f>order_data[[#This Row],[Order_Value]]-order_data[[#This Row],[Discount]]</f>
        <v>169</v>
      </c>
      <c r="P1880">
        <f>order_data[[#This Row],[Order_Value]]+order_data[[#This Row],[Delivery_Fee]]-order_data[[#This Row],[Discount]]</f>
        <v>199</v>
      </c>
      <c r="Q1880" t="str">
        <f>TEXT(order_data[[#This Row],[Order_Date]],"mmm")</f>
        <v>Feb</v>
      </c>
      <c r="R1880">
        <f>MONTH(order_data[[#This Row],[Order_Date]])</f>
        <v>2</v>
      </c>
    </row>
    <row r="1881" spans="1:18" x14ac:dyDescent="0.35">
      <c r="A1881" t="s">
        <v>2667</v>
      </c>
      <c r="B1881" t="s">
        <v>476</v>
      </c>
      <c r="C1881" t="s">
        <v>816</v>
      </c>
      <c r="D1881" t="s">
        <v>53</v>
      </c>
      <c r="E1881" t="s">
        <v>152</v>
      </c>
      <c r="F1881" t="s">
        <v>18</v>
      </c>
      <c r="G1881" t="s">
        <v>42</v>
      </c>
      <c r="H1881">
        <v>293</v>
      </c>
      <c r="I1881">
        <v>40</v>
      </c>
      <c r="J1881">
        <v>30</v>
      </c>
      <c r="K1881" t="s">
        <v>20</v>
      </c>
      <c r="L1881">
        <v>51</v>
      </c>
      <c r="M1881" t="s">
        <v>21</v>
      </c>
      <c r="N1881">
        <f>COUNTIF(order_data[Order_ID],order_data[[#This Row],[Order_ID]])</f>
        <v>1</v>
      </c>
      <c r="O1881">
        <f>order_data[[#This Row],[Order_Value]]-order_data[[#This Row],[Discount]]</f>
        <v>263</v>
      </c>
      <c r="P1881">
        <f>order_data[[#This Row],[Order_Value]]+order_data[[#This Row],[Delivery_Fee]]-order_data[[#This Row],[Discount]]</f>
        <v>303</v>
      </c>
      <c r="Q1881" t="str">
        <f>TEXT(order_data[[#This Row],[Order_Date]],"mmm")</f>
        <v>Jan</v>
      </c>
      <c r="R1881">
        <f>MONTH(order_data[[#This Row],[Order_Date]])</f>
        <v>1</v>
      </c>
    </row>
    <row r="1882" spans="1:18" x14ac:dyDescent="0.35">
      <c r="A1882" t="s">
        <v>2668</v>
      </c>
      <c r="B1882" t="s">
        <v>199</v>
      </c>
      <c r="C1882" t="s">
        <v>2669</v>
      </c>
      <c r="D1882" t="s">
        <v>25</v>
      </c>
      <c r="E1882" t="s">
        <v>26</v>
      </c>
      <c r="F1882" t="s">
        <v>27</v>
      </c>
      <c r="G1882" t="s">
        <v>74</v>
      </c>
      <c r="H1882">
        <v>226</v>
      </c>
      <c r="I1882">
        <v>20</v>
      </c>
      <c r="J1882">
        <v>50</v>
      </c>
      <c r="K1882" t="s">
        <v>36</v>
      </c>
      <c r="L1882">
        <v>33</v>
      </c>
      <c r="M1882" t="s">
        <v>21</v>
      </c>
      <c r="N1882">
        <f>COUNTIF(order_data[Order_ID],order_data[[#This Row],[Order_ID]])</f>
        <v>1</v>
      </c>
      <c r="O1882">
        <f>order_data[[#This Row],[Order_Value]]-order_data[[#This Row],[Discount]]</f>
        <v>176</v>
      </c>
      <c r="P1882">
        <f>order_data[[#This Row],[Order_Value]]+order_data[[#This Row],[Delivery_Fee]]-order_data[[#This Row],[Discount]]</f>
        <v>196</v>
      </c>
      <c r="Q1882" t="str">
        <f>TEXT(order_data[[#This Row],[Order_Date]],"mmm")</f>
        <v>Jan</v>
      </c>
      <c r="R1882">
        <f>MONTH(order_data[[#This Row],[Order_Date]])</f>
        <v>1</v>
      </c>
    </row>
    <row r="1883" spans="1:18" x14ac:dyDescent="0.35">
      <c r="A1883" t="s">
        <v>2670</v>
      </c>
      <c r="B1883" t="s">
        <v>99</v>
      </c>
      <c r="C1883" t="s">
        <v>377</v>
      </c>
      <c r="D1883" t="s">
        <v>16</v>
      </c>
      <c r="E1883" t="s">
        <v>131</v>
      </c>
      <c r="F1883" t="s">
        <v>55</v>
      </c>
      <c r="G1883" t="s">
        <v>176</v>
      </c>
      <c r="H1883">
        <v>747</v>
      </c>
      <c r="I1883">
        <v>20</v>
      </c>
      <c r="J1883">
        <v>100</v>
      </c>
      <c r="K1883" t="s">
        <v>29</v>
      </c>
      <c r="L1883">
        <v>39</v>
      </c>
      <c r="M1883" t="s">
        <v>21</v>
      </c>
      <c r="N1883">
        <f>COUNTIF(order_data[Order_ID],order_data[[#This Row],[Order_ID]])</f>
        <v>1</v>
      </c>
      <c r="O1883">
        <f>order_data[[#This Row],[Order_Value]]-order_data[[#This Row],[Discount]]</f>
        <v>647</v>
      </c>
      <c r="P1883">
        <f>order_data[[#This Row],[Order_Value]]+order_data[[#This Row],[Delivery_Fee]]-order_data[[#This Row],[Discount]]</f>
        <v>667</v>
      </c>
      <c r="Q1883" t="str">
        <f>TEXT(order_data[[#This Row],[Order_Date]],"mmm")</f>
        <v>Mar</v>
      </c>
      <c r="R1883">
        <f>MONTH(order_data[[#This Row],[Order_Date]])</f>
        <v>3</v>
      </c>
    </row>
    <row r="1884" spans="1:18" x14ac:dyDescent="0.35">
      <c r="A1884" t="s">
        <v>2671</v>
      </c>
      <c r="B1884" t="s">
        <v>388</v>
      </c>
      <c r="C1884" t="s">
        <v>2672</v>
      </c>
      <c r="D1884" t="s">
        <v>16</v>
      </c>
      <c r="E1884" t="s">
        <v>89</v>
      </c>
      <c r="F1884" t="s">
        <v>18</v>
      </c>
      <c r="G1884" t="s">
        <v>63</v>
      </c>
      <c r="H1884">
        <v>340</v>
      </c>
      <c r="I1884">
        <v>50</v>
      </c>
      <c r="J1884">
        <v>100</v>
      </c>
      <c r="K1884" t="s">
        <v>20</v>
      </c>
      <c r="L1884">
        <v>38</v>
      </c>
      <c r="M1884" t="s">
        <v>21</v>
      </c>
      <c r="N1884">
        <f>COUNTIF(order_data[Order_ID],order_data[[#This Row],[Order_ID]])</f>
        <v>1</v>
      </c>
      <c r="O1884">
        <f>order_data[[#This Row],[Order_Value]]-order_data[[#This Row],[Discount]]</f>
        <v>240</v>
      </c>
      <c r="P1884">
        <f>order_data[[#This Row],[Order_Value]]+order_data[[#This Row],[Delivery_Fee]]-order_data[[#This Row],[Discount]]</f>
        <v>290</v>
      </c>
      <c r="Q1884" t="str">
        <f>TEXT(order_data[[#This Row],[Order_Date]],"mmm")</f>
        <v>Mar</v>
      </c>
      <c r="R1884">
        <f>MONTH(order_data[[#This Row],[Order_Date]])</f>
        <v>3</v>
      </c>
    </row>
    <row r="1885" spans="1:18" x14ac:dyDescent="0.35">
      <c r="A1885" t="s">
        <v>2673</v>
      </c>
      <c r="B1885" t="s">
        <v>109</v>
      </c>
      <c r="C1885" t="s">
        <v>1297</v>
      </c>
      <c r="D1885" t="s">
        <v>40</v>
      </c>
      <c r="E1885" t="s">
        <v>67</v>
      </c>
      <c r="F1885" t="s">
        <v>48</v>
      </c>
      <c r="G1885" t="s">
        <v>74</v>
      </c>
      <c r="H1885">
        <v>209</v>
      </c>
      <c r="I1885">
        <v>50</v>
      </c>
      <c r="J1885">
        <v>50</v>
      </c>
      <c r="K1885" t="s">
        <v>29</v>
      </c>
      <c r="L1885">
        <v>47</v>
      </c>
      <c r="M1885" t="s">
        <v>30</v>
      </c>
      <c r="N1885">
        <f>COUNTIF(order_data[Order_ID],order_data[[#This Row],[Order_ID]])</f>
        <v>1</v>
      </c>
      <c r="O1885">
        <f>order_data[[#This Row],[Order_Value]]-order_data[[#This Row],[Discount]]</f>
        <v>159</v>
      </c>
      <c r="P1885">
        <f>order_data[[#This Row],[Order_Value]]+order_data[[#This Row],[Delivery_Fee]]-order_data[[#This Row],[Discount]]</f>
        <v>209</v>
      </c>
      <c r="Q1885" t="str">
        <f>TEXT(order_data[[#This Row],[Order_Date]],"mmm")</f>
        <v>Jan</v>
      </c>
      <c r="R1885">
        <f>MONTH(order_data[[#This Row],[Order_Date]])</f>
        <v>1</v>
      </c>
    </row>
    <row r="1886" spans="1:18" x14ac:dyDescent="0.35">
      <c r="A1886" t="s">
        <v>2674</v>
      </c>
      <c r="B1886" t="s">
        <v>61</v>
      </c>
      <c r="C1886" t="s">
        <v>391</v>
      </c>
      <c r="D1886" t="s">
        <v>16</v>
      </c>
      <c r="E1886" t="s">
        <v>131</v>
      </c>
      <c r="F1886" t="s">
        <v>55</v>
      </c>
      <c r="G1886" t="s">
        <v>59</v>
      </c>
      <c r="H1886">
        <v>507</v>
      </c>
      <c r="I1886">
        <v>40</v>
      </c>
      <c r="J1886">
        <v>50</v>
      </c>
      <c r="K1886" t="s">
        <v>36</v>
      </c>
      <c r="L1886">
        <v>26</v>
      </c>
      <c r="M1886" t="s">
        <v>21</v>
      </c>
      <c r="N1886">
        <f>COUNTIF(order_data[Order_ID],order_data[[#This Row],[Order_ID]])</f>
        <v>1</v>
      </c>
      <c r="O1886">
        <f>order_data[[#This Row],[Order_Value]]-order_data[[#This Row],[Discount]]</f>
        <v>457</v>
      </c>
      <c r="P1886">
        <f>order_data[[#This Row],[Order_Value]]+order_data[[#This Row],[Delivery_Fee]]-order_data[[#This Row],[Discount]]</f>
        <v>497</v>
      </c>
      <c r="Q1886" t="str">
        <f>TEXT(order_data[[#This Row],[Order_Date]],"mmm")</f>
        <v>Jan</v>
      </c>
      <c r="R1886">
        <f>MONTH(order_data[[#This Row],[Order_Date]])</f>
        <v>1</v>
      </c>
    </row>
    <row r="1887" spans="1:18" x14ac:dyDescent="0.35">
      <c r="A1887" t="s">
        <v>2675</v>
      </c>
      <c r="B1887" t="s">
        <v>295</v>
      </c>
      <c r="C1887" t="s">
        <v>646</v>
      </c>
      <c r="D1887" t="s">
        <v>53</v>
      </c>
      <c r="E1887" t="s">
        <v>152</v>
      </c>
      <c r="F1887" t="s">
        <v>18</v>
      </c>
      <c r="G1887" t="s">
        <v>107</v>
      </c>
      <c r="H1887">
        <v>337</v>
      </c>
      <c r="I1887">
        <v>50</v>
      </c>
      <c r="J1887">
        <v>30</v>
      </c>
      <c r="K1887" t="s">
        <v>20</v>
      </c>
      <c r="L1887">
        <v>26</v>
      </c>
      <c r="M1887" t="s">
        <v>21</v>
      </c>
      <c r="N1887">
        <f>COUNTIF(order_data[Order_ID],order_data[[#This Row],[Order_ID]])</f>
        <v>1</v>
      </c>
      <c r="O1887">
        <f>order_data[[#This Row],[Order_Value]]-order_data[[#This Row],[Discount]]</f>
        <v>307</v>
      </c>
      <c r="P1887">
        <f>order_data[[#This Row],[Order_Value]]+order_data[[#This Row],[Delivery_Fee]]-order_data[[#This Row],[Discount]]</f>
        <v>357</v>
      </c>
      <c r="Q1887" t="str">
        <f>TEXT(order_data[[#This Row],[Order_Date]],"mmm")</f>
        <v>Jan</v>
      </c>
      <c r="R1887">
        <f>MONTH(order_data[[#This Row],[Order_Date]])</f>
        <v>1</v>
      </c>
    </row>
    <row r="1888" spans="1:18" x14ac:dyDescent="0.35">
      <c r="A1888" t="s">
        <v>2676</v>
      </c>
      <c r="B1888" t="s">
        <v>102</v>
      </c>
      <c r="C1888" t="s">
        <v>320</v>
      </c>
      <c r="D1888" t="s">
        <v>53</v>
      </c>
      <c r="E1888" t="s">
        <v>152</v>
      </c>
      <c r="F1888" t="s">
        <v>18</v>
      </c>
      <c r="G1888" t="s">
        <v>74</v>
      </c>
      <c r="H1888">
        <v>491</v>
      </c>
      <c r="I1888">
        <v>50</v>
      </c>
      <c r="J1888">
        <v>100</v>
      </c>
      <c r="K1888" t="s">
        <v>29</v>
      </c>
      <c r="L1888">
        <v>41</v>
      </c>
      <c r="M1888" t="s">
        <v>21</v>
      </c>
      <c r="N1888">
        <f>COUNTIF(order_data[Order_ID],order_data[[#This Row],[Order_ID]])</f>
        <v>1</v>
      </c>
      <c r="O1888">
        <f>order_data[[#This Row],[Order_Value]]-order_data[[#This Row],[Discount]]</f>
        <v>391</v>
      </c>
      <c r="P1888">
        <f>order_data[[#This Row],[Order_Value]]+order_data[[#This Row],[Delivery_Fee]]-order_data[[#This Row],[Discount]]</f>
        <v>441</v>
      </c>
      <c r="Q1888" t="str">
        <f>TEXT(order_data[[#This Row],[Order_Date]],"mmm")</f>
        <v>Mar</v>
      </c>
      <c r="R1888">
        <f>MONTH(order_data[[#This Row],[Order_Date]])</f>
        <v>3</v>
      </c>
    </row>
    <row r="1889" spans="1:18" x14ac:dyDescent="0.35">
      <c r="A1889" t="s">
        <v>2677</v>
      </c>
      <c r="B1889" t="s">
        <v>199</v>
      </c>
      <c r="C1889" t="s">
        <v>690</v>
      </c>
      <c r="D1889" t="s">
        <v>46</v>
      </c>
      <c r="E1889" t="s">
        <v>148</v>
      </c>
      <c r="F1889" t="s">
        <v>27</v>
      </c>
      <c r="G1889" t="s">
        <v>35</v>
      </c>
      <c r="H1889">
        <v>609</v>
      </c>
      <c r="I1889">
        <v>30</v>
      </c>
      <c r="J1889">
        <v>20</v>
      </c>
      <c r="K1889" t="s">
        <v>36</v>
      </c>
      <c r="L1889">
        <v>59</v>
      </c>
      <c r="M1889" t="s">
        <v>21</v>
      </c>
      <c r="N1889">
        <f>COUNTIF(order_data[Order_ID],order_data[[#This Row],[Order_ID]])</f>
        <v>1</v>
      </c>
      <c r="O1889">
        <f>order_data[[#This Row],[Order_Value]]-order_data[[#This Row],[Discount]]</f>
        <v>589</v>
      </c>
      <c r="P1889">
        <f>order_data[[#This Row],[Order_Value]]+order_data[[#This Row],[Delivery_Fee]]-order_data[[#This Row],[Discount]]</f>
        <v>619</v>
      </c>
      <c r="Q1889" t="str">
        <f>TEXT(order_data[[#This Row],[Order_Date]],"mmm")</f>
        <v>Jan</v>
      </c>
      <c r="R1889">
        <f>MONTH(order_data[[#This Row],[Order_Date]])</f>
        <v>1</v>
      </c>
    </row>
    <row r="1890" spans="1:18" x14ac:dyDescent="0.35">
      <c r="A1890" t="s">
        <v>2678</v>
      </c>
      <c r="B1890" t="s">
        <v>297</v>
      </c>
      <c r="C1890" t="s">
        <v>871</v>
      </c>
      <c r="D1890" t="s">
        <v>25</v>
      </c>
      <c r="E1890" t="s">
        <v>78</v>
      </c>
      <c r="F1890" t="s">
        <v>48</v>
      </c>
      <c r="G1890" t="s">
        <v>35</v>
      </c>
      <c r="H1890">
        <v>322</v>
      </c>
      <c r="I1890">
        <v>20</v>
      </c>
      <c r="J1890">
        <v>0</v>
      </c>
      <c r="K1890" t="s">
        <v>29</v>
      </c>
      <c r="L1890">
        <v>28</v>
      </c>
      <c r="M1890" t="s">
        <v>21</v>
      </c>
      <c r="N1890">
        <f>COUNTIF(order_data[Order_ID],order_data[[#This Row],[Order_ID]])</f>
        <v>1</v>
      </c>
      <c r="O1890">
        <f>order_data[[#This Row],[Order_Value]]-order_data[[#This Row],[Discount]]</f>
        <v>322</v>
      </c>
      <c r="P1890">
        <f>order_data[[#This Row],[Order_Value]]+order_data[[#This Row],[Delivery_Fee]]-order_data[[#This Row],[Discount]]</f>
        <v>342</v>
      </c>
      <c r="Q1890" t="str">
        <f>TEXT(order_data[[#This Row],[Order_Date]],"mmm")</f>
        <v>Feb</v>
      </c>
      <c r="R1890">
        <f>MONTH(order_data[[#This Row],[Order_Date]])</f>
        <v>2</v>
      </c>
    </row>
    <row r="1891" spans="1:18" x14ac:dyDescent="0.35">
      <c r="A1891" t="s">
        <v>2679</v>
      </c>
      <c r="B1891" t="s">
        <v>267</v>
      </c>
      <c r="C1891" t="s">
        <v>715</v>
      </c>
      <c r="D1891" t="s">
        <v>40</v>
      </c>
      <c r="E1891" t="s">
        <v>111</v>
      </c>
      <c r="F1891" t="s">
        <v>18</v>
      </c>
      <c r="G1891" t="s">
        <v>63</v>
      </c>
      <c r="H1891">
        <v>749</v>
      </c>
      <c r="I1891">
        <v>40</v>
      </c>
      <c r="J1891">
        <v>30</v>
      </c>
      <c r="K1891" t="s">
        <v>29</v>
      </c>
      <c r="L1891">
        <v>56</v>
      </c>
      <c r="M1891" t="s">
        <v>21</v>
      </c>
      <c r="N1891">
        <f>COUNTIF(order_data[Order_ID],order_data[[#This Row],[Order_ID]])</f>
        <v>1</v>
      </c>
      <c r="O1891">
        <f>order_data[[#This Row],[Order_Value]]-order_data[[#This Row],[Discount]]</f>
        <v>719</v>
      </c>
      <c r="P1891">
        <f>order_data[[#This Row],[Order_Value]]+order_data[[#This Row],[Delivery_Fee]]-order_data[[#This Row],[Discount]]</f>
        <v>759</v>
      </c>
      <c r="Q1891" t="str">
        <f>TEXT(order_data[[#This Row],[Order_Date]],"mmm")</f>
        <v>Jan</v>
      </c>
      <c r="R1891">
        <f>MONTH(order_data[[#This Row],[Order_Date]])</f>
        <v>1</v>
      </c>
    </row>
    <row r="1892" spans="1:18" x14ac:dyDescent="0.35">
      <c r="A1892" t="s">
        <v>2680</v>
      </c>
      <c r="B1892" t="s">
        <v>280</v>
      </c>
      <c r="C1892" t="s">
        <v>165</v>
      </c>
      <c r="D1892" t="s">
        <v>46</v>
      </c>
      <c r="E1892" t="s">
        <v>148</v>
      </c>
      <c r="F1892" t="s">
        <v>27</v>
      </c>
      <c r="G1892" t="s">
        <v>74</v>
      </c>
      <c r="H1892">
        <v>726</v>
      </c>
      <c r="I1892">
        <v>20</v>
      </c>
      <c r="J1892">
        <v>0</v>
      </c>
      <c r="K1892" t="s">
        <v>20</v>
      </c>
      <c r="L1892">
        <v>39</v>
      </c>
      <c r="M1892" t="s">
        <v>21</v>
      </c>
      <c r="N1892">
        <f>COUNTIF(order_data[Order_ID],order_data[[#This Row],[Order_ID]])</f>
        <v>1</v>
      </c>
      <c r="O1892">
        <f>order_data[[#This Row],[Order_Value]]-order_data[[#This Row],[Discount]]</f>
        <v>726</v>
      </c>
      <c r="P1892">
        <f>order_data[[#This Row],[Order_Value]]+order_data[[#This Row],[Delivery_Fee]]-order_data[[#This Row],[Discount]]</f>
        <v>746</v>
      </c>
      <c r="Q1892" t="str">
        <f>TEXT(order_data[[#This Row],[Order_Date]],"mmm")</f>
        <v>Jan</v>
      </c>
      <c r="R1892">
        <f>MONTH(order_data[[#This Row],[Order_Date]])</f>
        <v>1</v>
      </c>
    </row>
    <row r="1893" spans="1:18" x14ac:dyDescent="0.35">
      <c r="A1893" t="s">
        <v>2681</v>
      </c>
      <c r="B1893" t="s">
        <v>76</v>
      </c>
      <c r="C1893" t="s">
        <v>1344</v>
      </c>
      <c r="D1893" t="s">
        <v>16</v>
      </c>
      <c r="E1893" t="s">
        <v>17</v>
      </c>
      <c r="F1893" t="s">
        <v>18</v>
      </c>
      <c r="G1893" t="s">
        <v>28</v>
      </c>
      <c r="H1893">
        <v>785</v>
      </c>
      <c r="I1893">
        <v>40</v>
      </c>
      <c r="J1893">
        <v>100</v>
      </c>
      <c r="K1893" t="s">
        <v>29</v>
      </c>
      <c r="L1893">
        <v>21</v>
      </c>
      <c r="M1893" t="s">
        <v>21</v>
      </c>
      <c r="N1893">
        <f>COUNTIF(order_data[Order_ID],order_data[[#This Row],[Order_ID]])</f>
        <v>1</v>
      </c>
      <c r="O1893">
        <f>order_data[[#This Row],[Order_Value]]-order_data[[#This Row],[Discount]]</f>
        <v>685</v>
      </c>
      <c r="P1893">
        <f>order_data[[#This Row],[Order_Value]]+order_data[[#This Row],[Delivery_Fee]]-order_data[[#This Row],[Discount]]</f>
        <v>725</v>
      </c>
      <c r="Q1893" t="str">
        <f>TEXT(order_data[[#This Row],[Order_Date]],"mmm")</f>
        <v>Feb</v>
      </c>
      <c r="R1893">
        <f>MONTH(order_data[[#This Row],[Order_Date]])</f>
        <v>2</v>
      </c>
    </row>
    <row r="1894" spans="1:18" x14ac:dyDescent="0.35">
      <c r="A1894" t="s">
        <v>2682</v>
      </c>
      <c r="B1894" t="s">
        <v>273</v>
      </c>
      <c r="C1894" t="s">
        <v>799</v>
      </c>
      <c r="D1894" t="s">
        <v>16</v>
      </c>
      <c r="E1894" t="s">
        <v>89</v>
      </c>
      <c r="F1894" t="s">
        <v>18</v>
      </c>
      <c r="G1894" t="s">
        <v>63</v>
      </c>
      <c r="H1894">
        <v>417</v>
      </c>
      <c r="I1894">
        <v>40</v>
      </c>
      <c r="J1894">
        <v>100</v>
      </c>
      <c r="K1894" t="s">
        <v>29</v>
      </c>
      <c r="L1894">
        <v>24</v>
      </c>
      <c r="M1894" t="s">
        <v>21</v>
      </c>
      <c r="N1894">
        <f>COUNTIF(order_data[Order_ID],order_data[[#This Row],[Order_ID]])</f>
        <v>1</v>
      </c>
      <c r="O1894">
        <f>order_data[[#This Row],[Order_Value]]-order_data[[#This Row],[Discount]]</f>
        <v>317</v>
      </c>
      <c r="P1894">
        <f>order_data[[#This Row],[Order_Value]]+order_data[[#This Row],[Delivery_Fee]]-order_data[[#This Row],[Discount]]</f>
        <v>357</v>
      </c>
      <c r="Q1894" t="str">
        <f>TEXT(order_data[[#This Row],[Order_Date]],"mmm")</f>
        <v>Mar</v>
      </c>
      <c r="R1894">
        <f>MONTH(order_data[[#This Row],[Order_Date]])</f>
        <v>3</v>
      </c>
    </row>
    <row r="1895" spans="1:18" x14ac:dyDescent="0.35">
      <c r="A1895" t="s">
        <v>2683</v>
      </c>
      <c r="B1895" t="s">
        <v>154</v>
      </c>
      <c r="C1895" t="s">
        <v>1534</v>
      </c>
      <c r="D1895" t="s">
        <v>40</v>
      </c>
      <c r="E1895" t="s">
        <v>41</v>
      </c>
      <c r="F1895" t="s">
        <v>27</v>
      </c>
      <c r="G1895" t="s">
        <v>63</v>
      </c>
      <c r="H1895">
        <v>470</v>
      </c>
      <c r="I1895">
        <v>50</v>
      </c>
      <c r="J1895">
        <v>100</v>
      </c>
      <c r="K1895" t="s">
        <v>36</v>
      </c>
      <c r="L1895">
        <v>47</v>
      </c>
      <c r="M1895" t="s">
        <v>21</v>
      </c>
      <c r="N1895">
        <f>COUNTIF(order_data[Order_ID],order_data[[#This Row],[Order_ID]])</f>
        <v>1</v>
      </c>
      <c r="O1895">
        <f>order_data[[#This Row],[Order_Value]]-order_data[[#This Row],[Discount]]</f>
        <v>370</v>
      </c>
      <c r="P1895">
        <f>order_data[[#This Row],[Order_Value]]+order_data[[#This Row],[Delivery_Fee]]-order_data[[#This Row],[Discount]]</f>
        <v>420</v>
      </c>
      <c r="Q1895" t="str">
        <f>TEXT(order_data[[#This Row],[Order_Date]],"mmm")</f>
        <v>Jan</v>
      </c>
      <c r="R1895">
        <f>MONTH(order_data[[#This Row],[Order_Date]])</f>
        <v>1</v>
      </c>
    </row>
    <row r="1896" spans="1:18" x14ac:dyDescent="0.35">
      <c r="A1896" t="s">
        <v>2684</v>
      </c>
      <c r="B1896" t="s">
        <v>199</v>
      </c>
      <c r="C1896" t="s">
        <v>1804</v>
      </c>
      <c r="D1896" t="s">
        <v>16</v>
      </c>
      <c r="E1896" t="s">
        <v>131</v>
      </c>
      <c r="F1896" t="s">
        <v>55</v>
      </c>
      <c r="G1896" t="s">
        <v>42</v>
      </c>
      <c r="H1896">
        <v>600</v>
      </c>
      <c r="I1896">
        <v>30</v>
      </c>
      <c r="J1896">
        <v>30</v>
      </c>
      <c r="K1896" t="s">
        <v>20</v>
      </c>
      <c r="L1896">
        <v>38</v>
      </c>
      <c r="M1896" t="s">
        <v>21</v>
      </c>
      <c r="N1896">
        <f>COUNTIF(order_data[Order_ID],order_data[[#This Row],[Order_ID]])</f>
        <v>1</v>
      </c>
      <c r="O1896">
        <f>order_data[[#This Row],[Order_Value]]-order_data[[#This Row],[Discount]]</f>
        <v>570</v>
      </c>
      <c r="P1896">
        <f>order_data[[#This Row],[Order_Value]]+order_data[[#This Row],[Delivery_Fee]]-order_data[[#This Row],[Discount]]</f>
        <v>600</v>
      </c>
      <c r="Q1896" t="str">
        <f>TEXT(order_data[[#This Row],[Order_Date]],"mmm")</f>
        <v>Jan</v>
      </c>
      <c r="R1896">
        <f>MONTH(order_data[[#This Row],[Order_Date]])</f>
        <v>1</v>
      </c>
    </row>
    <row r="1897" spans="1:18" x14ac:dyDescent="0.35">
      <c r="A1897" t="s">
        <v>2685</v>
      </c>
      <c r="B1897" t="s">
        <v>91</v>
      </c>
      <c r="C1897" t="s">
        <v>539</v>
      </c>
      <c r="D1897" t="s">
        <v>46</v>
      </c>
      <c r="E1897" t="s">
        <v>70</v>
      </c>
      <c r="F1897" t="s">
        <v>18</v>
      </c>
      <c r="G1897" t="s">
        <v>59</v>
      </c>
      <c r="H1897">
        <v>569</v>
      </c>
      <c r="I1897">
        <v>30</v>
      </c>
      <c r="J1897">
        <v>0</v>
      </c>
      <c r="K1897" t="s">
        <v>29</v>
      </c>
      <c r="L1897">
        <v>56</v>
      </c>
      <c r="M1897" t="s">
        <v>21</v>
      </c>
      <c r="N1897">
        <f>COUNTIF(order_data[Order_ID],order_data[[#This Row],[Order_ID]])</f>
        <v>1</v>
      </c>
      <c r="O1897">
        <f>order_data[[#This Row],[Order_Value]]-order_data[[#This Row],[Discount]]</f>
        <v>569</v>
      </c>
      <c r="P1897">
        <f>order_data[[#This Row],[Order_Value]]+order_data[[#This Row],[Delivery_Fee]]-order_data[[#This Row],[Discount]]</f>
        <v>599</v>
      </c>
      <c r="Q1897" t="str">
        <f>TEXT(order_data[[#This Row],[Order_Date]],"mmm")</f>
        <v>Mar</v>
      </c>
      <c r="R1897">
        <f>MONTH(order_data[[#This Row],[Order_Date]])</f>
        <v>3</v>
      </c>
    </row>
    <row r="1898" spans="1:18" x14ac:dyDescent="0.35">
      <c r="A1898" t="s">
        <v>2686</v>
      </c>
      <c r="B1898" t="s">
        <v>280</v>
      </c>
      <c r="C1898" t="s">
        <v>991</v>
      </c>
      <c r="D1898" t="s">
        <v>40</v>
      </c>
      <c r="E1898" t="s">
        <v>41</v>
      </c>
      <c r="F1898" t="s">
        <v>27</v>
      </c>
      <c r="G1898" t="s">
        <v>74</v>
      </c>
      <c r="H1898">
        <v>681</v>
      </c>
      <c r="I1898">
        <v>30</v>
      </c>
      <c r="J1898">
        <v>20</v>
      </c>
      <c r="K1898" t="s">
        <v>36</v>
      </c>
      <c r="L1898">
        <v>56</v>
      </c>
      <c r="M1898" t="s">
        <v>21</v>
      </c>
      <c r="N1898">
        <f>COUNTIF(order_data[Order_ID],order_data[[#This Row],[Order_ID]])</f>
        <v>1</v>
      </c>
      <c r="O1898">
        <f>order_data[[#This Row],[Order_Value]]-order_data[[#This Row],[Discount]]</f>
        <v>661</v>
      </c>
      <c r="P1898">
        <f>order_data[[#This Row],[Order_Value]]+order_data[[#This Row],[Delivery_Fee]]-order_data[[#This Row],[Discount]]</f>
        <v>691</v>
      </c>
      <c r="Q1898" t="str">
        <f>TEXT(order_data[[#This Row],[Order_Date]],"mmm")</f>
        <v>Jan</v>
      </c>
      <c r="R1898">
        <f>MONTH(order_data[[#This Row],[Order_Date]])</f>
        <v>1</v>
      </c>
    </row>
    <row r="1899" spans="1:18" x14ac:dyDescent="0.35">
      <c r="A1899" t="s">
        <v>2687</v>
      </c>
      <c r="B1899" t="s">
        <v>297</v>
      </c>
      <c r="C1899" t="s">
        <v>1224</v>
      </c>
      <c r="D1899" t="s">
        <v>53</v>
      </c>
      <c r="E1899" t="s">
        <v>84</v>
      </c>
      <c r="F1899" t="s">
        <v>85</v>
      </c>
      <c r="G1899" t="s">
        <v>63</v>
      </c>
      <c r="H1899">
        <v>586</v>
      </c>
      <c r="I1899">
        <v>30</v>
      </c>
      <c r="J1899">
        <v>0</v>
      </c>
      <c r="K1899" t="s">
        <v>20</v>
      </c>
      <c r="L1899">
        <v>46</v>
      </c>
      <c r="M1899" t="s">
        <v>21</v>
      </c>
      <c r="N1899">
        <f>COUNTIF(order_data[Order_ID],order_data[[#This Row],[Order_ID]])</f>
        <v>1</v>
      </c>
      <c r="O1899">
        <f>order_data[[#This Row],[Order_Value]]-order_data[[#This Row],[Discount]]</f>
        <v>586</v>
      </c>
      <c r="P1899">
        <f>order_data[[#This Row],[Order_Value]]+order_data[[#This Row],[Delivery_Fee]]-order_data[[#This Row],[Discount]]</f>
        <v>616</v>
      </c>
      <c r="Q1899" t="str">
        <f>TEXT(order_data[[#This Row],[Order_Date]],"mmm")</f>
        <v>Feb</v>
      </c>
      <c r="R1899">
        <f>MONTH(order_data[[#This Row],[Order_Date]])</f>
        <v>2</v>
      </c>
    </row>
    <row r="1900" spans="1:18" x14ac:dyDescent="0.35">
      <c r="A1900" t="s">
        <v>2688</v>
      </c>
      <c r="B1900" t="s">
        <v>57</v>
      </c>
      <c r="C1900" t="s">
        <v>952</v>
      </c>
      <c r="D1900" t="s">
        <v>16</v>
      </c>
      <c r="E1900" t="s">
        <v>131</v>
      </c>
      <c r="F1900" t="s">
        <v>55</v>
      </c>
      <c r="G1900" t="s">
        <v>49</v>
      </c>
      <c r="H1900">
        <v>280</v>
      </c>
      <c r="I1900">
        <v>40</v>
      </c>
      <c r="J1900">
        <v>100</v>
      </c>
      <c r="K1900" t="s">
        <v>36</v>
      </c>
      <c r="L1900">
        <v>41</v>
      </c>
      <c r="M1900" t="s">
        <v>30</v>
      </c>
      <c r="N1900">
        <f>COUNTIF(order_data[Order_ID],order_data[[#This Row],[Order_ID]])</f>
        <v>1</v>
      </c>
      <c r="O1900">
        <f>order_data[[#This Row],[Order_Value]]-order_data[[#This Row],[Discount]]</f>
        <v>180</v>
      </c>
      <c r="P1900">
        <f>order_data[[#This Row],[Order_Value]]+order_data[[#This Row],[Delivery_Fee]]-order_data[[#This Row],[Discount]]</f>
        <v>220</v>
      </c>
      <c r="Q1900" t="str">
        <f>TEXT(order_data[[#This Row],[Order_Date]],"mmm")</f>
        <v>Jan</v>
      </c>
      <c r="R1900">
        <f>MONTH(order_data[[#This Row],[Order_Date]])</f>
        <v>1</v>
      </c>
    </row>
    <row r="1901" spans="1:18" x14ac:dyDescent="0.35">
      <c r="A1901" t="s">
        <v>2689</v>
      </c>
      <c r="B1901" t="s">
        <v>186</v>
      </c>
      <c r="C1901" t="s">
        <v>1218</v>
      </c>
      <c r="D1901" t="s">
        <v>40</v>
      </c>
      <c r="E1901" t="s">
        <v>111</v>
      </c>
      <c r="F1901" t="s">
        <v>18</v>
      </c>
      <c r="G1901" t="s">
        <v>176</v>
      </c>
      <c r="H1901">
        <v>338</v>
      </c>
      <c r="I1901">
        <v>20</v>
      </c>
      <c r="J1901">
        <v>20</v>
      </c>
      <c r="K1901" t="s">
        <v>29</v>
      </c>
      <c r="L1901">
        <v>48</v>
      </c>
      <c r="M1901" t="s">
        <v>21</v>
      </c>
      <c r="N1901">
        <f>COUNTIF(order_data[Order_ID],order_data[[#This Row],[Order_ID]])</f>
        <v>1</v>
      </c>
      <c r="O1901">
        <f>order_data[[#This Row],[Order_Value]]-order_data[[#This Row],[Discount]]</f>
        <v>318</v>
      </c>
      <c r="P1901">
        <f>order_data[[#This Row],[Order_Value]]+order_data[[#This Row],[Delivery_Fee]]-order_data[[#This Row],[Discount]]</f>
        <v>338</v>
      </c>
      <c r="Q1901" t="str">
        <f>TEXT(order_data[[#This Row],[Order_Date]],"mmm")</f>
        <v>Mar</v>
      </c>
      <c r="R1901">
        <f>MONTH(order_data[[#This Row],[Order_Date]])</f>
        <v>3</v>
      </c>
    </row>
    <row r="1902" spans="1:18" x14ac:dyDescent="0.35">
      <c r="A1902" t="s">
        <v>2690</v>
      </c>
      <c r="B1902" t="s">
        <v>449</v>
      </c>
      <c r="C1902" t="s">
        <v>849</v>
      </c>
      <c r="D1902" t="s">
        <v>46</v>
      </c>
      <c r="E1902" t="s">
        <v>148</v>
      </c>
      <c r="F1902" t="s">
        <v>27</v>
      </c>
      <c r="G1902" t="s">
        <v>19</v>
      </c>
      <c r="H1902">
        <v>553</v>
      </c>
      <c r="I1902">
        <v>30</v>
      </c>
      <c r="J1902">
        <v>100</v>
      </c>
      <c r="K1902" t="s">
        <v>36</v>
      </c>
      <c r="L1902">
        <v>36</v>
      </c>
      <c r="M1902" t="s">
        <v>21</v>
      </c>
      <c r="N1902">
        <f>COUNTIF(order_data[Order_ID],order_data[[#This Row],[Order_ID]])</f>
        <v>1</v>
      </c>
      <c r="O1902">
        <f>order_data[[#This Row],[Order_Value]]-order_data[[#This Row],[Discount]]</f>
        <v>453</v>
      </c>
      <c r="P1902">
        <f>order_data[[#This Row],[Order_Value]]+order_data[[#This Row],[Delivery_Fee]]-order_data[[#This Row],[Discount]]</f>
        <v>483</v>
      </c>
      <c r="Q1902" t="str">
        <f>TEXT(order_data[[#This Row],[Order_Date]],"mmm")</f>
        <v>Mar</v>
      </c>
      <c r="R1902">
        <f>MONTH(order_data[[#This Row],[Order_Date]])</f>
        <v>3</v>
      </c>
    </row>
    <row r="1903" spans="1:18" x14ac:dyDescent="0.35">
      <c r="A1903" t="s">
        <v>2691</v>
      </c>
      <c r="B1903" t="s">
        <v>600</v>
      </c>
      <c r="C1903" t="s">
        <v>227</v>
      </c>
      <c r="D1903" t="s">
        <v>46</v>
      </c>
      <c r="E1903" t="s">
        <v>47</v>
      </c>
      <c r="F1903" t="s">
        <v>48</v>
      </c>
      <c r="G1903" t="s">
        <v>35</v>
      </c>
      <c r="H1903">
        <v>501</v>
      </c>
      <c r="I1903">
        <v>50</v>
      </c>
      <c r="J1903">
        <v>0</v>
      </c>
      <c r="K1903" t="s">
        <v>29</v>
      </c>
      <c r="L1903">
        <v>45</v>
      </c>
      <c r="M1903" t="s">
        <v>21</v>
      </c>
      <c r="N1903">
        <f>COUNTIF(order_data[Order_ID],order_data[[#This Row],[Order_ID]])</f>
        <v>1</v>
      </c>
      <c r="O1903">
        <f>order_data[[#This Row],[Order_Value]]-order_data[[#This Row],[Discount]]</f>
        <v>501</v>
      </c>
      <c r="P1903">
        <f>order_data[[#This Row],[Order_Value]]+order_data[[#This Row],[Delivery_Fee]]-order_data[[#This Row],[Discount]]</f>
        <v>551</v>
      </c>
      <c r="Q1903" t="str">
        <f>TEXT(order_data[[#This Row],[Order_Date]],"mmm")</f>
        <v>Mar</v>
      </c>
      <c r="R1903">
        <f>MONTH(order_data[[#This Row],[Order_Date]])</f>
        <v>3</v>
      </c>
    </row>
    <row r="1904" spans="1:18" x14ac:dyDescent="0.35">
      <c r="A1904" t="s">
        <v>2692</v>
      </c>
      <c r="B1904" t="s">
        <v>226</v>
      </c>
      <c r="C1904" t="s">
        <v>1675</v>
      </c>
      <c r="D1904" t="s">
        <v>16</v>
      </c>
      <c r="E1904" t="s">
        <v>17</v>
      </c>
      <c r="F1904" t="s">
        <v>18</v>
      </c>
      <c r="G1904" t="s">
        <v>59</v>
      </c>
      <c r="H1904">
        <v>577</v>
      </c>
      <c r="I1904">
        <v>40</v>
      </c>
      <c r="J1904">
        <v>30</v>
      </c>
      <c r="K1904" t="s">
        <v>20</v>
      </c>
      <c r="L1904">
        <v>34</v>
      </c>
      <c r="M1904" t="s">
        <v>21</v>
      </c>
      <c r="N1904">
        <f>COUNTIF(order_data[Order_ID],order_data[[#This Row],[Order_ID]])</f>
        <v>1</v>
      </c>
      <c r="O1904">
        <f>order_data[[#This Row],[Order_Value]]-order_data[[#This Row],[Discount]]</f>
        <v>547</v>
      </c>
      <c r="P1904">
        <f>order_data[[#This Row],[Order_Value]]+order_data[[#This Row],[Delivery_Fee]]-order_data[[#This Row],[Discount]]</f>
        <v>587</v>
      </c>
      <c r="Q1904" t="str">
        <f>TEXT(order_data[[#This Row],[Order_Date]],"mmm")</f>
        <v>Jan</v>
      </c>
      <c r="R1904">
        <f>MONTH(order_data[[#This Row],[Order_Date]])</f>
        <v>1</v>
      </c>
    </row>
    <row r="1905" spans="1:18" x14ac:dyDescent="0.35">
      <c r="A1905" t="s">
        <v>2693</v>
      </c>
      <c r="B1905" t="s">
        <v>226</v>
      </c>
      <c r="C1905" t="s">
        <v>73</v>
      </c>
      <c r="D1905" t="s">
        <v>40</v>
      </c>
      <c r="E1905" t="s">
        <v>41</v>
      </c>
      <c r="F1905" t="s">
        <v>27</v>
      </c>
      <c r="G1905" t="s">
        <v>63</v>
      </c>
      <c r="H1905">
        <v>617</v>
      </c>
      <c r="I1905">
        <v>40</v>
      </c>
      <c r="J1905">
        <v>20</v>
      </c>
      <c r="K1905" t="s">
        <v>29</v>
      </c>
      <c r="L1905">
        <v>22</v>
      </c>
      <c r="M1905" t="s">
        <v>21</v>
      </c>
      <c r="N1905">
        <f>COUNTIF(order_data[Order_ID],order_data[[#This Row],[Order_ID]])</f>
        <v>1</v>
      </c>
      <c r="O1905">
        <f>order_data[[#This Row],[Order_Value]]-order_data[[#This Row],[Discount]]</f>
        <v>597</v>
      </c>
      <c r="P1905">
        <f>order_data[[#This Row],[Order_Value]]+order_data[[#This Row],[Delivery_Fee]]-order_data[[#This Row],[Discount]]</f>
        <v>637</v>
      </c>
      <c r="Q1905" t="str">
        <f>TEXT(order_data[[#This Row],[Order_Date]],"mmm")</f>
        <v>Jan</v>
      </c>
      <c r="R1905">
        <f>MONTH(order_data[[#This Row],[Order_Date]])</f>
        <v>1</v>
      </c>
    </row>
    <row r="1906" spans="1:18" x14ac:dyDescent="0.35">
      <c r="A1906" t="s">
        <v>2694</v>
      </c>
      <c r="B1906" t="s">
        <v>454</v>
      </c>
      <c r="C1906" t="s">
        <v>1194</v>
      </c>
      <c r="D1906" t="s">
        <v>16</v>
      </c>
      <c r="E1906" t="s">
        <v>131</v>
      </c>
      <c r="F1906" t="s">
        <v>55</v>
      </c>
      <c r="G1906" t="s">
        <v>59</v>
      </c>
      <c r="H1906">
        <v>750</v>
      </c>
      <c r="I1906">
        <v>20</v>
      </c>
      <c r="J1906">
        <v>30</v>
      </c>
      <c r="K1906" t="s">
        <v>20</v>
      </c>
      <c r="L1906">
        <v>60</v>
      </c>
      <c r="M1906" t="s">
        <v>21</v>
      </c>
      <c r="N1906">
        <f>COUNTIF(order_data[Order_ID],order_data[[#This Row],[Order_ID]])</f>
        <v>1</v>
      </c>
      <c r="O1906">
        <f>order_data[[#This Row],[Order_Value]]-order_data[[#This Row],[Discount]]</f>
        <v>720</v>
      </c>
      <c r="P1906">
        <f>order_data[[#This Row],[Order_Value]]+order_data[[#This Row],[Delivery_Fee]]-order_data[[#This Row],[Discount]]</f>
        <v>740</v>
      </c>
      <c r="Q1906" t="str">
        <f>TEXT(order_data[[#This Row],[Order_Date]],"mmm")</f>
        <v>Jan</v>
      </c>
      <c r="R1906">
        <f>MONTH(order_data[[#This Row],[Order_Date]])</f>
        <v>1</v>
      </c>
    </row>
    <row r="1907" spans="1:18" x14ac:dyDescent="0.35">
      <c r="A1907" t="s">
        <v>2695</v>
      </c>
      <c r="B1907" t="s">
        <v>526</v>
      </c>
      <c r="C1907" t="s">
        <v>39</v>
      </c>
      <c r="D1907" t="s">
        <v>53</v>
      </c>
      <c r="E1907" t="s">
        <v>84</v>
      </c>
      <c r="F1907" t="s">
        <v>85</v>
      </c>
      <c r="G1907" t="s">
        <v>63</v>
      </c>
      <c r="H1907">
        <v>606</v>
      </c>
      <c r="I1907">
        <v>20</v>
      </c>
      <c r="J1907">
        <v>50</v>
      </c>
      <c r="K1907" t="s">
        <v>20</v>
      </c>
      <c r="L1907">
        <v>42</v>
      </c>
      <c r="M1907" t="s">
        <v>21</v>
      </c>
      <c r="N1907">
        <f>COUNTIF(order_data[Order_ID],order_data[[#This Row],[Order_ID]])</f>
        <v>1</v>
      </c>
      <c r="O1907">
        <f>order_data[[#This Row],[Order_Value]]-order_data[[#This Row],[Discount]]</f>
        <v>556</v>
      </c>
      <c r="P1907">
        <f>order_data[[#This Row],[Order_Value]]+order_data[[#This Row],[Delivery_Fee]]-order_data[[#This Row],[Discount]]</f>
        <v>576</v>
      </c>
      <c r="Q1907" t="str">
        <f>TEXT(order_data[[#This Row],[Order_Date]],"mmm")</f>
        <v>Jan</v>
      </c>
      <c r="R1907">
        <f>MONTH(order_data[[#This Row],[Order_Date]])</f>
        <v>1</v>
      </c>
    </row>
    <row r="1908" spans="1:18" x14ac:dyDescent="0.35">
      <c r="A1908" t="s">
        <v>2696</v>
      </c>
      <c r="B1908" t="s">
        <v>252</v>
      </c>
      <c r="C1908" t="s">
        <v>1071</v>
      </c>
      <c r="D1908" t="s">
        <v>53</v>
      </c>
      <c r="E1908" t="s">
        <v>84</v>
      </c>
      <c r="F1908" t="s">
        <v>85</v>
      </c>
      <c r="G1908" t="s">
        <v>49</v>
      </c>
      <c r="H1908">
        <v>613</v>
      </c>
      <c r="I1908">
        <v>50</v>
      </c>
      <c r="J1908">
        <v>20</v>
      </c>
      <c r="K1908" t="s">
        <v>29</v>
      </c>
      <c r="L1908">
        <v>34</v>
      </c>
      <c r="M1908" t="s">
        <v>21</v>
      </c>
      <c r="N1908">
        <f>COUNTIF(order_data[Order_ID],order_data[[#This Row],[Order_ID]])</f>
        <v>1</v>
      </c>
      <c r="O1908">
        <f>order_data[[#This Row],[Order_Value]]-order_data[[#This Row],[Discount]]</f>
        <v>593</v>
      </c>
      <c r="P1908">
        <f>order_data[[#This Row],[Order_Value]]+order_data[[#This Row],[Delivery_Fee]]-order_data[[#This Row],[Discount]]</f>
        <v>643</v>
      </c>
      <c r="Q1908" t="str">
        <f>TEXT(order_data[[#This Row],[Order_Date]],"mmm")</f>
        <v>Jan</v>
      </c>
      <c r="R1908">
        <f>MONTH(order_data[[#This Row],[Order_Date]])</f>
        <v>1</v>
      </c>
    </row>
    <row r="1909" spans="1:18" x14ac:dyDescent="0.35">
      <c r="A1909" t="s">
        <v>2697</v>
      </c>
      <c r="B1909" t="s">
        <v>541</v>
      </c>
      <c r="C1909" t="s">
        <v>728</v>
      </c>
      <c r="D1909" t="s">
        <v>16</v>
      </c>
      <c r="E1909" t="s">
        <v>17</v>
      </c>
      <c r="F1909" t="s">
        <v>18</v>
      </c>
      <c r="G1909" t="s">
        <v>28</v>
      </c>
      <c r="H1909">
        <v>486</v>
      </c>
      <c r="I1909">
        <v>40</v>
      </c>
      <c r="J1909">
        <v>50</v>
      </c>
      <c r="K1909" t="s">
        <v>29</v>
      </c>
      <c r="L1909">
        <v>47</v>
      </c>
      <c r="M1909" t="s">
        <v>21</v>
      </c>
      <c r="N1909">
        <f>COUNTIF(order_data[Order_ID],order_data[[#This Row],[Order_ID]])</f>
        <v>1</v>
      </c>
      <c r="O1909">
        <f>order_data[[#This Row],[Order_Value]]-order_data[[#This Row],[Discount]]</f>
        <v>436</v>
      </c>
      <c r="P1909">
        <f>order_data[[#This Row],[Order_Value]]+order_data[[#This Row],[Delivery_Fee]]-order_data[[#This Row],[Discount]]</f>
        <v>476</v>
      </c>
      <c r="Q1909" t="str">
        <f>TEXT(order_data[[#This Row],[Order_Date]],"mmm")</f>
        <v>Jan</v>
      </c>
      <c r="R1909">
        <f>MONTH(order_data[[#This Row],[Order_Date]])</f>
        <v>1</v>
      </c>
    </row>
    <row r="1910" spans="1:18" x14ac:dyDescent="0.35">
      <c r="A1910" t="s">
        <v>2698</v>
      </c>
      <c r="B1910" t="s">
        <v>473</v>
      </c>
      <c r="C1910" t="s">
        <v>276</v>
      </c>
      <c r="D1910" t="s">
        <v>40</v>
      </c>
      <c r="E1910" t="s">
        <v>67</v>
      </c>
      <c r="F1910" t="s">
        <v>48</v>
      </c>
      <c r="G1910" t="s">
        <v>49</v>
      </c>
      <c r="H1910">
        <v>652</v>
      </c>
      <c r="I1910">
        <v>40</v>
      </c>
      <c r="J1910">
        <v>20</v>
      </c>
      <c r="K1910" t="s">
        <v>36</v>
      </c>
      <c r="L1910">
        <v>23</v>
      </c>
      <c r="M1910" t="s">
        <v>21</v>
      </c>
      <c r="N1910">
        <f>COUNTIF(order_data[Order_ID],order_data[[#This Row],[Order_ID]])</f>
        <v>1</v>
      </c>
      <c r="O1910">
        <f>order_data[[#This Row],[Order_Value]]-order_data[[#This Row],[Discount]]</f>
        <v>632</v>
      </c>
      <c r="P1910">
        <f>order_data[[#This Row],[Order_Value]]+order_data[[#This Row],[Delivery_Fee]]-order_data[[#This Row],[Discount]]</f>
        <v>672</v>
      </c>
      <c r="Q1910" t="str">
        <f>TEXT(order_data[[#This Row],[Order_Date]],"mmm")</f>
        <v>Mar</v>
      </c>
      <c r="R1910">
        <f>MONTH(order_data[[#This Row],[Order_Date]])</f>
        <v>3</v>
      </c>
    </row>
    <row r="1911" spans="1:18" x14ac:dyDescent="0.35">
      <c r="A1911" t="s">
        <v>2699</v>
      </c>
      <c r="B1911" t="s">
        <v>286</v>
      </c>
      <c r="C1911" t="s">
        <v>239</v>
      </c>
      <c r="D1911" t="s">
        <v>16</v>
      </c>
      <c r="E1911" t="s">
        <v>131</v>
      </c>
      <c r="F1911" t="s">
        <v>55</v>
      </c>
      <c r="G1911" t="s">
        <v>74</v>
      </c>
      <c r="H1911">
        <v>668</v>
      </c>
      <c r="I1911">
        <v>30</v>
      </c>
      <c r="J1911">
        <v>30</v>
      </c>
      <c r="K1911" t="s">
        <v>36</v>
      </c>
      <c r="L1911">
        <v>35</v>
      </c>
      <c r="M1911" t="s">
        <v>21</v>
      </c>
      <c r="N1911">
        <f>COUNTIF(order_data[Order_ID],order_data[[#This Row],[Order_ID]])</f>
        <v>1</v>
      </c>
      <c r="O1911">
        <f>order_data[[#This Row],[Order_Value]]-order_data[[#This Row],[Discount]]</f>
        <v>638</v>
      </c>
      <c r="P1911">
        <f>order_data[[#This Row],[Order_Value]]+order_data[[#This Row],[Delivery_Fee]]-order_data[[#This Row],[Discount]]</f>
        <v>668</v>
      </c>
      <c r="Q1911" t="str">
        <f>TEXT(order_data[[#This Row],[Order_Date]],"mmm")</f>
        <v>Mar</v>
      </c>
      <c r="R1911">
        <f>MONTH(order_data[[#This Row],[Order_Date]])</f>
        <v>3</v>
      </c>
    </row>
    <row r="1912" spans="1:18" x14ac:dyDescent="0.35">
      <c r="A1912" t="s">
        <v>2700</v>
      </c>
      <c r="B1912" t="s">
        <v>167</v>
      </c>
      <c r="C1912" t="s">
        <v>724</v>
      </c>
      <c r="D1912" t="s">
        <v>16</v>
      </c>
      <c r="E1912" t="s">
        <v>89</v>
      </c>
      <c r="F1912" t="s">
        <v>18</v>
      </c>
      <c r="G1912" t="s">
        <v>176</v>
      </c>
      <c r="H1912">
        <v>375</v>
      </c>
      <c r="I1912">
        <v>40</v>
      </c>
      <c r="J1912">
        <v>0</v>
      </c>
      <c r="K1912" t="s">
        <v>20</v>
      </c>
      <c r="L1912">
        <v>39</v>
      </c>
      <c r="M1912" t="s">
        <v>21</v>
      </c>
      <c r="N1912">
        <f>COUNTIF(order_data[Order_ID],order_data[[#This Row],[Order_ID]])</f>
        <v>1</v>
      </c>
      <c r="O1912">
        <f>order_data[[#This Row],[Order_Value]]-order_data[[#This Row],[Discount]]</f>
        <v>375</v>
      </c>
      <c r="P1912">
        <f>order_data[[#This Row],[Order_Value]]+order_data[[#This Row],[Delivery_Fee]]-order_data[[#This Row],[Discount]]</f>
        <v>415</v>
      </c>
      <c r="Q1912" t="str">
        <f>TEXT(order_data[[#This Row],[Order_Date]],"mmm")</f>
        <v>Feb</v>
      </c>
      <c r="R1912">
        <f>MONTH(order_data[[#This Row],[Order_Date]])</f>
        <v>2</v>
      </c>
    </row>
    <row r="1913" spans="1:18" x14ac:dyDescent="0.35">
      <c r="A1913" t="s">
        <v>2701</v>
      </c>
      <c r="B1913" t="s">
        <v>181</v>
      </c>
      <c r="C1913" t="s">
        <v>1114</v>
      </c>
      <c r="D1913" t="s">
        <v>53</v>
      </c>
      <c r="E1913" t="s">
        <v>54</v>
      </c>
      <c r="F1913" t="s">
        <v>55</v>
      </c>
      <c r="G1913" t="s">
        <v>35</v>
      </c>
      <c r="H1913">
        <v>389</v>
      </c>
      <c r="I1913">
        <v>20</v>
      </c>
      <c r="J1913">
        <v>0</v>
      </c>
      <c r="K1913" t="s">
        <v>36</v>
      </c>
      <c r="L1913">
        <v>44</v>
      </c>
      <c r="M1913" t="s">
        <v>21</v>
      </c>
      <c r="N1913">
        <f>COUNTIF(order_data[Order_ID],order_data[[#This Row],[Order_ID]])</f>
        <v>1</v>
      </c>
      <c r="O1913">
        <f>order_data[[#This Row],[Order_Value]]-order_data[[#This Row],[Discount]]</f>
        <v>389</v>
      </c>
      <c r="P1913">
        <f>order_data[[#This Row],[Order_Value]]+order_data[[#This Row],[Delivery_Fee]]-order_data[[#This Row],[Discount]]</f>
        <v>409</v>
      </c>
      <c r="Q1913" t="str">
        <f>TEXT(order_data[[#This Row],[Order_Date]],"mmm")</f>
        <v>Feb</v>
      </c>
      <c r="R1913">
        <f>MONTH(order_data[[#This Row],[Order_Date]])</f>
        <v>2</v>
      </c>
    </row>
    <row r="1914" spans="1:18" x14ac:dyDescent="0.35">
      <c r="A1914" t="s">
        <v>2702</v>
      </c>
      <c r="B1914" t="s">
        <v>154</v>
      </c>
      <c r="C1914" t="s">
        <v>1697</v>
      </c>
      <c r="D1914" t="s">
        <v>46</v>
      </c>
      <c r="E1914" t="s">
        <v>148</v>
      </c>
      <c r="F1914" t="s">
        <v>27</v>
      </c>
      <c r="G1914" t="s">
        <v>35</v>
      </c>
      <c r="H1914">
        <v>562</v>
      </c>
      <c r="I1914">
        <v>50</v>
      </c>
      <c r="J1914">
        <v>20</v>
      </c>
      <c r="K1914" t="s">
        <v>36</v>
      </c>
      <c r="L1914">
        <v>25</v>
      </c>
      <c r="M1914" t="s">
        <v>21</v>
      </c>
      <c r="N1914">
        <f>COUNTIF(order_data[Order_ID],order_data[[#This Row],[Order_ID]])</f>
        <v>1</v>
      </c>
      <c r="O1914">
        <f>order_data[[#This Row],[Order_Value]]-order_data[[#This Row],[Discount]]</f>
        <v>542</v>
      </c>
      <c r="P1914">
        <f>order_data[[#This Row],[Order_Value]]+order_data[[#This Row],[Delivery_Fee]]-order_data[[#This Row],[Discount]]</f>
        <v>592</v>
      </c>
      <c r="Q1914" t="str">
        <f>TEXT(order_data[[#This Row],[Order_Date]],"mmm")</f>
        <v>Jan</v>
      </c>
      <c r="R1914">
        <f>MONTH(order_data[[#This Row],[Order_Date]])</f>
        <v>1</v>
      </c>
    </row>
    <row r="1915" spans="1:18" x14ac:dyDescent="0.35">
      <c r="A1915" t="s">
        <v>2703</v>
      </c>
      <c r="B1915" t="s">
        <v>329</v>
      </c>
      <c r="C1915" t="s">
        <v>1162</v>
      </c>
      <c r="D1915" t="s">
        <v>46</v>
      </c>
      <c r="E1915" t="s">
        <v>70</v>
      </c>
      <c r="F1915" t="s">
        <v>18</v>
      </c>
      <c r="G1915" t="s">
        <v>35</v>
      </c>
      <c r="H1915">
        <v>406</v>
      </c>
      <c r="I1915">
        <v>30</v>
      </c>
      <c r="J1915">
        <v>20</v>
      </c>
      <c r="K1915" t="s">
        <v>36</v>
      </c>
      <c r="L1915">
        <v>60</v>
      </c>
      <c r="M1915" t="s">
        <v>21</v>
      </c>
      <c r="N1915">
        <f>COUNTIF(order_data[Order_ID],order_data[[#This Row],[Order_ID]])</f>
        <v>1</v>
      </c>
      <c r="O1915">
        <f>order_data[[#This Row],[Order_Value]]-order_data[[#This Row],[Discount]]</f>
        <v>386</v>
      </c>
      <c r="P1915">
        <f>order_data[[#This Row],[Order_Value]]+order_data[[#This Row],[Delivery_Fee]]-order_data[[#This Row],[Discount]]</f>
        <v>416</v>
      </c>
      <c r="Q1915" t="str">
        <f>TEXT(order_data[[#This Row],[Order_Date]],"mmm")</f>
        <v>Mar</v>
      </c>
      <c r="R1915">
        <f>MONTH(order_data[[#This Row],[Order_Date]])</f>
        <v>3</v>
      </c>
    </row>
    <row r="1916" spans="1:18" x14ac:dyDescent="0.35">
      <c r="A1916" t="s">
        <v>2704</v>
      </c>
      <c r="B1916" t="s">
        <v>143</v>
      </c>
      <c r="C1916" t="s">
        <v>2705</v>
      </c>
      <c r="D1916" t="s">
        <v>53</v>
      </c>
      <c r="E1916" t="s">
        <v>152</v>
      </c>
      <c r="F1916" t="s">
        <v>18</v>
      </c>
      <c r="G1916" t="s">
        <v>19</v>
      </c>
      <c r="H1916">
        <v>329</v>
      </c>
      <c r="I1916">
        <v>30</v>
      </c>
      <c r="J1916">
        <v>0</v>
      </c>
      <c r="K1916" t="s">
        <v>20</v>
      </c>
      <c r="L1916">
        <v>59</v>
      </c>
      <c r="M1916" t="s">
        <v>21</v>
      </c>
      <c r="N1916">
        <f>COUNTIF(order_data[Order_ID],order_data[[#This Row],[Order_ID]])</f>
        <v>1</v>
      </c>
      <c r="O1916">
        <f>order_data[[#This Row],[Order_Value]]-order_data[[#This Row],[Discount]]</f>
        <v>329</v>
      </c>
      <c r="P1916">
        <f>order_data[[#This Row],[Order_Value]]+order_data[[#This Row],[Delivery_Fee]]-order_data[[#This Row],[Discount]]</f>
        <v>359</v>
      </c>
      <c r="Q1916" t="str">
        <f>TEXT(order_data[[#This Row],[Order_Date]],"mmm")</f>
        <v>Feb</v>
      </c>
      <c r="R1916">
        <f>MONTH(order_data[[#This Row],[Order_Date]])</f>
        <v>2</v>
      </c>
    </row>
    <row r="1917" spans="1:18" x14ac:dyDescent="0.35">
      <c r="A1917" t="s">
        <v>2706</v>
      </c>
      <c r="B1917" t="s">
        <v>91</v>
      </c>
      <c r="C1917" t="s">
        <v>854</v>
      </c>
      <c r="D1917" t="s">
        <v>16</v>
      </c>
      <c r="E1917" t="s">
        <v>89</v>
      </c>
      <c r="F1917" t="s">
        <v>18</v>
      </c>
      <c r="G1917" t="s">
        <v>59</v>
      </c>
      <c r="H1917">
        <v>748</v>
      </c>
      <c r="I1917">
        <v>30</v>
      </c>
      <c r="J1917">
        <v>50</v>
      </c>
      <c r="K1917" t="s">
        <v>20</v>
      </c>
      <c r="L1917">
        <v>29</v>
      </c>
      <c r="M1917" t="s">
        <v>21</v>
      </c>
      <c r="N1917">
        <f>COUNTIF(order_data[Order_ID],order_data[[#This Row],[Order_ID]])</f>
        <v>1</v>
      </c>
      <c r="O1917">
        <f>order_data[[#This Row],[Order_Value]]-order_data[[#This Row],[Discount]]</f>
        <v>698</v>
      </c>
      <c r="P1917">
        <f>order_data[[#This Row],[Order_Value]]+order_data[[#This Row],[Delivery_Fee]]-order_data[[#This Row],[Discount]]</f>
        <v>728</v>
      </c>
      <c r="Q1917" t="str">
        <f>TEXT(order_data[[#This Row],[Order_Date]],"mmm")</f>
        <v>Mar</v>
      </c>
      <c r="R1917">
        <f>MONTH(order_data[[#This Row],[Order_Date]])</f>
        <v>3</v>
      </c>
    </row>
    <row r="1918" spans="1:18" x14ac:dyDescent="0.35">
      <c r="A1918" t="s">
        <v>2707</v>
      </c>
      <c r="B1918" t="s">
        <v>388</v>
      </c>
      <c r="C1918" t="s">
        <v>1206</v>
      </c>
      <c r="D1918" t="s">
        <v>16</v>
      </c>
      <c r="E1918" t="s">
        <v>89</v>
      </c>
      <c r="F1918" t="s">
        <v>18</v>
      </c>
      <c r="G1918" t="s">
        <v>28</v>
      </c>
      <c r="H1918">
        <v>279</v>
      </c>
      <c r="I1918">
        <v>40</v>
      </c>
      <c r="J1918">
        <v>50</v>
      </c>
      <c r="K1918" t="s">
        <v>29</v>
      </c>
      <c r="L1918">
        <v>31</v>
      </c>
      <c r="M1918" t="s">
        <v>21</v>
      </c>
      <c r="N1918">
        <f>COUNTIF(order_data[Order_ID],order_data[[#This Row],[Order_ID]])</f>
        <v>1</v>
      </c>
      <c r="O1918">
        <f>order_data[[#This Row],[Order_Value]]-order_data[[#This Row],[Discount]]</f>
        <v>229</v>
      </c>
      <c r="P1918">
        <f>order_data[[#This Row],[Order_Value]]+order_data[[#This Row],[Delivery_Fee]]-order_data[[#This Row],[Discount]]</f>
        <v>269</v>
      </c>
      <c r="Q1918" t="str">
        <f>TEXT(order_data[[#This Row],[Order_Date]],"mmm")</f>
        <v>Mar</v>
      </c>
      <c r="R1918">
        <f>MONTH(order_data[[#This Row],[Order_Date]])</f>
        <v>3</v>
      </c>
    </row>
    <row r="1919" spans="1:18" x14ac:dyDescent="0.35">
      <c r="A1919" t="s">
        <v>2708</v>
      </c>
      <c r="B1919" t="s">
        <v>223</v>
      </c>
      <c r="C1919" t="s">
        <v>313</v>
      </c>
      <c r="D1919" t="s">
        <v>16</v>
      </c>
      <c r="E1919" t="s">
        <v>89</v>
      </c>
      <c r="F1919" t="s">
        <v>18</v>
      </c>
      <c r="G1919" t="s">
        <v>42</v>
      </c>
      <c r="H1919">
        <v>716</v>
      </c>
      <c r="I1919">
        <v>50</v>
      </c>
      <c r="J1919">
        <v>0</v>
      </c>
      <c r="K1919" t="s">
        <v>36</v>
      </c>
      <c r="L1919">
        <v>56</v>
      </c>
      <c r="M1919" t="s">
        <v>21</v>
      </c>
      <c r="N1919">
        <f>COUNTIF(order_data[Order_ID],order_data[[#This Row],[Order_ID]])</f>
        <v>1</v>
      </c>
      <c r="O1919">
        <f>order_data[[#This Row],[Order_Value]]-order_data[[#This Row],[Discount]]</f>
        <v>716</v>
      </c>
      <c r="P1919">
        <f>order_data[[#This Row],[Order_Value]]+order_data[[#This Row],[Delivery_Fee]]-order_data[[#This Row],[Discount]]</f>
        <v>766</v>
      </c>
      <c r="Q1919" t="str">
        <f>TEXT(order_data[[#This Row],[Order_Date]],"mmm")</f>
        <v>Mar</v>
      </c>
      <c r="R1919">
        <f>MONTH(order_data[[#This Row],[Order_Date]])</f>
        <v>3</v>
      </c>
    </row>
    <row r="1920" spans="1:18" x14ac:dyDescent="0.35">
      <c r="A1920" t="s">
        <v>2709</v>
      </c>
      <c r="B1920" t="s">
        <v>65</v>
      </c>
      <c r="C1920" t="s">
        <v>391</v>
      </c>
      <c r="D1920" t="s">
        <v>16</v>
      </c>
      <c r="E1920" t="s">
        <v>17</v>
      </c>
      <c r="F1920" t="s">
        <v>18</v>
      </c>
      <c r="G1920" t="s">
        <v>49</v>
      </c>
      <c r="H1920">
        <v>573</v>
      </c>
      <c r="I1920">
        <v>30</v>
      </c>
      <c r="J1920">
        <v>30</v>
      </c>
      <c r="K1920" t="s">
        <v>20</v>
      </c>
      <c r="L1920">
        <v>39</v>
      </c>
      <c r="M1920" t="s">
        <v>21</v>
      </c>
      <c r="N1920">
        <f>COUNTIF(order_data[Order_ID],order_data[[#This Row],[Order_ID]])</f>
        <v>1</v>
      </c>
      <c r="O1920">
        <f>order_data[[#This Row],[Order_Value]]-order_data[[#This Row],[Discount]]</f>
        <v>543</v>
      </c>
      <c r="P1920">
        <f>order_data[[#This Row],[Order_Value]]+order_data[[#This Row],[Delivery_Fee]]-order_data[[#This Row],[Discount]]</f>
        <v>573</v>
      </c>
      <c r="Q1920" t="str">
        <f>TEXT(order_data[[#This Row],[Order_Date]],"mmm")</f>
        <v>Mar</v>
      </c>
      <c r="R1920">
        <f>MONTH(order_data[[#This Row],[Order_Date]])</f>
        <v>3</v>
      </c>
    </row>
    <row r="1921" spans="1:18" x14ac:dyDescent="0.35">
      <c r="A1921" t="s">
        <v>2710</v>
      </c>
      <c r="B1921" t="s">
        <v>398</v>
      </c>
      <c r="C1921" t="s">
        <v>469</v>
      </c>
      <c r="D1921" t="s">
        <v>46</v>
      </c>
      <c r="E1921" t="s">
        <v>70</v>
      </c>
      <c r="F1921" t="s">
        <v>18</v>
      </c>
      <c r="G1921" t="s">
        <v>42</v>
      </c>
      <c r="H1921">
        <v>800</v>
      </c>
      <c r="I1921">
        <v>20</v>
      </c>
      <c r="J1921">
        <v>100</v>
      </c>
      <c r="K1921" t="s">
        <v>20</v>
      </c>
      <c r="L1921">
        <v>30</v>
      </c>
      <c r="M1921" t="s">
        <v>21</v>
      </c>
      <c r="N1921">
        <f>COUNTIF(order_data[Order_ID],order_data[[#This Row],[Order_ID]])</f>
        <v>1</v>
      </c>
      <c r="O1921">
        <f>order_data[[#This Row],[Order_Value]]-order_data[[#This Row],[Discount]]</f>
        <v>700</v>
      </c>
      <c r="P1921">
        <f>order_data[[#This Row],[Order_Value]]+order_data[[#This Row],[Delivery_Fee]]-order_data[[#This Row],[Discount]]</f>
        <v>720</v>
      </c>
      <c r="Q1921" t="str">
        <f>TEXT(order_data[[#This Row],[Order_Date]],"mmm")</f>
        <v>Feb</v>
      </c>
      <c r="R1921">
        <f>MONTH(order_data[[#This Row],[Order_Date]])</f>
        <v>2</v>
      </c>
    </row>
    <row r="1922" spans="1:18" x14ac:dyDescent="0.35">
      <c r="A1922" t="s">
        <v>2711</v>
      </c>
      <c r="B1922" t="s">
        <v>657</v>
      </c>
      <c r="C1922" t="s">
        <v>1457</v>
      </c>
      <c r="D1922" t="s">
        <v>53</v>
      </c>
      <c r="E1922" t="s">
        <v>84</v>
      </c>
      <c r="F1922" t="s">
        <v>85</v>
      </c>
      <c r="G1922" t="s">
        <v>35</v>
      </c>
      <c r="H1922">
        <v>448</v>
      </c>
      <c r="I1922">
        <v>20</v>
      </c>
      <c r="J1922">
        <v>100</v>
      </c>
      <c r="K1922" t="s">
        <v>20</v>
      </c>
      <c r="L1922">
        <v>40</v>
      </c>
      <c r="M1922" t="s">
        <v>21</v>
      </c>
      <c r="N1922">
        <f>COUNTIF(order_data[Order_ID],order_data[[#This Row],[Order_ID]])</f>
        <v>1</v>
      </c>
      <c r="O1922">
        <f>order_data[[#This Row],[Order_Value]]-order_data[[#This Row],[Discount]]</f>
        <v>348</v>
      </c>
      <c r="P1922">
        <f>order_data[[#This Row],[Order_Value]]+order_data[[#This Row],[Delivery_Fee]]-order_data[[#This Row],[Discount]]</f>
        <v>368</v>
      </c>
      <c r="Q1922" t="str">
        <f>TEXT(order_data[[#This Row],[Order_Date]],"mmm")</f>
        <v>Jan</v>
      </c>
      <c r="R1922">
        <f>MONTH(order_data[[#This Row],[Order_Date]])</f>
        <v>1</v>
      </c>
    </row>
    <row r="1923" spans="1:18" x14ac:dyDescent="0.35">
      <c r="A1923" t="s">
        <v>2712</v>
      </c>
      <c r="B1923" t="s">
        <v>102</v>
      </c>
      <c r="C1923" t="s">
        <v>2713</v>
      </c>
      <c r="D1923" t="s">
        <v>40</v>
      </c>
      <c r="E1923" t="s">
        <v>111</v>
      </c>
      <c r="F1923" t="s">
        <v>18</v>
      </c>
      <c r="G1923" t="s">
        <v>19</v>
      </c>
      <c r="H1923">
        <v>778</v>
      </c>
      <c r="I1923">
        <v>40</v>
      </c>
      <c r="J1923">
        <v>20</v>
      </c>
      <c r="K1923" t="s">
        <v>29</v>
      </c>
      <c r="L1923">
        <v>42</v>
      </c>
      <c r="M1923" t="s">
        <v>21</v>
      </c>
      <c r="N1923">
        <f>COUNTIF(order_data[Order_ID],order_data[[#This Row],[Order_ID]])</f>
        <v>1</v>
      </c>
      <c r="O1923">
        <f>order_data[[#This Row],[Order_Value]]-order_data[[#This Row],[Discount]]</f>
        <v>758</v>
      </c>
      <c r="P1923">
        <f>order_data[[#This Row],[Order_Value]]+order_data[[#This Row],[Delivery_Fee]]-order_data[[#This Row],[Discount]]</f>
        <v>798</v>
      </c>
      <c r="Q1923" t="str">
        <f>TEXT(order_data[[#This Row],[Order_Date]],"mmm")</f>
        <v>Mar</v>
      </c>
      <c r="R1923">
        <f>MONTH(order_data[[#This Row],[Order_Date]])</f>
        <v>3</v>
      </c>
    </row>
    <row r="1924" spans="1:18" x14ac:dyDescent="0.35">
      <c r="A1924" t="s">
        <v>2714</v>
      </c>
      <c r="B1924" t="s">
        <v>310</v>
      </c>
      <c r="C1924" t="s">
        <v>1931</v>
      </c>
      <c r="D1924" t="s">
        <v>16</v>
      </c>
      <c r="E1924" t="s">
        <v>89</v>
      </c>
      <c r="F1924" t="s">
        <v>18</v>
      </c>
      <c r="G1924" t="s">
        <v>35</v>
      </c>
      <c r="H1924">
        <v>413</v>
      </c>
      <c r="I1924">
        <v>40</v>
      </c>
      <c r="J1924">
        <v>50</v>
      </c>
      <c r="K1924" t="s">
        <v>29</v>
      </c>
      <c r="L1924">
        <v>53</v>
      </c>
      <c r="M1924" t="s">
        <v>21</v>
      </c>
      <c r="N1924">
        <f>COUNTIF(order_data[Order_ID],order_data[[#This Row],[Order_ID]])</f>
        <v>1</v>
      </c>
      <c r="O1924">
        <f>order_data[[#This Row],[Order_Value]]-order_data[[#This Row],[Discount]]</f>
        <v>363</v>
      </c>
      <c r="P1924">
        <f>order_data[[#This Row],[Order_Value]]+order_data[[#This Row],[Delivery_Fee]]-order_data[[#This Row],[Discount]]</f>
        <v>403</v>
      </c>
      <c r="Q1924" t="str">
        <f>TEXT(order_data[[#This Row],[Order_Date]],"mmm")</f>
        <v>Feb</v>
      </c>
      <c r="R1924">
        <f>MONTH(order_data[[#This Row],[Order_Date]])</f>
        <v>2</v>
      </c>
    </row>
    <row r="1925" spans="1:18" x14ac:dyDescent="0.35">
      <c r="A1925" t="s">
        <v>2715</v>
      </c>
      <c r="B1925" t="s">
        <v>87</v>
      </c>
      <c r="C1925" t="s">
        <v>592</v>
      </c>
      <c r="D1925" t="s">
        <v>25</v>
      </c>
      <c r="E1925" t="s">
        <v>26</v>
      </c>
      <c r="F1925" t="s">
        <v>27</v>
      </c>
      <c r="G1925" t="s">
        <v>35</v>
      </c>
      <c r="H1925">
        <v>676</v>
      </c>
      <c r="I1925">
        <v>20</v>
      </c>
      <c r="J1925">
        <v>0</v>
      </c>
      <c r="K1925" t="s">
        <v>29</v>
      </c>
      <c r="L1925">
        <v>54</v>
      </c>
      <c r="M1925" t="s">
        <v>21</v>
      </c>
      <c r="N1925">
        <f>COUNTIF(order_data[Order_ID],order_data[[#This Row],[Order_ID]])</f>
        <v>1</v>
      </c>
      <c r="O1925">
        <f>order_data[[#This Row],[Order_Value]]-order_data[[#This Row],[Discount]]</f>
        <v>676</v>
      </c>
      <c r="P1925">
        <f>order_data[[#This Row],[Order_Value]]+order_data[[#This Row],[Delivery_Fee]]-order_data[[#This Row],[Discount]]</f>
        <v>696</v>
      </c>
      <c r="Q1925" t="str">
        <f>TEXT(order_data[[#This Row],[Order_Date]],"mmm")</f>
        <v>Jan</v>
      </c>
      <c r="R1925">
        <f>MONTH(order_data[[#This Row],[Order_Date]])</f>
        <v>1</v>
      </c>
    </row>
    <row r="1926" spans="1:18" x14ac:dyDescent="0.35">
      <c r="A1926" t="s">
        <v>2716</v>
      </c>
      <c r="B1926" t="s">
        <v>280</v>
      </c>
      <c r="C1926" t="s">
        <v>452</v>
      </c>
      <c r="D1926" t="s">
        <v>40</v>
      </c>
      <c r="E1926" t="s">
        <v>111</v>
      </c>
      <c r="F1926" t="s">
        <v>18</v>
      </c>
      <c r="G1926" t="s">
        <v>42</v>
      </c>
      <c r="H1926">
        <v>554</v>
      </c>
      <c r="I1926">
        <v>20</v>
      </c>
      <c r="J1926">
        <v>100</v>
      </c>
      <c r="K1926" t="s">
        <v>36</v>
      </c>
      <c r="L1926">
        <v>28</v>
      </c>
      <c r="M1926" t="s">
        <v>21</v>
      </c>
      <c r="N1926">
        <f>COUNTIF(order_data[Order_ID],order_data[[#This Row],[Order_ID]])</f>
        <v>1</v>
      </c>
      <c r="O1926">
        <f>order_data[[#This Row],[Order_Value]]-order_data[[#This Row],[Discount]]</f>
        <v>454</v>
      </c>
      <c r="P1926">
        <f>order_data[[#This Row],[Order_Value]]+order_data[[#This Row],[Delivery_Fee]]-order_data[[#This Row],[Discount]]</f>
        <v>474</v>
      </c>
      <c r="Q1926" t="str">
        <f>TEXT(order_data[[#This Row],[Order_Date]],"mmm")</f>
        <v>Jan</v>
      </c>
      <c r="R1926">
        <f>MONTH(order_data[[#This Row],[Order_Date]])</f>
        <v>1</v>
      </c>
    </row>
    <row r="1927" spans="1:18" x14ac:dyDescent="0.35">
      <c r="A1927" t="s">
        <v>2717</v>
      </c>
      <c r="B1927" t="s">
        <v>454</v>
      </c>
      <c r="C1927" t="s">
        <v>616</v>
      </c>
      <c r="D1927" t="s">
        <v>25</v>
      </c>
      <c r="E1927" t="s">
        <v>34</v>
      </c>
      <c r="F1927" t="s">
        <v>27</v>
      </c>
      <c r="G1927" t="s">
        <v>19</v>
      </c>
      <c r="H1927">
        <v>506</v>
      </c>
      <c r="I1927">
        <v>20</v>
      </c>
      <c r="J1927">
        <v>30</v>
      </c>
      <c r="K1927" t="s">
        <v>36</v>
      </c>
      <c r="L1927">
        <v>46</v>
      </c>
      <c r="M1927" t="s">
        <v>21</v>
      </c>
      <c r="N1927">
        <f>COUNTIF(order_data[Order_ID],order_data[[#This Row],[Order_ID]])</f>
        <v>1</v>
      </c>
      <c r="O1927">
        <f>order_data[[#This Row],[Order_Value]]-order_data[[#This Row],[Discount]]</f>
        <v>476</v>
      </c>
      <c r="P1927">
        <f>order_data[[#This Row],[Order_Value]]+order_data[[#This Row],[Delivery_Fee]]-order_data[[#This Row],[Discount]]</f>
        <v>496</v>
      </c>
      <c r="Q1927" t="str">
        <f>TEXT(order_data[[#This Row],[Order_Date]],"mmm")</f>
        <v>Jan</v>
      </c>
      <c r="R1927">
        <f>MONTH(order_data[[#This Row],[Order_Date]])</f>
        <v>1</v>
      </c>
    </row>
    <row r="1928" spans="1:18" x14ac:dyDescent="0.35">
      <c r="A1928" t="s">
        <v>2718</v>
      </c>
      <c r="B1928" t="s">
        <v>526</v>
      </c>
      <c r="C1928" t="s">
        <v>1857</v>
      </c>
      <c r="D1928" t="s">
        <v>46</v>
      </c>
      <c r="E1928" t="s">
        <v>47</v>
      </c>
      <c r="F1928" t="s">
        <v>48</v>
      </c>
      <c r="G1928" t="s">
        <v>107</v>
      </c>
      <c r="H1928">
        <v>294</v>
      </c>
      <c r="I1928">
        <v>40</v>
      </c>
      <c r="J1928">
        <v>0</v>
      </c>
      <c r="K1928" t="s">
        <v>36</v>
      </c>
      <c r="L1928">
        <v>30</v>
      </c>
      <c r="M1928" t="s">
        <v>21</v>
      </c>
      <c r="N1928">
        <f>COUNTIF(order_data[Order_ID],order_data[[#This Row],[Order_ID]])</f>
        <v>1</v>
      </c>
      <c r="O1928">
        <f>order_data[[#This Row],[Order_Value]]-order_data[[#This Row],[Discount]]</f>
        <v>294</v>
      </c>
      <c r="P1928">
        <f>order_data[[#This Row],[Order_Value]]+order_data[[#This Row],[Delivery_Fee]]-order_data[[#This Row],[Discount]]</f>
        <v>334</v>
      </c>
      <c r="Q1928" t="str">
        <f>TEXT(order_data[[#This Row],[Order_Date]],"mmm")</f>
        <v>Jan</v>
      </c>
      <c r="R1928">
        <f>MONTH(order_data[[#This Row],[Order_Date]])</f>
        <v>1</v>
      </c>
    </row>
    <row r="1929" spans="1:18" x14ac:dyDescent="0.35">
      <c r="A1929" t="s">
        <v>2719</v>
      </c>
      <c r="B1929" t="s">
        <v>322</v>
      </c>
      <c r="C1929" t="s">
        <v>231</v>
      </c>
      <c r="D1929" t="s">
        <v>53</v>
      </c>
      <c r="E1929" t="s">
        <v>152</v>
      </c>
      <c r="F1929" t="s">
        <v>18</v>
      </c>
      <c r="G1929" t="s">
        <v>28</v>
      </c>
      <c r="H1929">
        <v>520</v>
      </c>
      <c r="I1929">
        <v>40</v>
      </c>
      <c r="J1929">
        <v>20</v>
      </c>
      <c r="K1929" t="s">
        <v>20</v>
      </c>
      <c r="L1929">
        <v>58</v>
      </c>
      <c r="M1929" t="s">
        <v>21</v>
      </c>
      <c r="N1929">
        <f>COUNTIF(order_data[Order_ID],order_data[[#This Row],[Order_ID]])</f>
        <v>1</v>
      </c>
      <c r="O1929">
        <f>order_data[[#This Row],[Order_Value]]-order_data[[#This Row],[Discount]]</f>
        <v>500</v>
      </c>
      <c r="P1929">
        <f>order_data[[#This Row],[Order_Value]]+order_data[[#This Row],[Delivery_Fee]]-order_data[[#This Row],[Discount]]</f>
        <v>540</v>
      </c>
      <c r="Q1929" t="str">
        <f>TEXT(order_data[[#This Row],[Order_Date]],"mmm")</f>
        <v>Jan</v>
      </c>
      <c r="R1929">
        <f>MONTH(order_data[[#This Row],[Order_Date]])</f>
        <v>1</v>
      </c>
    </row>
    <row r="1930" spans="1:18" x14ac:dyDescent="0.35">
      <c r="A1930" t="s">
        <v>2720</v>
      </c>
      <c r="B1930" t="s">
        <v>44</v>
      </c>
      <c r="C1930" t="s">
        <v>984</v>
      </c>
      <c r="D1930" t="s">
        <v>25</v>
      </c>
      <c r="E1930" t="s">
        <v>34</v>
      </c>
      <c r="F1930" t="s">
        <v>27</v>
      </c>
      <c r="G1930" t="s">
        <v>107</v>
      </c>
      <c r="H1930">
        <v>213</v>
      </c>
      <c r="I1930">
        <v>40</v>
      </c>
      <c r="J1930">
        <v>30</v>
      </c>
      <c r="K1930" t="s">
        <v>29</v>
      </c>
      <c r="L1930">
        <v>28</v>
      </c>
      <c r="M1930" t="s">
        <v>21</v>
      </c>
      <c r="N1930">
        <f>COUNTIF(order_data[Order_ID],order_data[[#This Row],[Order_ID]])</f>
        <v>1</v>
      </c>
      <c r="O1930">
        <f>order_data[[#This Row],[Order_Value]]-order_data[[#This Row],[Discount]]</f>
        <v>183</v>
      </c>
      <c r="P1930">
        <f>order_data[[#This Row],[Order_Value]]+order_data[[#This Row],[Delivery_Fee]]-order_data[[#This Row],[Discount]]</f>
        <v>223</v>
      </c>
      <c r="Q1930" t="str">
        <f>TEXT(order_data[[#This Row],[Order_Date]],"mmm")</f>
        <v>Jan</v>
      </c>
      <c r="R1930">
        <f>MONTH(order_data[[#This Row],[Order_Date]])</f>
        <v>1</v>
      </c>
    </row>
    <row r="1931" spans="1:18" x14ac:dyDescent="0.35">
      <c r="A1931" t="s">
        <v>2721</v>
      </c>
      <c r="B1931" t="s">
        <v>218</v>
      </c>
      <c r="C1931" t="s">
        <v>879</v>
      </c>
      <c r="D1931" t="s">
        <v>46</v>
      </c>
      <c r="E1931" t="s">
        <v>148</v>
      </c>
      <c r="F1931" t="s">
        <v>27</v>
      </c>
      <c r="G1931" t="s">
        <v>49</v>
      </c>
      <c r="H1931">
        <v>368</v>
      </c>
      <c r="I1931">
        <v>30</v>
      </c>
      <c r="J1931">
        <v>50</v>
      </c>
      <c r="K1931" t="s">
        <v>20</v>
      </c>
      <c r="L1931">
        <v>42</v>
      </c>
      <c r="M1931" t="s">
        <v>21</v>
      </c>
      <c r="N1931">
        <f>COUNTIF(order_data[Order_ID],order_data[[#This Row],[Order_ID]])</f>
        <v>1</v>
      </c>
      <c r="O1931">
        <f>order_data[[#This Row],[Order_Value]]-order_data[[#This Row],[Discount]]</f>
        <v>318</v>
      </c>
      <c r="P1931">
        <f>order_data[[#This Row],[Order_Value]]+order_data[[#This Row],[Delivery_Fee]]-order_data[[#This Row],[Discount]]</f>
        <v>348</v>
      </c>
      <c r="Q1931" t="str">
        <f>TEXT(order_data[[#This Row],[Order_Date]],"mmm")</f>
        <v>Feb</v>
      </c>
      <c r="R1931">
        <f>MONTH(order_data[[#This Row],[Order_Date]])</f>
        <v>2</v>
      </c>
    </row>
    <row r="1932" spans="1:18" x14ac:dyDescent="0.35">
      <c r="A1932" t="s">
        <v>2722</v>
      </c>
      <c r="B1932" t="s">
        <v>476</v>
      </c>
      <c r="C1932" t="s">
        <v>644</v>
      </c>
      <c r="D1932" t="s">
        <v>16</v>
      </c>
      <c r="E1932" t="s">
        <v>89</v>
      </c>
      <c r="F1932" t="s">
        <v>18</v>
      </c>
      <c r="G1932" t="s">
        <v>49</v>
      </c>
      <c r="H1932">
        <v>168</v>
      </c>
      <c r="I1932">
        <v>20</v>
      </c>
      <c r="J1932">
        <v>0</v>
      </c>
      <c r="K1932" t="s">
        <v>20</v>
      </c>
      <c r="L1932">
        <v>47</v>
      </c>
      <c r="M1932" t="s">
        <v>21</v>
      </c>
      <c r="N1932">
        <f>COUNTIF(order_data[Order_ID],order_data[[#This Row],[Order_ID]])</f>
        <v>1</v>
      </c>
      <c r="O1932">
        <f>order_data[[#This Row],[Order_Value]]-order_data[[#This Row],[Discount]]</f>
        <v>168</v>
      </c>
      <c r="P1932">
        <f>order_data[[#This Row],[Order_Value]]+order_data[[#This Row],[Delivery_Fee]]-order_data[[#This Row],[Discount]]</f>
        <v>188</v>
      </c>
      <c r="Q1932" t="str">
        <f>TEXT(order_data[[#This Row],[Order_Date]],"mmm")</f>
        <v>Jan</v>
      </c>
      <c r="R1932">
        <f>MONTH(order_data[[#This Row],[Order_Date]])</f>
        <v>1</v>
      </c>
    </row>
    <row r="1933" spans="1:18" x14ac:dyDescent="0.35">
      <c r="A1933" t="s">
        <v>2723</v>
      </c>
      <c r="B1933" t="s">
        <v>121</v>
      </c>
      <c r="C1933" t="s">
        <v>527</v>
      </c>
      <c r="D1933" t="s">
        <v>25</v>
      </c>
      <c r="E1933" t="s">
        <v>34</v>
      </c>
      <c r="F1933" t="s">
        <v>27</v>
      </c>
      <c r="G1933" t="s">
        <v>19</v>
      </c>
      <c r="H1933">
        <v>341</v>
      </c>
      <c r="I1933">
        <v>50</v>
      </c>
      <c r="J1933">
        <v>50</v>
      </c>
      <c r="K1933" t="s">
        <v>36</v>
      </c>
      <c r="L1933">
        <v>22</v>
      </c>
      <c r="M1933" t="s">
        <v>21</v>
      </c>
      <c r="N1933">
        <f>COUNTIF(order_data[Order_ID],order_data[[#This Row],[Order_ID]])</f>
        <v>1</v>
      </c>
      <c r="O1933">
        <f>order_data[[#This Row],[Order_Value]]-order_data[[#This Row],[Discount]]</f>
        <v>291</v>
      </c>
      <c r="P1933">
        <f>order_data[[#This Row],[Order_Value]]+order_data[[#This Row],[Delivery_Fee]]-order_data[[#This Row],[Discount]]</f>
        <v>341</v>
      </c>
      <c r="Q1933" t="str">
        <f>TEXT(order_data[[#This Row],[Order_Date]],"mmm")</f>
        <v>Feb</v>
      </c>
      <c r="R1933">
        <f>MONTH(order_data[[#This Row],[Order_Date]])</f>
        <v>2</v>
      </c>
    </row>
    <row r="1934" spans="1:18" x14ac:dyDescent="0.35">
      <c r="A1934" t="s">
        <v>2724</v>
      </c>
      <c r="B1934" t="s">
        <v>342</v>
      </c>
      <c r="C1934" t="s">
        <v>1423</v>
      </c>
      <c r="D1934" t="s">
        <v>53</v>
      </c>
      <c r="E1934" t="s">
        <v>84</v>
      </c>
      <c r="F1934" t="s">
        <v>85</v>
      </c>
      <c r="G1934" t="s">
        <v>28</v>
      </c>
      <c r="H1934">
        <v>426</v>
      </c>
      <c r="I1934">
        <v>40</v>
      </c>
      <c r="J1934">
        <v>30</v>
      </c>
      <c r="K1934" t="s">
        <v>20</v>
      </c>
      <c r="L1934">
        <v>56</v>
      </c>
      <c r="M1934" t="s">
        <v>21</v>
      </c>
      <c r="N1934">
        <f>COUNTIF(order_data[Order_ID],order_data[[#This Row],[Order_ID]])</f>
        <v>1</v>
      </c>
      <c r="O1934">
        <f>order_data[[#This Row],[Order_Value]]-order_data[[#This Row],[Discount]]</f>
        <v>396</v>
      </c>
      <c r="P1934">
        <f>order_data[[#This Row],[Order_Value]]+order_data[[#This Row],[Delivery_Fee]]-order_data[[#This Row],[Discount]]</f>
        <v>436</v>
      </c>
      <c r="Q1934" t="str">
        <f>TEXT(order_data[[#This Row],[Order_Date]],"mmm")</f>
        <v>Jan</v>
      </c>
      <c r="R1934">
        <f>MONTH(order_data[[#This Row],[Order_Date]])</f>
        <v>1</v>
      </c>
    </row>
    <row r="1935" spans="1:18" x14ac:dyDescent="0.35">
      <c r="A1935" t="s">
        <v>2725</v>
      </c>
      <c r="B1935" t="s">
        <v>96</v>
      </c>
      <c r="C1935" t="s">
        <v>1702</v>
      </c>
      <c r="D1935" t="s">
        <v>53</v>
      </c>
      <c r="E1935" t="s">
        <v>84</v>
      </c>
      <c r="F1935" t="s">
        <v>85</v>
      </c>
      <c r="G1935" t="s">
        <v>176</v>
      </c>
      <c r="H1935">
        <v>598</v>
      </c>
      <c r="I1935">
        <v>30</v>
      </c>
      <c r="J1935">
        <v>20</v>
      </c>
      <c r="K1935" t="s">
        <v>20</v>
      </c>
      <c r="L1935">
        <v>58</v>
      </c>
      <c r="M1935" t="s">
        <v>21</v>
      </c>
      <c r="N1935">
        <f>COUNTIF(order_data[Order_ID],order_data[[#This Row],[Order_ID]])</f>
        <v>1</v>
      </c>
      <c r="O1935">
        <f>order_data[[#This Row],[Order_Value]]-order_data[[#This Row],[Discount]]</f>
        <v>578</v>
      </c>
      <c r="P1935">
        <f>order_data[[#This Row],[Order_Value]]+order_data[[#This Row],[Delivery_Fee]]-order_data[[#This Row],[Discount]]</f>
        <v>608</v>
      </c>
      <c r="Q1935" t="str">
        <f>TEXT(order_data[[#This Row],[Order_Date]],"mmm")</f>
        <v>Mar</v>
      </c>
      <c r="R1935">
        <f>MONTH(order_data[[#This Row],[Order_Date]])</f>
        <v>3</v>
      </c>
    </row>
    <row r="1936" spans="1:18" x14ac:dyDescent="0.35">
      <c r="A1936" t="s">
        <v>2726</v>
      </c>
      <c r="B1936" t="s">
        <v>454</v>
      </c>
      <c r="C1936" t="s">
        <v>708</v>
      </c>
      <c r="D1936" t="s">
        <v>25</v>
      </c>
      <c r="E1936" t="s">
        <v>34</v>
      </c>
      <c r="F1936" t="s">
        <v>27</v>
      </c>
      <c r="G1936" t="s">
        <v>19</v>
      </c>
      <c r="H1936">
        <v>212</v>
      </c>
      <c r="I1936">
        <v>40</v>
      </c>
      <c r="J1936">
        <v>0</v>
      </c>
      <c r="K1936" t="s">
        <v>36</v>
      </c>
      <c r="L1936">
        <v>30</v>
      </c>
      <c r="M1936" t="s">
        <v>30</v>
      </c>
      <c r="N1936">
        <f>COUNTIF(order_data[Order_ID],order_data[[#This Row],[Order_ID]])</f>
        <v>1</v>
      </c>
      <c r="O1936">
        <f>order_data[[#This Row],[Order_Value]]-order_data[[#This Row],[Discount]]</f>
        <v>212</v>
      </c>
      <c r="P1936">
        <f>order_data[[#This Row],[Order_Value]]+order_data[[#This Row],[Delivery_Fee]]-order_data[[#This Row],[Discount]]</f>
        <v>252</v>
      </c>
      <c r="Q1936" t="str">
        <f>TEXT(order_data[[#This Row],[Order_Date]],"mmm")</f>
        <v>Jan</v>
      </c>
      <c r="R1936">
        <f>MONTH(order_data[[#This Row],[Order_Date]])</f>
        <v>1</v>
      </c>
    </row>
    <row r="1937" spans="1:18" x14ac:dyDescent="0.35">
      <c r="A1937" t="s">
        <v>2727</v>
      </c>
      <c r="B1937" t="s">
        <v>526</v>
      </c>
      <c r="C1937" t="s">
        <v>233</v>
      </c>
      <c r="D1937" t="s">
        <v>46</v>
      </c>
      <c r="E1937" t="s">
        <v>148</v>
      </c>
      <c r="F1937" t="s">
        <v>27</v>
      </c>
      <c r="G1937" t="s">
        <v>74</v>
      </c>
      <c r="H1937">
        <v>165</v>
      </c>
      <c r="I1937">
        <v>40</v>
      </c>
      <c r="J1937">
        <v>20</v>
      </c>
      <c r="K1937" t="s">
        <v>36</v>
      </c>
      <c r="L1937">
        <v>39</v>
      </c>
      <c r="M1937" t="s">
        <v>21</v>
      </c>
      <c r="N1937">
        <f>COUNTIF(order_data[Order_ID],order_data[[#This Row],[Order_ID]])</f>
        <v>1</v>
      </c>
      <c r="O1937">
        <f>order_data[[#This Row],[Order_Value]]-order_data[[#This Row],[Discount]]</f>
        <v>145</v>
      </c>
      <c r="P1937">
        <f>order_data[[#This Row],[Order_Value]]+order_data[[#This Row],[Delivery_Fee]]-order_data[[#This Row],[Discount]]</f>
        <v>185</v>
      </c>
      <c r="Q1937" t="str">
        <f>TEXT(order_data[[#This Row],[Order_Date]],"mmm")</f>
        <v>Jan</v>
      </c>
      <c r="R1937">
        <f>MONTH(order_data[[#This Row],[Order_Date]])</f>
        <v>1</v>
      </c>
    </row>
    <row r="1938" spans="1:18" x14ac:dyDescent="0.35">
      <c r="A1938" t="s">
        <v>2728</v>
      </c>
      <c r="B1938" t="s">
        <v>297</v>
      </c>
      <c r="C1938" t="s">
        <v>1445</v>
      </c>
      <c r="D1938" t="s">
        <v>25</v>
      </c>
      <c r="E1938" t="s">
        <v>78</v>
      </c>
      <c r="F1938" t="s">
        <v>48</v>
      </c>
      <c r="G1938" t="s">
        <v>176</v>
      </c>
      <c r="H1938">
        <v>769</v>
      </c>
      <c r="I1938">
        <v>50</v>
      </c>
      <c r="J1938">
        <v>50</v>
      </c>
      <c r="K1938" t="s">
        <v>36</v>
      </c>
      <c r="L1938">
        <v>58</v>
      </c>
      <c r="M1938" t="s">
        <v>30</v>
      </c>
      <c r="N1938">
        <f>COUNTIF(order_data[Order_ID],order_data[[#This Row],[Order_ID]])</f>
        <v>1</v>
      </c>
      <c r="O1938">
        <f>order_data[[#This Row],[Order_Value]]-order_data[[#This Row],[Discount]]</f>
        <v>719</v>
      </c>
      <c r="P1938">
        <f>order_data[[#This Row],[Order_Value]]+order_data[[#This Row],[Delivery_Fee]]-order_data[[#This Row],[Discount]]</f>
        <v>769</v>
      </c>
      <c r="Q1938" t="str">
        <f>TEXT(order_data[[#This Row],[Order_Date]],"mmm")</f>
        <v>Feb</v>
      </c>
      <c r="R1938">
        <f>MONTH(order_data[[#This Row],[Order_Date]])</f>
        <v>2</v>
      </c>
    </row>
    <row r="1939" spans="1:18" x14ac:dyDescent="0.35">
      <c r="A1939" t="s">
        <v>2729</v>
      </c>
      <c r="B1939" t="s">
        <v>91</v>
      </c>
      <c r="C1939" t="s">
        <v>382</v>
      </c>
      <c r="D1939" t="s">
        <v>40</v>
      </c>
      <c r="E1939" t="s">
        <v>111</v>
      </c>
      <c r="F1939" t="s">
        <v>18</v>
      </c>
      <c r="G1939" t="s">
        <v>49</v>
      </c>
      <c r="H1939">
        <v>601</v>
      </c>
      <c r="I1939">
        <v>50</v>
      </c>
      <c r="J1939">
        <v>100</v>
      </c>
      <c r="K1939" t="s">
        <v>36</v>
      </c>
      <c r="L1939">
        <v>43</v>
      </c>
      <c r="M1939" t="s">
        <v>21</v>
      </c>
      <c r="N1939">
        <f>COUNTIF(order_data[Order_ID],order_data[[#This Row],[Order_ID]])</f>
        <v>1</v>
      </c>
      <c r="O1939">
        <f>order_data[[#This Row],[Order_Value]]-order_data[[#This Row],[Discount]]</f>
        <v>501</v>
      </c>
      <c r="P1939">
        <f>order_data[[#This Row],[Order_Value]]+order_data[[#This Row],[Delivery_Fee]]-order_data[[#This Row],[Discount]]</f>
        <v>551</v>
      </c>
      <c r="Q1939" t="str">
        <f>TEXT(order_data[[#This Row],[Order_Date]],"mmm")</f>
        <v>Mar</v>
      </c>
      <c r="R1939">
        <f>MONTH(order_data[[#This Row],[Order_Date]])</f>
        <v>3</v>
      </c>
    </row>
    <row r="1940" spans="1:18" x14ac:dyDescent="0.35">
      <c r="A1940" t="s">
        <v>2730</v>
      </c>
      <c r="B1940" t="s">
        <v>143</v>
      </c>
      <c r="C1940" t="s">
        <v>1573</v>
      </c>
      <c r="D1940" t="s">
        <v>40</v>
      </c>
      <c r="E1940" t="s">
        <v>111</v>
      </c>
      <c r="F1940" t="s">
        <v>18</v>
      </c>
      <c r="G1940" t="s">
        <v>28</v>
      </c>
      <c r="H1940">
        <v>651</v>
      </c>
      <c r="I1940">
        <v>30</v>
      </c>
      <c r="J1940">
        <v>100</v>
      </c>
      <c r="K1940" t="s">
        <v>29</v>
      </c>
      <c r="L1940">
        <v>21</v>
      </c>
      <c r="M1940" t="s">
        <v>21</v>
      </c>
      <c r="N1940">
        <f>COUNTIF(order_data[Order_ID],order_data[[#This Row],[Order_ID]])</f>
        <v>1</v>
      </c>
      <c r="O1940">
        <f>order_data[[#This Row],[Order_Value]]-order_data[[#This Row],[Discount]]</f>
        <v>551</v>
      </c>
      <c r="P1940">
        <f>order_data[[#This Row],[Order_Value]]+order_data[[#This Row],[Delivery_Fee]]-order_data[[#This Row],[Discount]]</f>
        <v>581</v>
      </c>
      <c r="Q1940" t="str">
        <f>TEXT(order_data[[#This Row],[Order_Date]],"mmm")</f>
        <v>Feb</v>
      </c>
      <c r="R1940">
        <f>MONTH(order_data[[#This Row],[Order_Date]])</f>
        <v>2</v>
      </c>
    </row>
    <row r="1941" spans="1:18" x14ac:dyDescent="0.35">
      <c r="A1941" t="s">
        <v>2731</v>
      </c>
      <c r="B1941" t="s">
        <v>368</v>
      </c>
      <c r="C1941" t="s">
        <v>385</v>
      </c>
      <c r="D1941" t="s">
        <v>16</v>
      </c>
      <c r="E1941" t="s">
        <v>131</v>
      </c>
      <c r="F1941" t="s">
        <v>55</v>
      </c>
      <c r="G1941" t="s">
        <v>74</v>
      </c>
      <c r="H1941">
        <v>329</v>
      </c>
      <c r="I1941">
        <v>20</v>
      </c>
      <c r="J1941">
        <v>50</v>
      </c>
      <c r="K1941" t="s">
        <v>36</v>
      </c>
      <c r="L1941">
        <v>50</v>
      </c>
      <c r="M1941" t="s">
        <v>21</v>
      </c>
      <c r="N1941">
        <f>COUNTIF(order_data[Order_ID],order_data[[#This Row],[Order_ID]])</f>
        <v>1</v>
      </c>
      <c r="O1941">
        <f>order_data[[#This Row],[Order_Value]]-order_data[[#This Row],[Discount]]</f>
        <v>279</v>
      </c>
      <c r="P1941">
        <f>order_data[[#This Row],[Order_Value]]+order_data[[#This Row],[Delivery_Fee]]-order_data[[#This Row],[Discount]]</f>
        <v>299</v>
      </c>
      <c r="Q1941" t="str">
        <f>TEXT(order_data[[#This Row],[Order_Date]],"mmm")</f>
        <v>Feb</v>
      </c>
      <c r="R1941">
        <f>MONTH(order_data[[#This Row],[Order_Date]])</f>
        <v>2</v>
      </c>
    </row>
    <row r="1942" spans="1:18" x14ac:dyDescent="0.35">
      <c r="A1942" t="s">
        <v>2732</v>
      </c>
      <c r="B1942" t="s">
        <v>295</v>
      </c>
      <c r="C1942" t="s">
        <v>1593</v>
      </c>
      <c r="D1942" t="s">
        <v>46</v>
      </c>
      <c r="E1942" t="s">
        <v>70</v>
      </c>
      <c r="F1942" t="s">
        <v>18</v>
      </c>
      <c r="G1942" t="s">
        <v>74</v>
      </c>
      <c r="H1942">
        <v>542</v>
      </c>
      <c r="I1942">
        <v>50</v>
      </c>
      <c r="J1942">
        <v>100</v>
      </c>
      <c r="K1942" t="s">
        <v>29</v>
      </c>
      <c r="L1942">
        <v>30</v>
      </c>
      <c r="M1942" t="s">
        <v>21</v>
      </c>
      <c r="N1942">
        <f>COUNTIF(order_data[Order_ID],order_data[[#This Row],[Order_ID]])</f>
        <v>1</v>
      </c>
      <c r="O1942">
        <f>order_data[[#This Row],[Order_Value]]-order_data[[#This Row],[Discount]]</f>
        <v>442</v>
      </c>
      <c r="P1942">
        <f>order_data[[#This Row],[Order_Value]]+order_data[[#This Row],[Delivery_Fee]]-order_data[[#This Row],[Discount]]</f>
        <v>492</v>
      </c>
      <c r="Q1942" t="str">
        <f>TEXT(order_data[[#This Row],[Order_Date]],"mmm")</f>
        <v>Jan</v>
      </c>
      <c r="R1942">
        <f>MONTH(order_data[[#This Row],[Order_Date]])</f>
        <v>1</v>
      </c>
    </row>
    <row r="1943" spans="1:18" x14ac:dyDescent="0.35">
      <c r="A1943" t="s">
        <v>2733</v>
      </c>
      <c r="B1943" t="s">
        <v>476</v>
      </c>
      <c r="C1943" t="s">
        <v>553</v>
      </c>
      <c r="D1943" t="s">
        <v>16</v>
      </c>
      <c r="E1943" t="s">
        <v>89</v>
      </c>
      <c r="F1943" t="s">
        <v>18</v>
      </c>
      <c r="G1943" t="s">
        <v>28</v>
      </c>
      <c r="H1943">
        <v>304</v>
      </c>
      <c r="I1943">
        <v>50</v>
      </c>
      <c r="J1943">
        <v>0</v>
      </c>
      <c r="K1943" t="s">
        <v>20</v>
      </c>
      <c r="L1943">
        <v>37</v>
      </c>
      <c r="M1943" t="s">
        <v>21</v>
      </c>
      <c r="N1943">
        <f>COUNTIF(order_data[Order_ID],order_data[[#This Row],[Order_ID]])</f>
        <v>1</v>
      </c>
      <c r="O1943">
        <f>order_data[[#This Row],[Order_Value]]-order_data[[#This Row],[Discount]]</f>
        <v>304</v>
      </c>
      <c r="P1943">
        <f>order_data[[#This Row],[Order_Value]]+order_data[[#This Row],[Delivery_Fee]]-order_data[[#This Row],[Discount]]</f>
        <v>354</v>
      </c>
      <c r="Q1943" t="str">
        <f>TEXT(order_data[[#This Row],[Order_Date]],"mmm")</f>
        <v>Jan</v>
      </c>
      <c r="R1943">
        <f>MONTH(order_data[[#This Row],[Order_Date]])</f>
        <v>1</v>
      </c>
    </row>
    <row r="1944" spans="1:18" x14ac:dyDescent="0.35">
      <c r="A1944" t="s">
        <v>2734</v>
      </c>
      <c r="B1944" t="s">
        <v>102</v>
      </c>
      <c r="C1944" t="s">
        <v>1322</v>
      </c>
      <c r="D1944" t="s">
        <v>16</v>
      </c>
      <c r="E1944" t="s">
        <v>131</v>
      </c>
      <c r="F1944" t="s">
        <v>55</v>
      </c>
      <c r="G1944" t="s">
        <v>19</v>
      </c>
      <c r="H1944">
        <v>780</v>
      </c>
      <c r="I1944">
        <v>20</v>
      </c>
      <c r="J1944">
        <v>30</v>
      </c>
      <c r="K1944" t="s">
        <v>29</v>
      </c>
      <c r="L1944">
        <v>57</v>
      </c>
      <c r="M1944" t="s">
        <v>21</v>
      </c>
      <c r="N1944">
        <f>COUNTIF(order_data[Order_ID],order_data[[#This Row],[Order_ID]])</f>
        <v>1</v>
      </c>
      <c r="O1944">
        <f>order_data[[#This Row],[Order_Value]]-order_data[[#This Row],[Discount]]</f>
        <v>750</v>
      </c>
      <c r="P1944">
        <f>order_data[[#This Row],[Order_Value]]+order_data[[#This Row],[Delivery_Fee]]-order_data[[#This Row],[Discount]]</f>
        <v>770</v>
      </c>
      <c r="Q1944" t="str">
        <f>TEXT(order_data[[#This Row],[Order_Date]],"mmm")</f>
        <v>Mar</v>
      </c>
      <c r="R1944">
        <f>MONTH(order_data[[#This Row],[Order_Date]])</f>
        <v>3</v>
      </c>
    </row>
    <row r="1945" spans="1:18" x14ac:dyDescent="0.35">
      <c r="A1945" t="s">
        <v>2735</v>
      </c>
      <c r="B1945" t="s">
        <v>102</v>
      </c>
      <c r="C1945" t="s">
        <v>2736</v>
      </c>
      <c r="D1945" t="s">
        <v>25</v>
      </c>
      <c r="E1945" t="s">
        <v>26</v>
      </c>
      <c r="F1945" t="s">
        <v>27</v>
      </c>
      <c r="G1945" t="s">
        <v>28</v>
      </c>
      <c r="H1945">
        <v>707</v>
      </c>
      <c r="I1945">
        <v>50</v>
      </c>
      <c r="J1945">
        <v>20</v>
      </c>
      <c r="K1945" t="s">
        <v>20</v>
      </c>
      <c r="L1945">
        <v>33</v>
      </c>
      <c r="M1945" t="s">
        <v>21</v>
      </c>
      <c r="N1945">
        <f>COUNTIF(order_data[Order_ID],order_data[[#This Row],[Order_ID]])</f>
        <v>1</v>
      </c>
      <c r="O1945">
        <f>order_data[[#This Row],[Order_Value]]-order_data[[#This Row],[Discount]]</f>
        <v>687</v>
      </c>
      <c r="P1945">
        <f>order_data[[#This Row],[Order_Value]]+order_data[[#This Row],[Delivery_Fee]]-order_data[[#This Row],[Discount]]</f>
        <v>737</v>
      </c>
      <c r="Q1945" t="str">
        <f>TEXT(order_data[[#This Row],[Order_Date]],"mmm")</f>
        <v>Mar</v>
      </c>
      <c r="R1945">
        <f>MONTH(order_data[[#This Row],[Order_Date]])</f>
        <v>3</v>
      </c>
    </row>
    <row r="1946" spans="1:18" x14ac:dyDescent="0.35">
      <c r="A1946" t="s">
        <v>2737</v>
      </c>
      <c r="B1946" t="s">
        <v>454</v>
      </c>
      <c r="C1946" t="s">
        <v>1061</v>
      </c>
      <c r="D1946" t="s">
        <v>25</v>
      </c>
      <c r="E1946" t="s">
        <v>78</v>
      </c>
      <c r="F1946" t="s">
        <v>48</v>
      </c>
      <c r="G1946" t="s">
        <v>28</v>
      </c>
      <c r="H1946">
        <v>483</v>
      </c>
      <c r="I1946">
        <v>40</v>
      </c>
      <c r="J1946">
        <v>0</v>
      </c>
      <c r="K1946" t="s">
        <v>29</v>
      </c>
      <c r="L1946">
        <v>58</v>
      </c>
      <c r="M1946" t="s">
        <v>21</v>
      </c>
      <c r="N1946">
        <f>COUNTIF(order_data[Order_ID],order_data[[#This Row],[Order_ID]])</f>
        <v>1</v>
      </c>
      <c r="O1946">
        <f>order_data[[#This Row],[Order_Value]]-order_data[[#This Row],[Discount]]</f>
        <v>483</v>
      </c>
      <c r="P1946">
        <f>order_data[[#This Row],[Order_Value]]+order_data[[#This Row],[Delivery_Fee]]-order_data[[#This Row],[Discount]]</f>
        <v>523</v>
      </c>
      <c r="Q1946" t="str">
        <f>TEXT(order_data[[#This Row],[Order_Date]],"mmm")</f>
        <v>Jan</v>
      </c>
      <c r="R1946">
        <f>MONTH(order_data[[#This Row],[Order_Date]])</f>
        <v>1</v>
      </c>
    </row>
    <row r="1947" spans="1:18" x14ac:dyDescent="0.35">
      <c r="A1947" t="s">
        <v>2738</v>
      </c>
      <c r="B1947" t="s">
        <v>136</v>
      </c>
      <c r="C1947" t="s">
        <v>385</v>
      </c>
      <c r="D1947" t="s">
        <v>46</v>
      </c>
      <c r="E1947" t="s">
        <v>47</v>
      </c>
      <c r="F1947" t="s">
        <v>48</v>
      </c>
      <c r="G1947" t="s">
        <v>63</v>
      </c>
      <c r="H1947">
        <v>774</v>
      </c>
      <c r="I1947">
        <v>30</v>
      </c>
      <c r="J1947">
        <v>20</v>
      </c>
      <c r="K1947" t="s">
        <v>36</v>
      </c>
      <c r="L1947">
        <v>26</v>
      </c>
      <c r="M1947" t="s">
        <v>21</v>
      </c>
      <c r="N1947">
        <f>COUNTIF(order_data[Order_ID],order_data[[#This Row],[Order_ID]])</f>
        <v>1</v>
      </c>
      <c r="O1947">
        <f>order_data[[#This Row],[Order_Value]]-order_data[[#This Row],[Discount]]</f>
        <v>754</v>
      </c>
      <c r="P1947">
        <f>order_data[[#This Row],[Order_Value]]+order_data[[#This Row],[Delivery_Fee]]-order_data[[#This Row],[Discount]]</f>
        <v>784</v>
      </c>
      <c r="Q1947" t="str">
        <f>TEXT(order_data[[#This Row],[Order_Date]],"mmm")</f>
        <v>Feb</v>
      </c>
      <c r="R1947">
        <f>MONTH(order_data[[#This Row],[Order_Date]])</f>
        <v>2</v>
      </c>
    </row>
    <row r="1948" spans="1:18" x14ac:dyDescent="0.35">
      <c r="A1948" t="s">
        <v>2739</v>
      </c>
      <c r="B1948" t="s">
        <v>580</v>
      </c>
      <c r="C1948" t="s">
        <v>614</v>
      </c>
      <c r="D1948" t="s">
        <v>40</v>
      </c>
      <c r="E1948" t="s">
        <v>41</v>
      </c>
      <c r="F1948" t="s">
        <v>27</v>
      </c>
      <c r="G1948" t="s">
        <v>63</v>
      </c>
      <c r="H1948">
        <v>688</v>
      </c>
      <c r="I1948">
        <v>20</v>
      </c>
      <c r="J1948">
        <v>0</v>
      </c>
      <c r="K1948" t="s">
        <v>20</v>
      </c>
      <c r="L1948">
        <v>47</v>
      </c>
      <c r="M1948" t="s">
        <v>21</v>
      </c>
      <c r="N1948">
        <f>COUNTIF(order_data[Order_ID],order_data[[#This Row],[Order_ID]])</f>
        <v>1</v>
      </c>
      <c r="O1948">
        <f>order_data[[#This Row],[Order_Value]]-order_data[[#This Row],[Discount]]</f>
        <v>688</v>
      </c>
      <c r="P1948">
        <f>order_data[[#This Row],[Order_Value]]+order_data[[#This Row],[Delivery_Fee]]-order_data[[#This Row],[Discount]]</f>
        <v>708</v>
      </c>
      <c r="Q1948" t="str">
        <f>TEXT(order_data[[#This Row],[Order_Date]],"mmm")</f>
        <v>Mar</v>
      </c>
      <c r="R1948">
        <f>MONTH(order_data[[#This Row],[Order_Date]])</f>
        <v>3</v>
      </c>
    </row>
    <row r="1949" spans="1:18" x14ac:dyDescent="0.35">
      <c r="A1949" t="s">
        <v>2740</v>
      </c>
      <c r="B1949" t="s">
        <v>91</v>
      </c>
      <c r="C1949" t="s">
        <v>659</v>
      </c>
      <c r="D1949" t="s">
        <v>40</v>
      </c>
      <c r="E1949" t="s">
        <v>67</v>
      </c>
      <c r="F1949" t="s">
        <v>48</v>
      </c>
      <c r="G1949" t="s">
        <v>28</v>
      </c>
      <c r="H1949">
        <v>282</v>
      </c>
      <c r="I1949">
        <v>50</v>
      </c>
      <c r="J1949">
        <v>50</v>
      </c>
      <c r="K1949" t="s">
        <v>36</v>
      </c>
      <c r="L1949">
        <v>58</v>
      </c>
      <c r="M1949" t="s">
        <v>21</v>
      </c>
      <c r="N1949">
        <f>COUNTIF(order_data[Order_ID],order_data[[#This Row],[Order_ID]])</f>
        <v>1</v>
      </c>
      <c r="O1949">
        <f>order_data[[#This Row],[Order_Value]]-order_data[[#This Row],[Discount]]</f>
        <v>232</v>
      </c>
      <c r="P1949">
        <f>order_data[[#This Row],[Order_Value]]+order_data[[#This Row],[Delivery_Fee]]-order_data[[#This Row],[Discount]]</f>
        <v>282</v>
      </c>
      <c r="Q1949" t="str">
        <f>TEXT(order_data[[#This Row],[Order_Date]],"mmm")</f>
        <v>Mar</v>
      </c>
      <c r="R1949">
        <f>MONTH(order_data[[#This Row],[Order_Date]])</f>
        <v>3</v>
      </c>
    </row>
    <row r="1950" spans="1:18" x14ac:dyDescent="0.35">
      <c r="A1950" t="s">
        <v>2741</v>
      </c>
      <c r="B1950" t="s">
        <v>23</v>
      </c>
      <c r="C1950" t="s">
        <v>818</v>
      </c>
      <c r="D1950" t="s">
        <v>25</v>
      </c>
      <c r="E1950" t="s">
        <v>78</v>
      </c>
      <c r="F1950" t="s">
        <v>48</v>
      </c>
      <c r="G1950" t="s">
        <v>63</v>
      </c>
      <c r="H1950">
        <v>649</v>
      </c>
      <c r="I1950">
        <v>50</v>
      </c>
      <c r="J1950">
        <v>30</v>
      </c>
      <c r="K1950" t="s">
        <v>29</v>
      </c>
      <c r="L1950">
        <v>51</v>
      </c>
      <c r="M1950" t="s">
        <v>21</v>
      </c>
      <c r="N1950">
        <f>COUNTIF(order_data[Order_ID],order_data[[#This Row],[Order_ID]])</f>
        <v>1</v>
      </c>
      <c r="O1950">
        <f>order_data[[#This Row],[Order_Value]]-order_data[[#This Row],[Discount]]</f>
        <v>619</v>
      </c>
      <c r="P1950">
        <f>order_data[[#This Row],[Order_Value]]+order_data[[#This Row],[Delivery_Fee]]-order_data[[#This Row],[Discount]]</f>
        <v>669</v>
      </c>
      <c r="Q1950" t="str">
        <f>TEXT(order_data[[#This Row],[Order_Date]],"mmm")</f>
        <v>Mar</v>
      </c>
      <c r="R1950">
        <f>MONTH(order_data[[#This Row],[Order_Date]])</f>
        <v>3</v>
      </c>
    </row>
    <row r="1951" spans="1:18" x14ac:dyDescent="0.35">
      <c r="A1951" t="s">
        <v>2742</v>
      </c>
      <c r="B1951" t="s">
        <v>513</v>
      </c>
      <c r="C1951" t="s">
        <v>1521</v>
      </c>
      <c r="D1951" t="s">
        <v>46</v>
      </c>
      <c r="E1951" t="s">
        <v>148</v>
      </c>
      <c r="F1951" t="s">
        <v>27</v>
      </c>
      <c r="G1951" t="s">
        <v>42</v>
      </c>
      <c r="H1951">
        <v>385</v>
      </c>
      <c r="I1951">
        <v>20</v>
      </c>
      <c r="J1951">
        <v>20</v>
      </c>
      <c r="K1951" t="s">
        <v>36</v>
      </c>
      <c r="L1951">
        <v>32</v>
      </c>
      <c r="M1951" t="s">
        <v>21</v>
      </c>
      <c r="N1951">
        <f>COUNTIF(order_data[Order_ID],order_data[[#This Row],[Order_ID]])</f>
        <v>1</v>
      </c>
      <c r="O1951">
        <f>order_data[[#This Row],[Order_Value]]-order_data[[#This Row],[Discount]]</f>
        <v>365</v>
      </c>
      <c r="P1951">
        <f>order_data[[#This Row],[Order_Value]]+order_data[[#This Row],[Delivery_Fee]]-order_data[[#This Row],[Discount]]</f>
        <v>385</v>
      </c>
      <c r="Q1951" t="str">
        <f>TEXT(order_data[[#This Row],[Order_Date]],"mmm")</f>
        <v>Feb</v>
      </c>
      <c r="R1951">
        <f>MONTH(order_data[[#This Row],[Order_Date]])</f>
        <v>2</v>
      </c>
    </row>
    <row r="1952" spans="1:18" x14ac:dyDescent="0.35">
      <c r="A1952" t="s">
        <v>2743</v>
      </c>
      <c r="B1952" t="s">
        <v>435</v>
      </c>
      <c r="C1952" t="s">
        <v>1720</v>
      </c>
      <c r="D1952" t="s">
        <v>25</v>
      </c>
      <c r="E1952" t="s">
        <v>78</v>
      </c>
      <c r="F1952" t="s">
        <v>48</v>
      </c>
      <c r="G1952" t="s">
        <v>59</v>
      </c>
      <c r="H1952">
        <v>696</v>
      </c>
      <c r="I1952">
        <v>20</v>
      </c>
      <c r="J1952">
        <v>100</v>
      </c>
      <c r="K1952" t="s">
        <v>20</v>
      </c>
      <c r="L1952">
        <v>47</v>
      </c>
      <c r="M1952" t="s">
        <v>21</v>
      </c>
      <c r="N1952">
        <f>COUNTIF(order_data[Order_ID],order_data[[#This Row],[Order_ID]])</f>
        <v>1</v>
      </c>
      <c r="O1952">
        <f>order_data[[#This Row],[Order_Value]]-order_data[[#This Row],[Discount]]</f>
        <v>596</v>
      </c>
      <c r="P1952">
        <f>order_data[[#This Row],[Order_Value]]+order_data[[#This Row],[Delivery_Fee]]-order_data[[#This Row],[Discount]]</f>
        <v>616</v>
      </c>
      <c r="Q1952" t="str">
        <f>TEXT(order_data[[#This Row],[Order_Date]],"mmm")</f>
        <v>Feb</v>
      </c>
      <c r="R1952">
        <f>MONTH(order_data[[#This Row],[Order_Date]])</f>
        <v>2</v>
      </c>
    </row>
    <row r="1953" spans="1:18" x14ac:dyDescent="0.35">
      <c r="A1953" t="s">
        <v>2744</v>
      </c>
      <c r="B1953" t="s">
        <v>247</v>
      </c>
      <c r="C1953" t="s">
        <v>2705</v>
      </c>
      <c r="D1953" t="s">
        <v>40</v>
      </c>
      <c r="E1953" t="s">
        <v>67</v>
      </c>
      <c r="F1953" t="s">
        <v>48</v>
      </c>
      <c r="G1953" t="s">
        <v>42</v>
      </c>
      <c r="H1953">
        <v>452</v>
      </c>
      <c r="I1953">
        <v>20</v>
      </c>
      <c r="J1953">
        <v>30</v>
      </c>
      <c r="K1953" t="s">
        <v>20</v>
      </c>
      <c r="L1953">
        <v>33</v>
      </c>
      <c r="M1953" t="s">
        <v>21</v>
      </c>
      <c r="N1953">
        <f>COUNTIF(order_data[Order_ID],order_data[[#This Row],[Order_ID]])</f>
        <v>1</v>
      </c>
      <c r="O1953">
        <f>order_data[[#This Row],[Order_Value]]-order_data[[#This Row],[Discount]]</f>
        <v>422</v>
      </c>
      <c r="P1953">
        <f>order_data[[#This Row],[Order_Value]]+order_data[[#This Row],[Delivery_Fee]]-order_data[[#This Row],[Discount]]</f>
        <v>442</v>
      </c>
      <c r="Q1953" t="str">
        <f>TEXT(order_data[[#This Row],[Order_Date]],"mmm")</f>
        <v>Mar</v>
      </c>
      <c r="R1953">
        <f>MONTH(order_data[[#This Row],[Order_Date]])</f>
        <v>3</v>
      </c>
    </row>
    <row r="1954" spans="1:18" x14ac:dyDescent="0.35">
      <c r="A1954" t="s">
        <v>2745</v>
      </c>
      <c r="B1954" t="s">
        <v>398</v>
      </c>
      <c r="C1954" t="s">
        <v>1677</v>
      </c>
      <c r="D1954" t="s">
        <v>46</v>
      </c>
      <c r="E1954" t="s">
        <v>148</v>
      </c>
      <c r="F1954" t="s">
        <v>27</v>
      </c>
      <c r="G1954" t="s">
        <v>176</v>
      </c>
      <c r="H1954">
        <v>729</v>
      </c>
      <c r="I1954">
        <v>50</v>
      </c>
      <c r="J1954">
        <v>0</v>
      </c>
      <c r="K1954" t="s">
        <v>36</v>
      </c>
      <c r="L1954">
        <v>23</v>
      </c>
      <c r="M1954" t="s">
        <v>21</v>
      </c>
      <c r="N1954">
        <f>COUNTIF(order_data[Order_ID],order_data[[#This Row],[Order_ID]])</f>
        <v>1</v>
      </c>
      <c r="O1954">
        <f>order_data[[#This Row],[Order_Value]]-order_data[[#This Row],[Discount]]</f>
        <v>729</v>
      </c>
      <c r="P1954">
        <f>order_data[[#This Row],[Order_Value]]+order_data[[#This Row],[Delivery_Fee]]-order_data[[#This Row],[Discount]]</f>
        <v>779</v>
      </c>
      <c r="Q1954" t="str">
        <f>TEXT(order_data[[#This Row],[Order_Date]],"mmm")</f>
        <v>Feb</v>
      </c>
      <c r="R1954">
        <f>MONTH(order_data[[#This Row],[Order_Date]])</f>
        <v>2</v>
      </c>
    </row>
    <row r="1955" spans="1:18" x14ac:dyDescent="0.35">
      <c r="A1955" t="s">
        <v>2746</v>
      </c>
      <c r="B1955" t="s">
        <v>291</v>
      </c>
      <c r="C1955" t="s">
        <v>942</v>
      </c>
      <c r="D1955" t="s">
        <v>16</v>
      </c>
      <c r="E1955" t="s">
        <v>131</v>
      </c>
      <c r="F1955" t="s">
        <v>55</v>
      </c>
      <c r="G1955" t="s">
        <v>19</v>
      </c>
      <c r="H1955">
        <v>220</v>
      </c>
      <c r="I1955">
        <v>40</v>
      </c>
      <c r="J1955">
        <v>0</v>
      </c>
      <c r="K1955" t="s">
        <v>36</v>
      </c>
      <c r="L1955">
        <v>24</v>
      </c>
      <c r="M1955" t="s">
        <v>21</v>
      </c>
      <c r="N1955">
        <f>COUNTIF(order_data[Order_ID],order_data[[#This Row],[Order_ID]])</f>
        <v>1</v>
      </c>
      <c r="O1955">
        <f>order_data[[#This Row],[Order_Value]]-order_data[[#This Row],[Discount]]</f>
        <v>220</v>
      </c>
      <c r="P1955">
        <f>order_data[[#This Row],[Order_Value]]+order_data[[#This Row],[Delivery_Fee]]-order_data[[#This Row],[Discount]]</f>
        <v>260</v>
      </c>
      <c r="Q1955" t="str">
        <f>TEXT(order_data[[#This Row],[Order_Date]],"mmm")</f>
        <v>Feb</v>
      </c>
      <c r="R1955">
        <f>MONTH(order_data[[#This Row],[Order_Date]])</f>
        <v>2</v>
      </c>
    </row>
    <row r="1956" spans="1:18" x14ac:dyDescent="0.35">
      <c r="A1956" t="s">
        <v>2747</v>
      </c>
      <c r="B1956" t="s">
        <v>72</v>
      </c>
      <c r="C1956" t="s">
        <v>2527</v>
      </c>
      <c r="D1956" t="s">
        <v>46</v>
      </c>
      <c r="E1956" t="s">
        <v>47</v>
      </c>
      <c r="F1956" t="s">
        <v>48</v>
      </c>
      <c r="G1956" t="s">
        <v>59</v>
      </c>
      <c r="H1956">
        <v>790</v>
      </c>
      <c r="I1956">
        <v>30</v>
      </c>
      <c r="J1956">
        <v>20</v>
      </c>
      <c r="K1956" t="s">
        <v>20</v>
      </c>
      <c r="L1956">
        <v>30</v>
      </c>
      <c r="M1956" t="s">
        <v>21</v>
      </c>
      <c r="N1956">
        <f>COUNTIF(order_data[Order_ID],order_data[[#This Row],[Order_ID]])</f>
        <v>1</v>
      </c>
      <c r="O1956">
        <f>order_data[[#This Row],[Order_Value]]-order_data[[#This Row],[Discount]]</f>
        <v>770</v>
      </c>
      <c r="P1956">
        <f>order_data[[#This Row],[Order_Value]]+order_data[[#This Row],[Delivery_Fee]]-order_data[[#This Row],[Discount]]</f>
        <v>800</v>
      </c>
      <c r="Q1956" t="str">
        <f>TEXT(order_data[[#This Row],[Order_Date]],"mmm")</f>
        <v>Jan</v>
      </c>
      <c r="R1956">
        <f>MONTH(order_data[[#This Row],[Order_Date]])</f>
        <v>1</v>
      </c>
    </row>
    <row r="1957" spans="1:18" x14ac:dyDescent="0.35">
      <c r="A1957" t="s">
        <v>2748</v>
      </c>
      <c r="B1957" t="s">
        <v>449</v>
      </c>
      <c r="C1957" t="s">
        <v>147</v>
      </c>
      <c r="D1957" t="s">
        <v>46</v>
      </c>
      <c r="E1957" t="s">
        <v>70</v>
      </c>
      <c r="F1957" t="s">
        <v>18</v>
      </c>
      <c r="G1957" t="s">
        <v>35</v>
      </c>
      <c r="H1957">
        <v>666</v>
      </c>
      <c r="I1957">
        <v>40</v>
      </c>
      <c r="J1957">
        <v>20</v>
      </c>
      <c r="K1957" t="s">
        <v>20</v>
      </c>
      <c r="L1957">
        <v>54</v>
      </c>
      <c r="M1957" t="s">
        <v>21</v>
      </c>
      <c r="N1957">
        <f>COUNTIF(order_data[Order_ID],order_data[[#This Row],[Order_ID]])</f>
        <v>1</v>
      </c>
      <c r="O1957">
        <f>order_data[[#This Row],[Order_Value]]-order_data[[#This Row],[Discount]]</f>
        <v>646</v>
      </c>
      <c r="P1957">
        <f>order_data[[#This Row],[Order_Value]]+order_data[[#This Row],[Delivery_Fee]]-order_data[[#This Row],[Discount]]</f>
        <v>686</v>
      </c>
      <c r="Q1957" t="str">
        <f>TEXT(order_data[[#This Row],[Order_Date]],"mmm")</f>
        <v>Mar</v>
      </c>
      <c r="R1957">
        <f>MONTH(order_data[[#This Row],[Order_Date]])</f>
        <v>3</v>
      </c>
    </row>
    <row r="1958" spans="1:18" x14ac:dyDescent="0.35">
      <c r="A1958" t="s">
        <v>2749</v>
      </c>
      <c r="B1958" t="s">
        <v>541</v>
      </c>
      <c r="C1958" t="s">
        <v>942</v>
      </c>
      <c r="D1958" t="s">
        <v>46</v>
      </c>
      <c r="E1958" t="s">
        <v>148</v>
      </c>
      <c r="F1958" t="s">
        <v>27</v>
      </c>
      <c r="G1958" t="s">
        <v>74</v>
      </c>
      <c r="H1958">
        <v>782</v>
      </c>
      <c r="I1958">
        <v>30</v>
      </c>
      <c r="J1958">
        <v>50</v>
      </c>
      <c r="K1958" t="s">
        <v>36</v>
      </c>
      <c r="L1958">
        <v>59</v>
      </c>
      <c r="M1958" t="s">
        <v>30</v>
      </c>
      <c r="N1958">
        <f>COUNTIF(order_data[Order_ID],order_data[[#This Row],[Order_ID]])</f>
        <v>1</v>
      </c>
      <c r="O1958">
        <f>order_data[[#This Row],[Order_Value]]-order_data[[#This Row],[Discount]]</f>
        <v>732</v>
      </c>
      <c r="P1958">
        <f>order_data[[#This Row],[Order_Value]]+order_data[[#This Row],[Delivery_Fee]]-order_data[[#This Row],[Discount]]</f>
        <v>762</v>
      </c>
      <c r="Q1958" t="str">
        <f>TEXT(order_data[[#This Row],[Order_Date]],"mmm")</f>
        <v>Jan</v>
      </c>
      <c r="R1958">
        <f>MONTH(order_data[[#This Row],[Order_Date]])</f>
        <v>1</v>
      </c>
    </row>
    <row r="1959" spans="1:18" x14ac:dyDescent="0.35">
      <c r="A1959" t="s">
        <v>2750</v>
      </c>
      <c r="B1959" t="s">
        <v>388</v>
      </c>
      <c r="C1959" t="s">
        <v>289</v>
      </c>
      <c r="D1959" t="s">
        <v>25</v>
      </c>
      <c r="E1959" t="s">
        <v>78</v>
      </c>
      <c r="F1959" t="s">
        <v>48</v>
      </c>
      <c r="G1959" t="s">
        <v>49</v>
      </c>
      <c r="H1959">
        <v>440</v>
      </c>
      <c r="I1959">
        <v>40</v>
      </c>
      <c r="J1959">
        <v>50</v>
      </c>
      <c r="K1959" t="s">
        <v>36</v>
      </c>
      <c r="L1959">
        <v>40</v>
      </c>
      <c r="M1959" t="s">
        <v>21</v>
      </c>
      <c r="N1959">
        <f>COUNTIF(order_data[Order_ID],order_data[[#This Row],[Order_ID]])</f>
        <v>1</v>
      </c>
      <c r="O1959">
        <f>order_data[[#This Row],[Order_Value]]-order_data[[#This Row],[Discount]]</f>
        <v>390</v>
      </c>
      <c r="P1959">
        <f>order_data[[#This Row],[Order_Value]]+order_data[[#This Row],[Delivery_Fee]]-order_data[[#This Row],[Discount]]</f>
        <v>430</v>
      </c>
      <c r="Q1959" t="str">
        <f>TEXT(order_data[[#This Row],[Order_Date]],"mmm")</f>
        <v>Mar</v>
      </c>
      <c r="R1959">
        <f>MONTH(order_data[[#This Row],[Order_Date]])</f>
        <v>3</v>
      </c>
    </row>
    <row r="1960" spans="1:18" x14ac:dyDescent="0.35">
      <c r="A1960" t="s">
        <v>2751</v>
      </c>
      <c r="B1960" t="s">
        <v>113</v>
      </c>
      <c r="C1960" t="s">
        <v>1024</v>
      </c>
      <c r="D1960" t="s">
        <v>40</v>
      </c>
      <c r="E1960" t="s">
        <v>41</v>
      </c>
      <c r="F1960" t="s">
        <v>27</v>
      </c>
      <c r="G1960" t="s">
        <v>176</v>
      </c>
      <c r="H1960">
        <v>722</v>
      </c>
      <c r="I1960">
        <v>50</v>
      </c>
      <c r="J1960">
        <v>30</v>
      </c>
      <c r="K1960" t="s">
        <v>36</v>
      </c>
      <c r="L1960">
        <v>26</v>
      </c>
      <c r="M1960" t="s">
        <v>21</v>
      </c>
      <c r="N1960">
        <f>COUNTIF(order_data[Order_ID],order_data[[#This Row],[Order_ID]])</f>
        <v>1</v>
      </c>
      <c r="O1960">
        <f>order_data[[#This Row],[Order_Value]]-order_data[[#This Row],[Discount]]</f>
        <v>692</v>
      </c>
      <c r="P1960">
        <f>order_data[[#This Row],[Order_Value]]+order_data[[#This Row],[Delivery_Fee]]-order_data[[#This Row],[Discount]]</f>
        <v>742</v>
      </c>
      <c r="Q1960" t="str">
        <f>TEXT(order_data[[#This Row],[Order_Date]],"mmm")</f>
        <v>Mar</v>
      </c>
      <c r="R1960">
        <f>MONTH(order_data[[#This Row],[Order_Date]])</f>
        <v>3</v>
      </c>
    </row>
    <row r="1961" spans="1:18" x14ac:dyDescent="0.35">
      <c r="A1961" t="s">
        <v>2752</v>
      </c>
      <c r="B1961" t="s">
        <v>252</v>
      </c>
      <c r="C1961" t="s">
        <v>2062</v>
      </c>
      <c r="D1961" t="s">
        <v>25</v>
      </c>
      <c r="E1961" t="s">
        <v>34</v>
      </c>
      <c r="F1961" t="s">
        <v>27</v>
      </c>
      <c r="G1961" t="s">
        <v>74</v>
      </c>
      <c r="H1961">
        <v>584</v>
      </c>
      <c r="I1961">
        <v>40</v>
      </c>
      <c r="J1961">
        <v>30</v>
      </c>
      <c r="K1961" t="s">
        <v>20</v>
      </c>
      <c r="L1961">
        <v>23</v>
      </c>
      <c r="M1961" t="s">
        <v>21</v>
      </c>
      <c r="N1961">
        <f>COUNTIF(order_data[Order_ID],order_data[[#This Row],[Order_ID]])</f>
        <v>1</v>
      </c>
      <c r="O1961">
        <f>order_data[[#This Row],[Order_Value]]-order_data[[#This Row],[Discount]]</f>
        <v>554</v>
      </c>
      <c r="P1961">
        <f>order_data[[#This Row],[Order_Value]]+order_data[[#This Row],[Delivery_Fee]]-order_data[[#This Row],[Discount]]</f>
        <v>594</v>
      </c>
      <c r="Q1961" t="str">
        <f>TEXT(order_data[[#This Row],[Order_Date]],"mmm")</f>
        <v>Jan</v>
      </c>
      <c r="R1961">
        <f>MONTH(order_data[[#This Row],[Order_Date]])</f>
        <v>1</v>
      </c>
    </row>
    <row r="1962" spans="1:18" x14ac:dyDescent="0.35">
      <c r="A1962" t="s">
        <v>2753</v>
      </c>
      <c r="B1962" t="s">
        <v>129</v>
      </c>
      <c r="C1962" t="s">
        <v>1675</v>
      </c>
      <c r="D1962" t="s">
        <v>53</v>
      </c>
      <c r="E1962" t="s">
        <v>84</v>
      </c>
      <c r="F1962" t="s">
        <v>85</v>
      </c>
      <c r="G1962" t="s">
        <v>74</v>
      </c>
      <c r="H1962">
        <v>442</v>
      </c>
      <c r="I1962">
        <v>40</v>
      </c>
      <c r="J1962">
        <v>100</v>
      </c>
      <c r="K1962" t="s">
        <v>20</v>
      </c>
      <c r="L1962">
        <v>38</v>
      </c>
      <c r="M1962" t="s">
        <v>21</v>
      </c>
      <c r="N1962">
        <f>COUNTIF(order_data[Order_ID],order_data[[#This Row],[Order_ID]])</f>
        <v>1</v>
      </c>
      <c r="O1962">
        <f>order_data[[#This Row],[Order_Value]]-order_data[[#This Row],[Discount]]</f>
        <v>342</v>
      </c>
      <c r="P1962">
        <f>order_data[[#This Row],[Order_Value]]+order_data[[#This Row],[Delivery_Fee]]-order_data[[#This Row],[Discount]]</f>
        <v>382</v>
      </c>
      <c r="Q1962" t="str">
        <f>TEXT(order_data[[#This Row],[Order_Date]],"mmm")</f>
        <v>Feb</v>
      </c>
      <c r="R1962">
        <f>MONTH(order_data[[#This Row],[Order_Date]])</f>
        <v>2</v>
      </c>
    </row>
    <row r="1963" spans="1:18" x14ac:dyDescent="0.35">
      <c r="A1963" t="s">
        <v>2754</v>
      </c>
      <c r="B1963" t="s">
        <v>44</v>
      </c>
      <c r="C1963" t="s">
        <v>944</v>
      </c>
      <c r="D1963" t="s">
        <v>53</v>
      </c>
      <c r="E1963" t="s">
        <v>152</v>
      </c>
      <c r="F1963" t="s">
        <v>18</v>
      </c>
      <c r="G1963" t="s">
        <v>176</v>
      </c>
      <c r="H1963">
        <v>201</v>
      </c>
      <c r="I1963">
        <v>30</v>
      </c>
      <c r="J1963">
        <v>30</v>
      </c>
      <c r="K1963" t="s">
        <v>36</v>
      </c>
      <c r="L1963">
        <v>49</v>
      </c>
      <c r="M1963" t="s">
        <v>21</v>
      </c>
      <c r="N1963">
        <f>COUNTIF(order_data[Order_ID],order_data[[#This Row],[Order_ID]])</f>
        <v>1</v>
      </c>
      <c r="O1963">
        <f>order_data[[#This Row],[Order_Value]]-order_data[[#This Row],[Discount]]</f>
        <v>171</v>
      </c>
      <c r="P1963">
        <f>order_data[[#This Row],[Order_Value]]+order_data[[#This Row],[Delivery_Fee]]-order_data[[#This Row],[Discount]]</f>
        <v>201</v>
      </c>
      <c r="Q1963" t="str">
        <f>TEXT(order_data[[#This Row],[Order_Date]],"mmm")</f>
        <v>Jan</v>
      </c>
      <c r="R1963">
        <f>MONTH(order_data[[#This Row],[Order_Date]])</f>
        <v>1</v>
      </c>
    </row>
    <row r="1964" spans="1:18" x14ac:dyDescent="0.35">
      <c r="A1964" t="s">
        <v>2755</v>
      </c>
      <c r="B1964" t="s">
        <v>80</v>
      </c>
      <c r="C1964" t="s">
        <v>1434</v>
      </c>
      <c r="D1964" t="s">
        <v>46</v>
      </c>
      <c r="E1964" t="s">
        <v>47</v>
      </c>
      <c r="F1964" t="s">
        <v>48</v>
      </c>
      <c r="G1964" t="s">
        <v>49</v>
      </c>
      <c r="H1964">
        <v>699</v>
      </c>
      <c r="I1964">
        <v>30</v>
      </c>
      <c r="J1964">
        <v>100</v>
      </c>
      <c r="K1964" t="s">
        <v>20</v>
      </c>
      <c r="L1964">
        <v>37</v>
      </c>
      <c r="M1964" t="s">
        <v>21</v>
      </c>
      <c r="N1964">
        <f>COUNTIF(order_data[Order_ID],order_data[[#This Row],[Order_ID]])</f>
        <v>1</v>
      </c>
      <c r="O1964">
        <f>order_data[[#This Row],[Order_Value]]-order_data[[#This Row],[Discount]]</f>
        <v>599</v>
      </c>
      <c r="P1964">
        <f>order_data[[#This Row],[Order_Value]]+order_data[[#This Row],[Delivery_Fee]]-order_data[[#This Row],[Discount]]</f>
        <v>629</v>
      </c>
      <c r="Q1964" t="str">
        <f>TEXT(order_data[[#This Row],[Order_Date]],"mmm")</f>
        <v>Feb</v>
      </c>
      <c r="R1964">
        <f>MONTH(order_data[[#This Row],[Order_Date]])</f>
        <v>2</v>
      </c>
    </row>
    <row r="1965" spans="1:18" x14ac:dyDescent="0.35">
      <c r="A1965" t="s">
        <v>2756</v>
      </c>
      <c r="B1965" t="s">
        <v>126</v>
      </c>
      <c r="C1965" t="s">
        <v>514</v>
      </c>
      <c r="D1965" t="s">
        <v>16</v>
      </c>
      <c r="E1965" t="s">
        <v>89</v>
      </c>
      <c r="F1965" t="s">
        <v>18</v>
      </c>
      <c r="G1965" t="s">
        <v>63</v>
      </c>
      <c r="H1965">
        <v>540</v>
      </c>
      <c r="I1965">
        <v>20</v>
      </c>
      <c r="J1965">
        <v>20</v>
      </c>
      <c r="K1965" t="s">
        <v>29</v>
      </c>
      <c r="L1965">
        <v>20</v>
      </c>
      <c r="M1965" t="s">
        <v>21</v>
      </c>
      <c r="N1965">
        <f>COUNTIF(order_data[Order_ID],order_data[[#This Row],[Order_ID]])</f>
        <v>1</v>
      </c>
      <c r="O1965">
        <f>order_data[[#This Row],[Order_Value]]-order_data[[#This Row],[Discount]]</f>
        <v>520</v>
      </c>
      <c r="P1965">
        <f>order_data[[#This Row],[Order_Value]]+order_data[[#This Row],[Delivery_Fee]]-order_data[[#This Row],[Discount]]</f>
        <v>540</v>
      </c>
      <c r="Q1965" t="str">
        <f>TEXT(order_data[[#This Row],[Order_Date]],"mmm")</f>
        <v>Mar</v>
      </c>
      <c r="R1965">
        <f>MONTH(order_data[[#This Row],[Order_Date]])</f>
        <v>3</v>
      </c>
    </row>
    <row r="1966" spans="1:18" x14ac:dyDescent="0.35">
      <c r="A1966" t="s">
        <v>2757</v>
      </c>
      <c r="B1966" t="s">
        <v>657</v>
      </c>
      <c r="C1966" t="s">
        <v>66</v>
      </c>
      <c r="D1966" t="s">
        <v>53</v>
      </c>
      <c r="E1966" t="s">
        <v>152</v>
      </c>
      <c r="F1966" t="s">
        <v>18</v>
      </c>
      <c r="G1966" t="s">
        <v>63</v>
      </c>
      <c r="H1966">
        <v>433</v>
      </c>
      <c r="I1966">
        <v>50</v>
      </c>
      <c r="J1966">
        <v>20</v>
      </c>
      <c r="K1966" t="s">
        <v>29</v>
      </c>
      <c r="L1966">
        <v>30</v>
      </c>
      <c r="M1966" t="s">
        <v>21</v>
      </c>
      <c r="N1966">
        <f>COUNTIF(order_data[Order_ID],order_data[[#This Row],[Order_ID]])</f>
        <v>1</v>
      </c>
      <c r="O1966">
        <f>order_data[[#This Row],[Order_Value]]-order_data[[#This Row],[Discount]]</f>
        <v>413</v>
      </c>
      <c r="P1966">
        <f>order_data[[#This Row],[Order_Value]]+order_data[[#This Row],[Delivery_Fee]]-order_data[[#This Row],[Discount]]</f>
        <v>463</v>
      </c>
      <c r="Q1966" t="str">
        <f>TEXT(order_data[[#This Row],[Order_Date]],"mmm")</f>
        <v>Jan</v>
      </c>
      <c r="R1966">
        <f>MONTH(order_data[[#This Row],[Order_Date]])</f>
        <v>1</v>
      </c>
    </row>
    <row r="1967" spans="1:18" x14ac:dyDescent="0.35">
      <c r="A1967" t="s">
        <v>2758</v>
      </c>
      <c r="B1967" t="s">
        <v>541</v>
      </c>
      <c r="C1967" t="s">
        <v>2759</v>
      </c>
      <c r="D1967" t="s">
        <v>16</v>
      </c>
      <c r="E1967" t="s">
        <v>131</v>
      </c>
      <c r="F1967" t="s">
        <v>55</v>
      </c>
      <c r="G1967" t="s">
        <v>28</v>
      </c>
      <c r="H1967">
        <v>779</v>
      </c>
      <c r="I1967">
        <v>40</v>
      </c>
      <c r="J1967">
        <v>30</v>
      </c>
      <c r="K1967" t="s">
        <v>29</v>
      </c>
      <c r="L1967">
        <v>32</v>
      </c>
      <c r="M1967" t="s">
        <v>21</v>
      </c>
      <c r="N1967">
        <f>COUNTIF(order_data[Order_ID],order_data[[#This Row],[Order_ID]])</f>
        <v>1</v>
      </c>
      <c r="O1967">
        <f>order_data[[#This Row],[Order_Value]]-order_data[[#This Row],[Discount]]</f>
        <v>749</v>
      </c>
      <c r="P1967">
        <f>order_data[[#This Row],[Order_Value]]+order_data[[#This Row],[Delivery_Fee]]-order_data[[#This Row],[Discount]]</f>
        <v>789</v>
      </c>
      <c r="Q1967" t="str">
        <f>TEXT(order_data[[#This Row],[Order_Date]],"mmm")</f>
        <v>Jan</v>
      </c>
      <c r="R1967">
        <f>MONTH(order_data[[#This Row],[Order_Date]])</f>
        <v>1</v>
      </c>
    </row>
    <row r="1968" spans="1:18" x14ac:dyDescent="0.35">
      <c r="A1968" t="s">
        <v>2760</v>
      </c>
      <c r="B1968" t="s">
        <v>432</v>
      </c>
      <c r="C1968" t="s">
        <v>1194</v>
      </c>
      <c r="D1968" t="s">
        <v>16</v>
      </c>
      <c r="E1968" t="s">
        <v>89</v>
      </c>
      <c r="F1968" t="s">
        <v>18</v>
      </c>
      <c r="G1968" t="s">
        <v>42</v>
      </c>
      <c r="H1968">
        <v>455</v>
      </c>
      <c r="I1968">
        <v>50</v>
      </c>
      <c r="J1968">
        <v>20</v>
      </c>
      <c r="K1968" t="s">
        <v>20</v>
      </c>
      <c r="L1968">
        <v>43</v>
      </c>
      <c r="M1968" t="s">
        <v>21</v>
      </c>
      <c r="N1968">
        <f>COUNTIF(order_data[Order_ID],order_data[[#This Row],[Order_ID]])</f>
        <v>1</v>
      </c>
      <c r="O1968">
        <f>order_data[[#This Row],[Order_Value]]-order_data[[#This Row],[Discount]]</f>
        <v>435</v>
      </c>
      <c r="P1968">
        <f>order_data[[#This Row],[Order_Value]]+order_data[[#This Row],[Delivery_Fee]]-order_data[[#This Row],[Discount]]</f>
        <v>485</v>
      </c>
      <c r="Q1968" t="str">
        <f>TEXT(order_data[[#This Row],[Order_Date]],"mmm")</f>
        <v>Feb</v>
      </c>
      <c r="R1968">
        <f>MONTH(order_data[[#This Row],[Order_Date]])</f>
        <v>2</v>
      </c>
    </row>
    <row r="1969" spans="1:18" x14ac:dyDescent="0.35">
      <c r="A1969" t="s">
        <v>2761</v>
      </c>
      <c r="B1969" t="s">
        <v>65</v>
      </c>
      <c r="C1969" t="s">
        <v>1280</v>
      </c>
      <c r="D1969" t="s">
        <v>25</v>
      </c>
      <c r="E1969" t="s">
        <v>26</v>
      </c>
      <c r="F1969" t="s">
        <v>27</v>
      </c>
      <c r="G1969" t="s">
        <v>49</v>
      </c>
      <c r="H1969">
        <v>664</v>
      </c>
      <c r="I1969">
        <v>40</v>
      </c>
      <c r="J1969">
        <v>30</v>
      </c>
      <c r="K1969" t="s">
        <v>36</v>
      </c>
      <c r="L1969">
        <v>46</v>
      </c>
      <c r="M1969" t="s">
        <v>21</v>
      </c>
      <c r="N1969">
        <f>COUNTIF(order_data[Order_ID],order_data[[#This Row],[Order_ID]])</f>
        <v>1</v>
      </c>
      <c r="O1969">
        <f>order_data[[#This Row],[Order_Value]]-order_data[[#This Row],[Discount]]</f>
        <v>634</v>
      </c>
      <c r="P1969">
        <f>order_data[[#This Row],[Order_Value]]+order_data[[#This Row],[Delivery_Fee]]-order_data[[#This Row],[Discount]]</f>
        <v>674</v>
      </c>
      <c r="Q1969" t="str">
        <f>TEXT(order_data[[#This Row],[Order_Date]],"mmm")</f>
        <v>Mar</v>
      </c>
      <c r="R1969">
        <f>MONTH(order_data[[#This Row],[Order_Date]])</f>
        <v>3</v>
      </c>
    </row>
    <row r="1970" spans="1:18" x14ac:dyDescent="0.35">
      <c r="A1970" t="s">
        <v>2762</v>
      </c>
      <c r="B1970" t="s">
        <v>113</v>
      </c>
      <c r="C1970" t="s">
        <v>94</v>
      </c>
      <c r="D1970" t="s">
        <v>40</v>
      </c>
      <c r="E1970" t="s">
        <v>67</v>
      </c>
      <c r="F1970" t="s">
        <v>48</v>
      </c>
      <c r="G1970" t="s">
        <v>74</v>
      </c>
      <c r="H1970">
        <v>512</v>
      </c>
      <c r="I1970">
        <v>50</v>
      </c>
      <c r="J1970">
        <v>50</v>
      </c>
      <c r="K1970" t="s">
        <v>29</v>
      </c>
      <c r="L1970">
        <v>34</v>
      </c>
      <c r="M1970" t="s">
        <v>21</v>
      </c>
      <c r="N1970">
        <f>COUNTIF(order_data[Order_ID],order_data[[#This Row],[Order_ID]])</f>
        <v>1</v>
      </c>
      <c r="O1970">
        <f>order_data[[#This Row],[Order_Value]]-order_data[[#This Row],[Discount]]</f>
        <v>462</v>
      </c>
      <c r="P1970">
        <f>order_data[[#This Row],[Order_Value]]+order_data[[#This Row],[Delivery_Fee]]-order_data[[#This Row],[Discount]]</f>
        <v>512</v>
      </c>
      <c r="Q1970" t="str">
        <f>TEXT(order_data[[#This Row],[Order_Date]],"mmm")</f>
        <v>Mar</v>
      </c>
      <c r="R1970">
        <f>MONTH(order_data[[#This Row],[Order_Date]])</f>
        <v>3</v>
      </c>
    </row>
    <row r="1971" spans="1:18" x14ac:dyDescent="0.35">
      <c r="A1971" t="s">
        <v>2763</v>
      </c>
      <c r="B1971" t="s">
        <v>300</v>
      </c>
      <c r="C1971" t="s">
        <v>2764</v>
      </c>
      <c r="D1971" t="s">
        <v>25</v>
      </c>
      <c r="E1971" t="s">
        <v>26</v>
      </c>
      <c r="F1971" t="s">
        <v>27</v>
      </c>
      <c r="G1971" t="s">
        <v>19</v>
      </c>
      <c r="H1971">
        <v>450</v>
      </c>
      <c r="I1971">
        <v>50</v>
      </c>
      <c r="J1971">
        <v>0</v>
      </c>
      <c r="K1971" t="s">
        <v>29</v>
      </c>
      <c r="L1971">
        <v>38</v>
      </c>
      <c r="M1971" t="s">
        <v>21</v>
      </c>
      <c r="N1971">
        <f>COUNTIF(order_data[Order_ID],order_data[[#This Row],[Order_ID]])</f>
        <v>1</v>
      </c>
      <c r="O1971">
        <f>order_data[[#This Row],[Order_Value]]-order_data[[#This Row],[Discount]]</f>
        <v>450</v>
      </c>
      <c r="P1971">
        <f>order_data[[#This Row],[Order_Value]]+order_data[[#This Row],[Delivery_Fee]]-order_data[[#This Row],[Discount]]</f>
        <v>500</v>
      </c>
      <c r="Q1971" t="str">
        <f>TEXT(order_data[[#This Row],[Order_Date]],"mmm")</f>
        <v>Mar</v>
      </c>
      <c r="R1971">
        <f>MONTH(order_data[[#This Row],[Order_Date]])</f>
        <v>3</v>
      </c>
    </row>
    <row r="1972" spans="1:18" x14ac:dyDescent="0.35">
      <c r="A1972" t="s">
        <v>2765</v>
      </c>
      <c r="B1972" t="s">
        <v>305</v>
      </c>
      <c r="C1972" t="s">
        <v>1472</v>
      </c>
      <c r="D1972" t="s">
        <v>46</v>
      </c>
      <c r="E1972" t="s">
        <v>148</v>
      </c>
      <c r="F1972" t="s">
        <v>27</v>
      </c>
      <c r="G1972" t="s">
        <v>176</v>
      </c>
      <c r="H1972">
        <v>358</v>
      </c>
      <c r="I1972">
        <v>40</v>
      </c>
      <c r="J1972">
        <v>20</v>
      </c>
      <c r="K1972" t="s">
        <v>36</v>
      </c>
      <c r="L1972">
        <v>49</v>
      </c>
      <c r="M1972" t="s">
        <v>21</v>
      </c>
      <c r="N1972">
        <f>COUNTIF(order_data[Order_ID],order_data[[#This Row],[Order_ID]])</f>
        <v>1</v>
      </c>
      <c r="O1972">
        <f>order_data[[#This Row],[Order_Value]]-order_data[[#This Row],[Discount]]</f>
        <v>338</v>
      </c>
      <c r="P1972">
        <f>order_data[[#This Row],[Order_Value]]+order_data[[#This Row],[Delivery_Fee]]-order_data[[#This Row],[Discount]]</f>
        <v>378</v>
      </c>
      <c r="Q1972" t="str">
        <f>TEXT(order_data[[#This Row],[Order_Date]],"mmm")</f>
        <v>Jan</v>
      </c>
      <c r="R1972">
        <f>MONTH(order_data[[#This Row],[Order_Date]])</f>
        <v>1</v>
      </c>
    </row>
    <row r="1973" spans="1:18" x14ac:dyDescent="0.35">
      <c r="A1973" t="s">
        <v>2766</v>
      </c>
      <c r="B1973" t="s">
        <v>252</v>
      </c>
      <c r="C1973" t="s">
        <v>2139</v>
      </c>
      <c r="D1973" t="s">
        <v>25</v>
      </c>
      <c r="E1973" t="s">
        <v>34</v>
      </c>
      <c r="F1973" t="s">
        <v>27</v>
      </c>
      <c r="G1973" t="s">
        <v>35</v>
      </c>
      <c r="H1973">
        <v>257</v>
      </c>
      <c r="I1973">
        <v>20</v>
      </c>
      <c r="J1973">
        <v>0</v>
      </c>
      <c r="K1973" t="s">
        <v>20</v>
      </c>
      <c r="L1973">
        <v>48</v>
      </c>
      <c r="M1973" t="s">
        <v>21</v>
      </c>
      <c r="N1973">
        <f>COUNTIF(order_data[Order_ID],order_data[[#This Row],[Order_ID]])</f>
        <v>1</v>
      </c>
      <c r="O1973">
        <f>order_data[[#This Row],[Order_Value]]-order_data[[#This Row],[Discount]]</f>
        <v>257</v>
      </c>
      <c r="P1973">
        <f>order_data[[#This Row],[Order_Value]]+order_data[[#This Row],[Delivery_Fee]]-order_data[[#This Row],[Discount]]</f>
        <v>277</v>
      </c>
      <c r="Q1973" t="str">
        <f>TEXT(order_data[[#This Row],[Order_Date]],"mmm")</f>
        <v>Jan</v>
      </c>
      <c r="R1973">
        <f>MONTH(order_data[[#This Row],[Order_Date]])</f>
        <v>1</v>
      </c>
    </row>
    <row r="1974" spans="1:18" x14ac:dyDescent="0.35">
      <c r="A1974" t="s">
        <v>2767</v>
      </c>
      <c r="B1974" t="s">
        <v>178</v>
      </c>
      <c r="C1974" t="s">
        <v>1430</v>
      </c>
      <c r="D1974" t="s">
        <v>40</v>
      </c>
      <c r="E1974" t="s">
        <v>111</v>
      </c>
      <c r="F1974" t="s">
        <v>18</v>
      </c>
      <c r="G1974" t="s">
        <v>28</v>
      </c>
      <c r="H1974">
        <v>745</v>
      </c>
      <c r="I1974">
        <v>30</v>
      </c>
      <c r="J1974">
        <v>30</v>
      </c>
      <c r="K1974" t="s">
        <v>36</v>
      </c>
      <c r="L1974">
        <v>28</v>
      </c>
      <c r="M1974" t="s">
        <v>21</v>
      </c>
      <c r="N1974">
        <f>COUNTIF(order_data[Order_ID],order_data[[#This Row],[Order_ID]])</f>
        <v>1</v>
      </c>
      <c r="O1974">
        <f>order_data[[#This Row],[Order_Value]]-order_data[[#This Row],[Discount]]</f>
        <v>715</v>
      </c>
      <c r="P1974">
        <f>order_data[[#This Row],[Order_Value]]+order_data[[#This Row],[Delivery_Fee]]-order_data[[#This Row],[Discount]]</f>
        <v>745</v>
      </c>
      <c r="Q1974" t="str">
        <f>TEXT(order_data[[#This Row],[Order_Date]],"mmm")</f>
        <v>Feb</v>
      </c>
      <c r="R1974">
        <f>MONTH(order_data[[#This Row],[Order_Date]])</f>
        <v>2</v>
      </c>
    </row>
    <row r="1975" spans="1:18" x14ac:dyDescent="0.35">
      <c r="A1975" t="s">
        <v>2768</v>
      </c>
      <c r="B1975" t="s">
        <v>541</v>
      </c>
      <c r="C1975" t="s">
        <v>2050</v>
      </c>
      <c r="D1975" t="s">
        <v>25</v>
      </c>
      <c r="E1975" t="s">
        <v>26</v>
      </c>
      <c r="F1975" t="s">
        <v>27</v>
      </c>
      <c r="G1975" t="s">
        <v>176</v>
      </c>
      <c r="H1975">
        <v>437</v>
      </c>
      <c r="I1975">
        <v>40</v>
      </c>
      <c r="J1975">
        <v>50</v>
      </c>
      <c r="K1975" t="s">
        <v>36</v>
      </c>
      <c r="L1975">
        <v>50</v>
      </c>
      <c r="M1975" t="s">
        <v>21</v>
      </c>
      <c r="N1975">
        <f>COUNTIF(order_data[Order_ID],order_data[[#This Row],[Order_ID]])</f>
        <v>1</v>
      </c>
      <c r="O1975">
        <f>order_data[[#This Row],[Order_Value]]-order_data[[#This Row],[Discount]]</f>
        <v>387</v>
      </c>
      <c r="P1975">
        <f>order_data[[#This Row],[Order_Value]]+order_data[[#This Row],[Delivery_Fee]]-order_data[[#This Row],[Discount]]</f>
        <v>427</v>
      </c>
      <c r="Q1975" t="str">
        <f>TEXT(order_data[[#This Row],[Order_Date]],"mmm")</f>
        <v>Jan</v>
      </c>
      <c r="R1975">
        <f>MONTH(order_data[[#This Row],[Order_Date]])</f>
        <v>1</v>
      </c>
    </row>
    <row r="1976" spans="1:18" x14ac:dyDescent="0.35">
      <c r="A1976" t="s">
        <v>2769</v>
      </c>
      <c r="B1976" t="s">
        <v>154</v>
      </c>
      <c r="C1976" t="s">
        <v>810</v>
      </c>
      <c r="D1976" t="s">
        <v>46</v>
      </c>
      <c r="E1976" t="s">
        <v>47</v>
      </c>
      <c r="F1976" t="s">
        <v>48</v>
      </c>
      <c r="G1976" t="s">
        <v>35</v>
      </c>
      <c r="H1976">
        <v>666</v>
      </c>
      <c r="I1976">
        <v>50</v>
      </c>
      <c r="J1976">
        <v>100</v>
      </c>
      <c r="K1976" t="s">
        <v>29</v>
      </c>
      <c r="L1976">
        <v>34</v>
      </c>
      <c r="M1976" t="s">
        <v>21</v>
      </c>
      <c r="N1976">
        <f>COUNTIF(order_data[Order_ID],order_data[[#This Row],[Order_ID]])</f>
        <v>1</v>
      </c>
      <c r="O1976">
        <f>order_data[[#This Row],[Order_Value]]-order_data[[#This Row],[Discount]]</f>
        <v>566</v>
      </c>
      <c r="P1976">
        <f>order_data[[#This Row],[Order_Value]]+order_data[[#This Row],[Delivery_Fee]]-order_data[[#This Row],[Discount]]</f>
        <v>616</v>
      </c>
      <c r="Q1976" t="str">
        <f>TEXT(order_data[[#This Row],[Order_Date]],"mmm")</f>
        <v>Jan</v>
      </c>
      <c r="R1976">
        <f>MONTH(order_data[[#This Row],[Order_Date]])</f>
        <v>1</v>
      </c>
    </row>
    <row r="1977" spans="1:18" x14ac:dyDescent="0.35">
      <c r="A1977" t="s">
        <v>2770</v>
      </c>
      <c r="B1977" t="s">
        <v>136</v>
      </c>
      <c r="C1977" t="s">
        <v>2771</v>
      </c>
      <c r="D1977" t="s">
        <v>40</v>
      </c>
      <c r="E1977" t="s">
        <v>67</v>
      </c>
      <c r="F1977" t="s">
        <v>48</v>
      </c>
      <c r="G1977" t="s">
        <v>176</v>
      </c>
      <c r="H1977">
        <v>518</v>
      </c>
      <c r="I1977">
        <v>20</v>
      </c>
      <c r="J1977">
        <v>50</v>
      </c>
      <c r="K1977" t="s">
        <v>20</v>
      </c>
      <c r="L1977">
        <v>47</v>
      </c>
      <c r="M1977" t="s">
        <v>21</v>
      </c>
      <c r="N1977">
        <f>COUNTIF(order_data[Order_ID],order_data[[#This Row],[Order_ID]])</f>
        <v>1</v>
      </c>
      <c r="O1977">
        <f>order_data[[#This Row],[Order_Value]]-order_data[[#This Row],[Discount]]</f>
        <v>468</v>
      </c>
      <c r="P1977">
        <f>order_data[[#This Row],[Order_Value]]+order_data[[#This Row],[Delivery_Fee]]-order_data[[#This Row],[Discount]]</f>
        <v>488</v>
      </c>
      <c r="Q1977" t="str">
        <f>TEXT(order_data[[#This Row],[Order_Date]],"mmm")</f>
        <v>Feb</v>
      </c>
      <c r="R1977">
        <f>MONTH(order_data[[#This Row],[Order_Date]])</f>
        <v>2</v>
      </c>
    </row>
    <row r="1978" spans="1:18" x14ac:dyDescent="0.35">
      <c r="A1978" t="s">
        <v>2772</v>
      </c>
      <c r="B1978" t="s">
        <v>109</v>
      </c>
      <c r="C1978" t="s">
        <v>439</v>
      </c>
      <c r="D1978" t="s">
        <v>16</v>
      </c>
      <c r="E1978" t="s">
        <v>17</v>
      </c>
      <c r="F1978" t="s">
        <v>18</v>
      </c>
      <c r="G1978" t="s">
        <v>35</v>
      </c>
      <c r="H1978">
        <v>738</v>
      </c>
      <c r="I1978">
        <v>50</v>
      </c>
      <c r="J1978">
        <v>50</v>
      </c>
      <c r="K1978" t="s">
        <v>29</v>
      </c>
      <c r="L1978">
        <v>51</v>
      </c>
      <c r="M1978" t="s">
        <v>21</v>
      </c>
      <c r="N1978">
        <f>COUNTIF(order_data[Order_ID],order_data[[#This Row],[Order_ID]])</f>
        <v>1</v>
      </c>
      <c r="O1978">
        <f>order_data[[#This Row],[Order_Value]]-order_data[[#This Row],[Discount]]</f>
        <v>688</v>
      </c>
      <c r="P1978">
        <f>order_data[[#This Row],[Order_Value]]+order_data[[#This Row],[Delivery_Fee]]-order_data[[#This Row],[Discount]]</f>
        <v>738</v>
      </c>
      <c r="Q1978" t="str">
        <f>TEXT(order_data[[#This Row],[Order_Date]],"mmm")</f>
        <v>Jan</v>
      </c>
      <c r="R1978">
        <f>MONTH(order_data[[#This Row],[Order_Date]])</f>
        <v>1</v>
      </c>
    </row>
    <row r="1979" spans="1:18" x14ac:dyDescent="0.35">
      <c r="A1979" t="s">
        <v>2773</v>
      </c>
      <c r="B1979" t="s">
        <v>223</v>
      </c>
      <c r="C1979" t="s">
        <v>2191</v>
      </c>
      <c r="D1979" t="s">
        <v>16</v>
      </c>
      <c r="E1979" t="s">
        <v>89</v>
      </c>
      <c r="F1979" t="s">
        <v>18</v>
      </c>
      <c r="G1979" t="s">
        <v>59</v>
      </c>
      <c r="H1979">
        <v>755</v>
      </c>
      <c r="I1979">
        <v>50</v>
      </c>
      <c r="J1979">
        <v>20</v>
      </c>
      <c r="K1979" t="s">
        <v>20</v>
      </c>
      <c r="L1979">
        <v>25</v>
      </c>
      <c r="M1979" t="s">
        <v>30</v>
      </c>
      <c r="N1979">
        <f>COUNTIF(order_data[Order_ID],order_data[[#This Row],[Order_ID]])</f>
        <v>1</v>
      </c>
      <c r="O1979">
        <f>order_data[[#This Row],[Order_Value]]-order_data[[#This Row],[Discount]]</f>
        <v>735</v>
      </c>
      <c r="P1979">
        <f>order_data[[#This Row],[Order_Value]]+order_data[[#This Row],[Delivery_Fee]]-order_data[[#This Row],[Discount]]</f>
        <v>785</v>
      </c>
      <c r="Q1979" t="str">
        <f>TEXT(order_data[[#This Row],[Order_Date]],"mmm")</f>
        <v>Mar</v>
      </c>
      <c r="R1979">
        <f>MONTH(order_data[[#This Row],[Order_Date]])</f>
        <v>3</v>
      </c>
    </row>
    <row r="1980" spans="1:18" x14ac:dyDescent="0.35">
      <c r="A1980" t="s">
        <v>2774</v>
      </c>
      <c r="B1980" t="s">
        <v>65</v>
      </c>
      <c r="C1980" t="s">
        <v>610</v>
      </c>
      <c r="D1980" t="s">
        <v>53</v>
      </c>
      <c r="E1980" t="s">
        <v>84</v>
      </c>
      <c r="F1980" t="s">
        <v>85</v>
      </c>
      <c r="G1980" t="s">
        <v>42</v>
      </c>
      <c r="H1980">
        <v>316</v>
      </c>
      <c r="I1980">
        <v>50</v>
      </c>
      <c r="J1980">
        <v>30</v>
      </c>
      <c r="K1980" t="s">
        <v>20</v>
      </c>
      <c r="L1980">
        <v>35</v>
      </c>
      <c r="M1980" t="s">
        <v>21</v>
      </c>
      <c r="N1980">
        <f>COUNTIF(order_data[Order_ID],order_data[[#This Row],[Order_ID]])</f>
        <v>1</v>
      </c>
      <c r="O1980">
        <f>order_data[[#This Row],[Order_Value]]-order_data[[#This Row],[Discount]]</f>
        <v>286</v>
      </c>
      <c r="P1980">
        <f>order_data[[#This Row],[Order_Value]]+order_data[[#This Row],[Delivery_Fee]]-order_data[[#This Row],[Discount]]</f>
        <v>336</v>
      </c>
      <c r="Q1980" t="str">
        <f>TEXT(order_data[[#This Row],[Order_Date]],"mmm")</f>
        <v>Mar</v>
      </c>
      <c r="R1980">
        <f>MONTH(order_data[[#This Row],[Order_Date]])</f>
        <v>3</v>
      </c>
    </row>
    <row r="1981" spans="1:18" x14ac:dyDescent="0.35">
      <c r="A1981" t="s">
        <v>2775</v>
      </c>
      <c r="B1981" t="s">
        <v>205</v>
      </c>
      <c r="C1981" t="s">
        <v>1461</v>
      </c>
      <c r="D1981" t="s">
        <v>53</v>
      </c>
      <c r="E1981" t="s">
        <v>84</v>
      </c>
      <c r="F1981" t="s">
        <v>85</v>
      </c>
      <c r="G1981" t="s">
        <v>176</v>
      </c>
      <c r="H1981">
        <v>313</v>
      </c>
      <c r="I1981">
        <v>40</v>
      </c>
      <c r="J1981">
        <v>30</v>
      </c>
      <c r="K1981" t="s">
        <v>20</v>
      </c>
      <c r="L1981">
        <v>54</v>
      </c>
      <c r="M1981" t="s">
        <v>21</v>
      </c>
      <c r="N1981">
        <f>COUNTIF(order_data[Order_ID],order_data[[#This Row],[Order_ID]])</f>
        <v>1</v>
      </c>
      <c r="O1981">
        <f>order_data[[#This Row],[Order_Value]]-order_data[[#This Row],[Discount]]</f>
        <v>283</v>
      </c>
      <c r="P1981">
        <f>order_data[[#This Row],[Order_Value]]+order_data[[#This Row],[Delivery_Fee]]-order_data[[#This Row],[Discount]]</f>
        <v>323</v>
      </c>
      <c r="Q1981" t="str">
        <f>TEXT(order_data[[#This Row],[Order_Date]],"mmm")</f>
        <v>Jan</v>
      </c>
      <c r="R1981">
        <f>MONTH(order_data[[#This Row],[Order_Date]])</f>
        <v>1</v>
      </c>
    </row>
    <row r="1982" spans="1:18" x14ac:dyDescent="0.35">
      <c r="A1982" t="s">
        <v>2776</v>
      </c>
      <c r="B1982" t="s">
        <v>129</v>
      </c>
      <c r="C1982" t="s">
        <v>2777</v>
      </c>
      <c r="D1982" t="s">
        <v>25</v>
      </c>
      <c r="E1982" t="s">
        <v>34</v>
      </c>
      <c r="F1982" t="s">
        <v>27</v>
      </c>
      <c r="G1982" t="s">
        <v>176</v>
      </c>
      <c r="H1982">
        <v>497</v>
      </c>
      <c r="I1982">
        <v>20</v>
      </c>
      <c r="J1982">
        <v>20</v>
      </c>
      <c r="K1982" t="s">
        <v>36</v>
      </c>
      <c r="L1982">
        <v>55</v>
      </c>
      <c r="M1982" t="s">
        <v>21</v>
      </c>
      <c r="N1982">
        <f>COUNTIF(order_data[Order_ID],order_data[[#This Row],[Order_ID]])</f>
        <v>1</v>
      </c>
      <c r="O1982">
        <f>order_data[[#This Row],[Order_Value]]-order_data[[#This Row],[Discount]]</f>
        <v>477</v>
      </c>
      <c r="P1982">
        <f>order_data[[#This Row],[Order_Value]]+order_data[[#This Row],[Delivery_Fee]]-order_data[[#This Row],[Discount]]</f>
        <v>497</v>
      </c>
      <c r="Q1982" t="str">
        <f>TEXT(order_data[[#This Row],[Order_Date]],"mmm")</f>
        <v>Feb</v>
      </c>
      <c r="R1982">
        <f>MONTH(order_data[[#This Row],[Order_Date]])</f>
        <v>2</v>
      </c>
    </row>
    <row r="1983" spans="1:18" x14ac:dyDescent="0.35">
      <c r="A1983" t="s">
        <v>2778</v>
      </c>
      <c r="B1983" t="s">
        <v>143</v>
      </c>
      <c r="C1983" t="s">
        <v>1453</v>
      </c>
      <c r="D1983" t="s">
        <v>46</v>
      </c>
      <c r="E1983" t="s">
        <v>70</v>
      </c>
      <c r="F1983" t="s">
        <v>18</v>
      </c>
      <c r="G1983" t="s">
        <v>107</v>
      </c>
      <c r="H1983">
        <v>449</v>
      </c>
      <c r="I1983">
        <v>50</v>
      </c>
      <c r="J1983">
        <v>100</v>
      </c>
      <c r="K1983" t="s">
        <v>20</v>
      </c>
      <c r="L1983">
        <v>21</v>
      </c>
      <c r="M1983" t="s">
        <v>21</v>
      </c>
      <c r="N1983">
        <f>COUNTIF(order_data[Order_ID],order_data[[#This Row],[Order_ID]])</f>
        <v>1</v>
      </c>
      <c r="O1983">
        <f>order_data[[#This Row],[Order_Value]]-order_data[[#This Row],[Discount]]</f>
        <v>349</v>
      </c>
      <c r="P1983">
        <f>order_data[[#This Row],[Order_Value]]+order_data[[#This Row],[Delivery_Fee]]-order_data[[#This Row],[Discount]]</f>
        <v>399</v>
      </c>
      <c r="Q1983" t="str">
        <f>TEXT(order_data[[#This Row],[Order_Date]],"mmm")</f>
        <v>Feb</v>
      </c>
      <c r="R1983">
        <f>MONTH(order_data[[#This Row],[Order_Date]])</f>
        <v>2</v>
      </c>
    </row>
    <row r="1984" spans="1:18" x14ac:dyDescent="0.35">
      <c r="A1984" t="s">
        <v>2779</v>
      </c>
      <c r="B1984" t="s">
        <v>105</v>
      </c>
      <c r="C1984" t="s">
        <v>797</v>
      </c>
      <c r="D1984" t="s">
        <v>46</v>
      </c>
      <c r="E1984" t="s">
        <v>70</v>
      </c>
      <c r="F1984" t="s">
        <v>18</v>
      </c>
      <c r="G1984" t="s">
        <v>42</v>
      </c>
      <c r="H1984">
        <v>681</v>
      </c>
      <c r="I1984">
        <v>40</v>
      </c>
      <c r="J1984">
        <v>0</v>
      </c>
      <c r="K1984" t="s">
        <v>36</v>
      </c>
      <c r="L1984">
        <v>30</v>
      </c>
      <c r="M1984" t="s">
        <v>21</v>
      </c>
      <c r="N1984">
        <f>COUNTIF(order_data[Order_ID],order_data[[#This Row],[Order_ID]])</f>
        <v>1</v>
      </c>
      <c r="O1984">
        <f>order_data[[#This Row],[Order_Value]]-order_data[[#This Row],[Discount]]</f>
        <v>681</v>
      </c>
      <c r="P1984">
        <f>order_data[[#This Row],[Order_Value]]+order_data[[#This Row],[Delivery_Fee]]-order_data[[#This Row],[Discount]]</f>
        <v>721</v>
      </c>
      <c r="Q1984" t="str">
        <f>TEXT(order_data[[#This Row],[Order_Date]],"mmm")</f>
        <v>Mar</v>
      </c>
      <c r="R1984">
        <f>MONTH(order_data[[#This Row],[Order_Date]])</f>
        <v>3</v>
      </c>
    </row>
    <row r="1985" spans="1:18" x14ac:dyDescent="0.35">
      <c r="A1985" t="s">
        <v>2780</v>
      </c>
      <c r="B1985" t="s">
        <v>449</v>
      </c>
      <c r="C1985" t="s">
        <v>330</v>
      </c>
      <c r="D1985" t="s">
        <v>46</v>
      </c>
      <c r="E1985" t="s">
        <v>47</v>
      </c>
      <c r="F1985" t="s">
        <v>48</v>
      </c>
      <c r="G1985" t="s">
        <v>42</v>
      </c>
      <c r="H1985">
        <v>203</v>
      </c>
      <c r="I1985">
        <v>40</v>
      </c>
      <c r="J1985">
        <v>0</v>
      </c>
      <c r="K1985" t="s">
        <v>29</v>
      </c>
      <c r="L1985">
        <v>43</v>
      </c>
      <c r="M1985" t="s">
        <v>30</v>
      </c>
      <c r="N1985">
        <f>COUNTIF(order_data[Order_ID],order_data[[#This Row],[Order_ID]])</f>
        <v>1</v>
      </c>
      <c r="O1985">
        <f>order_data[[#This Row],[Order_Value]]-order_data[[#This Row],[Discount]]</f>
        <v>203</v>
      </c>
      <c r="P1985">
        <f>order_data[[#This Row],[Order_Value]]+order_data[[#This Row],[Delivery_Fee]]-order_data[[#This Row],[Discount]]</f>
        <v>243</v>
      </c>
      <c r="Q1985" t="str">
        <f>TEXT(order_data[[#This Row],[Order_Date]],"mmm")</f>
        <v>Mar</v>
      </c>
      <c r="R1985">
        <f>MONTH(order_data[[#This Row],[Order_Date]])</f>
        <v>3</v>
      </c>
    </row>
    <row r="1986" spans="1:18" x14ac:dyDescent="0.35">
      <c r="A1986" t="s">
        <v>2781</v>
      </c>
      <c r="B1986" t="s">
        <v>118</v>
      </c>
      <c r="C1986" t="s">
        <v>2157</v>
      </c>
      <c r="D1986" t="s">
        <v>46</v>
      </c>
      <c r="E1986" t="s">
        <v>148</v>
      </c>
      <c r="F1986" t="s">
        <v>27</v>
      </c>
      <c r="G1986" t="s">
        <v>49</v>
      </c>
      <c r="H1986">
        <v>467</v>
      </c>
      <c r="I1986">
        <v>50</v>
      </c>
      <c r="J1986">
        <v>100</v>
      </c>
      <c r="K1986" t="s">
        <v>29</v>
      </c>
      <c r="L1986">
        <v>41</v>
      </c>
      <c r="M1986" t="s">
        <v>21</v>
      </c>
      <c r="N1986">
        <f>COUNTIF(order_data[Order_ID],order_data[[#This Row],[Order_ID]])</f>
        <v>1</v>
      </c>
      <c r="O1986">
        <f>order_data[[#This Row],[Order_Value]]-order_data[[#This Row],[Discount]]</f>
        <v>367</v>
      </c>
      <c r="P1986">
        <f>order_data[[#This Row],[Order_Value]]+order_data[[#This Row],[Delivery_Fee]]-order_data[[#This Row],[Discount]]</f>
        <v>417</v>
      </c>
      <c r="Q1986" t="str">
        <f>TEXT(order_data[[#This Row],[Order_Date]],"mmm")</f>
        <v>Mar</v>
      </c>
      <c r="R1986">
        <f>MONTH(order_data[[#This Row],[Order_Date]])</f>
        <v>3</v>
      </c>
    </row>
    <row r="1987" spans="1:18" x14ac:dyDescent="0.35">
      <c r="A1987" t="s">
        <v>2782</v>
      </c>
      <c r="B1987" t="s">
        <v>213</v>
      </c>
      <c r="C1987" t="s">
        <v>702</v>
      </c>
      <c r="D1987" t="s">
        <v>16</v>
      </c>
      <c r="E1987" t="s">
        <v>131</v>
      </c>
      <c r="F1987" t="s">
        <v>55</v>
      </c>
      <c r="G1987" t="s">
        <v>107</v>
      </c>
      <c r="H1987">
        <v>678</v>
      </c>
      <c r="I1987">
        <v>30</v>
      </c>
      <c r="J1987">
        <v>100</v>
      </c>
      <c r="K1987" t="s">
        <v>20</v>
      </c>
      <c r="L1987">
        <v>22</v>
      </c>
      <c r="M1987" t="s">
        <v>21</v>
      </c>
      <c r="N1987">
        <f>COUNTIF(order_data[Order_ID],order_data[[#This Row],[Order_ID]])</f>
        <v>1</v>
      </c>
      <c r="O1987">
        <f>order_data[[#This Row],[Order_Value]]-order_data[[#This Row],[Discount]]</f>
        <v>578</v>
      </c>
      <c r="P1987">
        <f>order_data[[#This Row],[Order_Value]]+order_data[[#This Row],[Delivery_Fee]]-order_data[[#This Row],[Discount]]</f>
        <v>608</v>
      </c>
      <c r="Q1987" t="str">
        <f>TEXT(order_data[[#This Row],[Order_Date]],"mmm")</f>
        <v>Jan</v>
      </c>
      <c r="R1987">
        <f>MONTH(order_data[[#This Row],[Order_Date]])</f>
        <v>1</v>
      </c>
    </row>
    <row r="1988" spans="1:18" x14ac:dyDescent="0.35">
      <c r="A1988" t="s">
        <v>2783</v>
      </c>
      <c r="B1988" t="s">
        <v>109</v>
      </c>
      <c r="C1988" t="s">
        <v>684</v>
      </c>
      <c r="D1988" t="s">
        <v>40</v>
      </c>
      <c r="E1988" t="s">
        <v>67</v>
      </c>
      <c r="F1988" t="s">
        <v>48</v>
      </c>
      <c r="G1988" t="s">
        <v>107</v>
      </c>
      <c r="H1988">
        <v>524</v>
      </c>
      <c r="I1988">
        <v>20</v>
      </c>
      <c r="J1988">
        <v>50</v>
      </c>
      <c r="K1988" t="s">
        <v>20</v>
      </c>
      <c r="L1988">
        <v>48</v>
      </c>
      <c r="M1988" t="s">
        <v>21</v>
      </c>
      <c r="N1988">
        <f>COUNTIF(order_data[Order_ID],order_data[[#This Row],[Order_ID]])</f>
        <v>1</v>
      </c>
      <c r="O1988">
        <f>order_data[[#This Row],[Order_Value]]-order_data[[#This Row],[Discount]]</f>
        <v>474</v>
      </c>
      <c r="P1988">
        <f>order_data[[#This Row],[Order_Value]]+order_data[[#This Row],[Delivery_Fee]]-order_data[[#This Row],[Discount]]</f>
        <v>494</v>
      </c>
      <c r="Q1988" t="str">
        <f>TEXT(order_data[[#This Row],[Order_Date]],"mmm")</f>
        <v>Jan</v>
      </c>
      <c r="R1988">
        <f>MONTH(order_data[[#This Row],[Order_Date]])</f>
        <v>1</v>
      </c>
    </row>
    <row r="1989" spans="1:18" x14ac:dyDescent="0.35">
      <c r="A1989" t="s">
        <v>2784</v>
      </c>
      <c r="B1989" t="s">
        <v>513</v>
      </c>
      <c r="C1989" t="s">
        <v>52</v>
      </c>
      <c r="D1989" t="s">
        <v>40</v>
      </c>
      <c r="E1989" t="s">
        <v>41</v>
      </c>
      <c r="F1989" t="s">
        <v>27</v>
      </c>
      <c r="G1989" t="s">
        <v>63</v>
      </c>
      <c r="H1989">
        <v>743</v>
      </c>
      <c r="I1989">
        <v>50</v>
      </c>
      <c r="J1989">
        <v>20</v>
      </c>
      <c r="K1989" t="s">
        <v>29</v>
      </c>
      <c r="L1989">
        <v>40</v>
      </c>
      <c r="M1989" t="s">
        <v>21</v>
      </c>
      <c r="N1989">
        <f>COUNTIF(order_data[Order_ID],order_data[[#This Row],[Order_ID]])</f>
        <v>1</v>
      </c>
      <c r="O1989">
        <f>order_data[[#This Row],[Order_Value]]-order_data[[#This Row],[Discount]]</f>
        <v>723</v>
      </c>
      <c r="P1989">
        <f>order_data[[#This Row],[Order_Value]]+order_data[[#This Row],[Delivery_Fee]]-order_data[[#This Row],[Discount]]</f>
        <v>773</v>
      </c>
      <c r="Q1989" t="str">
        <f>TEXT(order_data[[#This Row],[Order_Date]],"mmm")</f>
        <v>Feb</v>
      </c>
      <c r="R1989">
        <f>MONTH(order_data[[#This Row],[Order_Date]])</f>
        <v>2</v>
      </c>
    </row>
    <row r="1990" spans="1:18" x14ac:dyDescent="0.35">
      <c r="A1990" t="s">
        <v>2785</v>
      </c>
      <c r="B1990" t="s">
        <v>181</v>
      </c>
      <c r="C1990" t="s">
        <v>175</v>
      </c>
      <c r="D1990" t="s">
        <v>53</v>
      </c>
      <c r="E1990" t="s">
        <v>152</v>
      </c>
      <c r="F1990" t="s">
        <v>18</v>
      </c>
      <c r="G1990" t="s">
        <v>176</v>
      </c>
      <c r="H1990">
        <v>229</v>
      </c>
      <c r="I1990">
        <v>50</v>
      </c>
      <c r="J1990">
        <v>50</v>
      </c>
      <c r="K1990" t="s">
        <v>20</v>
      </c>
      <c r="L1990">
        <v>60</v>
      </c>
      <c r="M1990" t="s">
        <v>21</v>
      </c>
      <c r="N1990">
        <f>COUNTIF(order_data[Order_ID],order_data[[#This Row],[Order_ID]])</f>
        <v>1</v>
      </c>
      <c r="O1990">
        <f>order_data[[#This Row],[Order_Value]]-order_data[[#This Row],[Discount]]</f>
        <v>179</v>
      </c>
      <c r="P1990">
        <f>order_data[[#This Row],[Order_Value]]+order_data[[#This Row],[Delivery_Fee]]-order_data[[#This Row],[Discount]]</f>
        <v>229</v>
      </c>
      <c r="Q1990" t="str">
        <f>TEXT(order_data[[#This Row],[Order_Date]],"mmm")</f>
        <v>Feb</v>
      </c>
      <c r="R1990">
        <f>MONTH(order_data[[#This Row],[Order_Date]])</f>
        <v>2</v>
      </c>
    </row>
    <row r="1991" spans="1:18" x14ac:dyDescent="0.35">
      <c r="A1991" t="s">
        <v>2786</v>
      </c>
      <c r="B1991" t="s">
        <v>102</v>
      </c>
      <c r="C1991" t="s">
        <v>2622</v>
      </c>
      <c r="D1991" t="s">
        <v>25</v>
      </c>
      <c r="E1991" t="s">
        <v>78</v>
      </c>
      <c r="F1991" t="s">
        <v>48</v>
      </c>
      <c r="G1991" t="s">
        <v>74</v>
      </c>
      <c r="H1991">
        <v>266</v>
      </c>
      <c r="I1991">
        <v>40</v>
      </c>
      <c r="J1991">
        <v>20</v>
      </c>
      <c r="K1991" t="s">
        <v>36</v>
      </c>
      <c r="L1991">
        <v>24</v>
      </c>
      <c r="M1991" t="s">
        <v>21</v>
      </c>
      <c r="N1991">
        <f>COUNTIF(order_data[Order_ID],order_data[[#This Row],[Order_ID]])</f>
        <v>1</v>
      </c>
      <c r="O1991">
        <f>order_data[[#This Row],[Order_Value]]-order_data[[#This Row],[Discount]]</f>
        <v>246</v>
      </c>
      <c r="P1991">
        <f>order_data[[#This Row],[Order_Value]]+order_data[[#This Row],[Delivery_Fee]]-order_data[[#This Row],[Discount]]</f>
        <v>286</v>
      </c>
      <c r="Q1991" t="str">
        <f>TEXT(order_data[[#This Row],[Order_Date]],"mmm")</f>
        <v>Mar</v>
      </c>
      <c r="R1991">
        <f>MONTH(order_data[[#This Row],[Order_Date]])</f>
        <v>3</v>
      </c>
    </row>
    <row r="1992" spans="1:18" x14ac:dyDescent="0.35">
      <c r="A1992" t="s">
        <v>2787</v>
      </c>
      <c r="B1992" t="s">
        <v>252</v>
      </c>
      <c r="C1992" t="s">
        <v>1675</v>
      </c>
      <c r="D1992" t="s">
        <v>46</v>
      </c>
      <c r="E1992" t="s">
        <v>47</v>
      </c>
      <c r="F1992" t="s">
        <v>48</v>
      </c>
      <c r="G1992" t="s">
        <v>74</v>
      </c>
      <c r="H1992">
        <v>347</v>
      </c>
      <c r="I1992">
        <v>50</v>
      </c>
      <c r="J1992">
        <v>0</v>
      </c>
      <c r="K1992" t="s">
        <v>20</v>
      </c>
      <c r="L1992">
        <v>55</v>
      </c>
      <c r="M1992" t="s">
        <v>21</v>
      </c>
      <c r="N1992">
        <f>COUNTIF(order_data[Order_ID],order_data[[#This Row],[Order_ID]])</f>
        <v>1</v>
      </c>
      <c r="O1992">
        <f>order_data[[#This Row],[Order_Value]]-order_data[[#This Row],[Discount]]</f>
        <v>347</v>
      </c>
      <c r="P1992">
        <f>order_data[[#This Row],[Order_Value]]+order_data[[#This Row],[Delivery_Fee]]-order_data[[#This Row],[Discount]]</f>
        <v>397</v>
      </c>
      <c r="Q1992" t="str">
        <f>TEXT(order_data[[#This Row],[Order_Date]],"mmm")</f>
        <v>Jan</v>
      </c>
      <c r="R1992">
        <f>MONTH(order_data[[#This Row],[Order_Date]])</f>
        <v>1</v>
      </c>
    </row>
    <row r="1993" spans="1:18" x14ac:dyDescent="0.35">
      <c r="A1993" t="s">
        <v>2788</v>
      </c>
      <c r="B1993" t="s">
        <v>150</v>
      </c>
      <c r="C1993" t="s">
        <v>2511</v>
      </c>
      <c r="D1993" t="s">
        <v>40</v>
      </c>
      <c r="E1993" t="s">
        <v>41</v>
      </c>
      <c r="F1993" t="s">
        <v>27</v>
      </c>
      <c r="G1993" t="s">
        <v>107</v>
      </c>
      <c r="H1993">
        <v>219</v>
      </c>
      <c r="I1993">
        <v>30</v>
      </c>
      <c r="J1993">
        <v>100</v>
      </c>
      <c r="K1993" t="s">
        <v>29</v>
      </c>
      <c r="L1993">
        <v>60</v>
      </c>
      <c r="M1993" t="s">
        <v>21</v>
      </c>
      <c r="N1993">
        <f>COUNTIF(order_data[Order_ID],order_data[[#This Row],[Order_ID]])</f>
        <v>1</v>
      </c>
      <c r="O1993">
        <f>order_data[[#This Row],[Order_Value]]-order_data[[#This Row],[Discount]]</f>
        <v>119</v>
      </c>
      <c r="P1993">
        <f>order_data[[#This Row],[Order_Value]]+order_data[[#This Row],[Delivery_Fee]]-order_data[[#This Row],[Discount]]</f>
        <v>149</v>
      </c>
      <c r="Q1993" t="str">
        <f>TEXT(order_data[[#This Row],[Order_Date]],"mmm")</f>
        <v>Feb</v>
      </c>
      <c r="R1993">
        <f>MONTH(order_data[[#This Row],[Order_Date]])</f>
        <v>2</v>
      </c>
    </row>
    <row r="1994" spans="1:18" x14ac:dyDescent="0.35">
      <c r="A1994" t="s">
        <v>2789</v>
      </c>
      <c r="B1994" t="s">
        <v>297</v>
      </c>
      <c r="C1994" t="s">
        <v>327</v>
      </c>
      <c r="D1994" t="s">
        <v>25</v>
      </c>
      <c r="E1994" t="s">
        <v>34</v>
      </c>
      <c r="F1994" t="s">
        <v>27</v>
      </c>
      <c r="G1994" t="s">
        <v>28</v>
      </c>
      <c r="H1994">
        <v>353</v>
      </c>
      <c r="I1994">
        <v>40</v>
      </c>
      <c r="J1994">
        <v>30</v>
      </c>
      <c r="K1994" t="s">
        <v>36</v>
      </c>
      <c r="L1994">
        <v>38</v>
      </c>
      <c r="M1994" t="s">
        <v>21</v>
      </c>
      <c r="N1994">
        <f>COUNTIF(order_data[Order_ID],order_data[[#This Row],[Order_ID]])</f>
        <v>1</v>
      </c>
      <c r="O1994">
        <f>order_data[[#This Row],[Order_Value]]-order_data[[#This Row],[Discount]]</f>
        <v>323</v>
      </c>
      <c r="P1994">
        <f>order_data[[#This Row],[Order_Value]]+order_data[[#This Row],[Delivery_Fee]]-order_data[[#This Row],[Discount]]</f>
        <v>363</v>
      </c>
      <c r="Q1994" t="str">
        <f>TEXT(order_data[[#This Row],[Order_Date]],"mmm")</f>
        <v>Feb</v>
      </c>
      <c r="R1994">
        <f>MONTH(order_data[[#This Row],[Order_Date]])</f>
        <v>2</v>
      </c>
    </row>
    <row r="1995" spans="1:18" x14ac:dyDescent="0.35">
      <c r="A1995" t="s">
        <v>2790</v>
      </c>
      <c r="B1995" t="s">
        <v>133</v>
      </c>
      <c r="C1995" t="s">
        <v>690</v>
      </c>
      <c r="D1995" t="s">
        <v>16</v>
      </c>
      <c r="E1995" t="s">
        <v>17</v>
      </c>
      <c r="F1995" t="s">
        <v>18</v>
      </c>
      <c r="G1995" t="s">
        <v>74</v>
      </c>
      <c r="H1995">
        <v>800</v>
      </c>
      <c r="I1995">
        <v>50</v>
      </c>
      <c r="J1995">
        <v>20</v>
      </c>
      <c r="K1995" t="s">
        <v>36</v>
      </c>
      <c r="L1995">
        <v>44</v>
      </c>
      <c r="M1995" t="s">
        <v>21</v>
      </c>
      <c r="N1995">
        <f>COUNTIF(order_data[Order_ID],order_data[[#This Row],[Order_ID]])</f>
        <v>1</v>
      </c>
      <c r="O1995">
        <f>order_data[[#This Row],[Order_Value]]-order_data[[#This Row],[Discount]]</f>
        <v>780</v>
      </c>
      <c r="P1995">
        <f>order_data[[#This Row],[Order_Value]]+order_data[[#This Row],[Delivery_Fee]]-order_data[[#This Row],[Discount]]</f>
        <v>830</v>
      </c>
      <c r="Q1995" t="str">
        <f>TEXT(order_data[[#This Row],[Order_Date]],"mmm")</f>
        <v>Mar</v>
      </c>
      <c r="R1995">
        <f>MONTH(order_data[[#This Row],[Order_Date]])</f>
        <v>3</v>
      </c>
    </row>
    <row r="1996" spans="1:18" x14ac:dyDescent="0.35">
      <c r="A1996" t="s">
        <v>2791</v>
      </c>
      <c r="B1996" t="s">
        <v>416</v>
      </c>
      <c r="C1996" t="s">
        <v>482</v>
      </c>
      <c r="D1996" t="s">
        <v>25</v>
      </c>
      <c r="E1996" t="s">
        <v>26</v>
      </c>
      <c r="F1996" t="s">
        <v>27</v>
      </c>
      <c r="G1996" t="s">
        <v>59</v>
      </c>
      <c r="H1996">
        <v>585</v>
      </c>
      <c r="I1996">
        <v>30</v>
      </c>
      <c r="J1996">
        <v>30</v>
      </c>
      <c r="K1996" t="s">
        <v>20</v>
      </c>
      <c r="L1996">
        <v>29</v>
      </c>
      <c r="M1996" t="s">
        <v>30</v>
      </c>
      <c r="N1996">
        <f>COUNTIF(order_data[Order_ID],order_data[[#This Row],[Order_ID]])</f>
        <v>1</v>
      </c>
      <c r="O1996">
        <f>order_data[[#This Row],[Order_Value]]-order_data[[#This Row],[Discount]]</f>
        <v>555</v>
      </c>
      <c r="P1996">
        <f>order_data[[#This Row],[Order_Value]]+order_data[[#This Row],[Delivery_Fee]]-order_data[[#This Row],[Discount]]</f>
        <v>585</v>
      </c>
      <c r="Q1996" t="str">
        <f>TEXT(order_data[[#This Row],[Order_Date]],"mmm")</f>
        <v>Mar</v>
      </c>
      <c r="R1996">
        <f>MONTH(order_data[[#This Row],[Order_Date]])</f>
        <v>3</v>
      </c>
    </row>
    <row r="1997" spans="1:18" x14ac:dyDescent="0.35">
      <c r="A1997" t="s">
        <v>2792</v>
      </c>
      <c r="B1997" t="s">
        <v>96</v>
      </c>
      <c r="C1997" t="s">
        <v>1108</v>
      </c>
      <c r="D1997" t="s">
        <v>16</v>
      </c>
      <c r="E1997" t="s">
        <v>131</v>
      </c>
      <c r="F1997" t="s">
        <v>55</v>
      </c>
      <c r="G1997" t="s">
        <v>49</v>
      </c>
      <c r="H1997">
        <v>796</v>
      </c>
      <c r="I1997">
        <v>20</v>
      </c>
      <c r="J1997">
        <v>20</v>
      </c>
      <c r="K1997" t="s">
        <v>29</v>
      </c>
      <c r="L1997">
        <v>60</v>
      </c>
      <c r="M1997" t="s">
        <v>30</v>
      </c>
      <c r="N1997">
        <f>COUNTIF(order_data[Order_ID],order_data[[#This Row],[Order_ID]])</f>
        <v>1</v>
      </c>
      <c r="O1997">
        <f>order_data[[#This Row],[Order_Value]]-order_data[[#This Row],[Discount]]</f>
        <v>776</v>
      </c>
      <c r="P1997">
        <f>order_data[[#This Row],[Order_Value]]+order_data[[#This Row],[Delivery_Fee]]-order_data[[#This Row],[Discount]]</f>
        <v>796</v>
      </c>
      <c r="Q1997" t="str">
        <f>TEXT(order_data[[#This Row],[Order_Date]],"mmm")</f>
        <v>Mar</v>
      </c>
      <c r="R1997">
        <f>MONTH(order_data[[#This Row],[Order_Date]])</f>
        <v>3</v>
      </c>
    </row>
    <row r="1998" spans="1:18" x14ac:dyDescent="0.35">
      <c r="A1998" t="s">
        <v>2793</v>
      </c>
      <c r="B1998" t="s">
        <v>388</v>
      </c>
      <c r="C1998" t="s">
        <v>979</v>
      </c>
      <c r="D1998" t="s">
        <v>25</v>
      </c>
      <c r="E1998" t="s">
        <v>78</v>
      </c>
      <c r="F1998" t="s">
        <v>48</v>
      </c>
      <c r="G1998" t="s">
        <v>35</v>
      </c>
      <c r="H1998">
        <v>567</v>
      </c>
      <c r="I1998">
        <v>40</v>
      </c>
      <c r="J1998">
        <v>30</v>
      </c>
      <c r="K1998" t="s">
        <v>29</v>
      </c>
      <c r="L1998">
        <v>44</v>
      </c>
      <c r="M1998" t="s">
        <v>21</v>
      </c>
      <c r="N1998">
        <f>COUNTIF(order_data[Order_ID],order_data[[#This Row],[Order_ID]])</f>
        <v>1</v>
      </c>
      <c r="O1998">
        <f>order_data[[#This Row],[Order_Value]]-order_data[[#This Row],[Discount]]</f>
        <v>537</v>
      </c>
      <c r="P1998">
        <f>order_data[[#This Row],[Order_Value]]+order_data[[#This Row],[Delivery_Fee]]-order_data[[#This Row],[Discount]]</f>
        <v>577</v>
      </c>
      <c r="Q1998" t="str">
        <f>TEXT(order_data[[#This Row],[Order_Date]],"mmm")</f>
        <v>Mar</v>
      </c>
      <c r="R1998">
        <f>MONTH(order_data[[#This Row],[Order_Date]])</f>
        <v>3</v>
      </c>
    </row>
    <row r="1999" spans="1:18" x14ac:dyDescent="0.35">
      <c r="A1999" t="s">
        <v>2794</v>
      </c>
      <c r="B1999" t="s">
        <v>379</v>
      </c>
      <c r="C1999" t="s">
        <v>1378</v>
      </c>
      <c r="D1999" t="s">
        <v>16</v>
      </c>
      <c r="E1999" t="s">
        <v>89</v>
      </c>
      <c r="F1999" t="s">
        <v>18</v>
      </c>
      <c r="G1999" t="s">
        <v>63</v>
      </c>
      <c r="H1999">
        <v>780</v>
      </c>
      <c r="I1999">
        <v>30</v>
      </c>
      <c r="J1999">
        <v>0</v>
      </c>
      <c r="K1999" t="s">
        <v>36</v>
      </c>
      <c r="L1999">
        <v>20</v>
      </c>
      <c r="M1999" t="s">
        <v>21</v>
      </c>
      <c r="N1999">
        <f>COUNTIF(order_data[Order_ID],order_data[[#This Row],[Order_ID]])</f>
        <v>1</v>
      </c>
      <c r="O1999">
        <f>order_data[[#This Row],[Order_Value]]-order_data[[#This Row],[Discount]]</f>
        <v>780</v>
      </c>
      <c r="P1999">
        <f>order_data[[#This Row],[Order_Value]]+order_data[[#This Row],[Delivery_Fee]]-order_data[[#This Row],[Discount]]</f>
        <v>810</v>
      </c>
      <c r="Q1999" t="str">
        <f>TEXT(order_data[[#This Row],[Order_Date]],"mmm")</f>
        <v>Mar</v>
      </c>
      <c r="R1999">
        <f>MONTH(order_data[[#This Row],[Order_Date]])</f>
        <v>3</v>
      </c>
    </row>
    <row r="2000" spans="1:18" x14ac:dyDescent="0.35">
      <c r="A2000" t="s">
        <v>2795</v>
      </c>
      <c r="B2000" t="s">
        <v>113</v>
      </c>
      <c r="C2000" t="s">
        <v>2640</v>
      </c>
      <c r="D2000" t="s">
        <v>46</v>
      </c>
      <c r="E2000" t="s">
        <v>47</v>
      </c>
      <c r="F2000" t="s">
        <v>48</v>
      </c>
      <c r="G2000" t="s">
        <v>107</v>
      </c>
      <c r="H2000">
        <v>773</v>
      </c>
      <c r="I2000">
        <v>20</v>
      </c>
      <c r="J2000">
        <v>100</v>
      </c>
      <c r="K2000" t="s">
        <v>29</v>
      </c>
      <c r="L2000">
        <v>27</v>
      </c>
      <c r="M2000" t="s">
        <v>21</v>
      </c>
      <c r="N2000">
        <f>COUNTIF(order_data[Order_ID],order_data[[#This Row],[Order_ID]])</f>
        <v>1</v>
      </c>
      <c r="O2000">
        <f>order_data[[#This Row],[Order_Value]]-order_data[[#This Row],[Discount]]</f>
        <v>673</v>
      </c>
      <c r="P2000">
        <f>order_data[[#This Row],[Order_Value]]+order_data[[#This Row],[Delivery_Fee]]-order_data[[#This Row],[Discount]]</f>
        <v>693</v>
      </c>
      <c r="Q2000" t="str">
        <f>TEXT(order_data[[#This Row],[Order_Date]],"mmm")</f>
        <v>Mar</v>
      </c>
      <c r="R2000">
        <f>MONTH(order_data[[#This Row],[Order_Date]])</f>
        <v>3</v>
      </c>
    </row>
    <row r="2001" spans="1:18" x14ac:dyDescent="0.35">
      <c r="A2001" t="s">
        <v>2796</v>
      </c>
      <c r="B2001" t="s">
        <v>38</v>
      </c>
      <c r="C2001" t="s">
        <v>1857</v>
      </c>
      <c r="D2001" t="s">
        <v>40</v>
      </c>
      <c r="E2001" t="s">
        <v>67</v>
      </c>
      <c r="F2001" t="s">
        <v>48</v>
      </c>
      <c r="G2001" t="s">
        <v>42</v>
      </c>
      <c r="H2001">
        <v>672</v>
      </c>
      <c r="I2001">
        <v>20</v>
      </c>
      <c r="J2001">
        <v>0</v>
      </c>
      <c r="K2001" t="s">
        <v>29</v>
      </c>
      <c r="L2001">
        <v>23</v>
      </c>
      <c r="M2001" t="s">
        <v>21</v>
      </c>
      <c r="N2001">
        <f>COUNTIF(order_data[Order_ID],order_data[[#This Row],[Order_ID]])</f>
        <v>1</v>
      </c>
      <c r="O2001">
        <f>order_data[[#This Row],[Order_Value]]-order_data[[#This Row],[Discount]]</f>
        <v>672</v>
      </c>
      <c r="P2001">
        <f>order_data[[#This Row],[Order_Value]]+order_data[[#This Row],[Delivery_Fee]]-order_data[[#This Row],[Discount]]</f>
        <v>692</v>
      </c>
      <c r="Q2001" t="str">
        <f>TEXT(order_data[[#This Row],[Order_Date]],"mmm")</f>
        <v>Jan</v>
      </c>
      <c r="R2001">
        <f>MONTH(order_data[[#This Row],[Order_Date]])</f>
        <v>1</v>
      </c>
    </row>
    <row r="2002" spans="1:18" x14ac:dyDescent="0.35">
      <c r="A2002" t="s">
        <v>2797</v>
      </c>
      <c r="B2002" t="s">
        <v>14</v>
      </c>
      <c r="C2002" t="s">
        <v>1243</v>
      </c>
      <c r="D2002" t="s">
        <v>46</v>
      </c>
      <c r="E2002" t="s">
        <v>148</v>
      </c>
      <c r="F2002" t="s">
        <v>27</v>
      </c>
      <c r="G2002" t="s">
        <v>74</v>
      </c>
      <c r="H2002">
        <v>751</v>
      </c>
      <c r="I2002">
        <v>20</v>
      </c>
      <c r="J2002">
        <v>100</v>
      </c>
      <c r="K2002" t="s">
        <v>20</v>
      </c>
      <c r="L2002">
        <v>53</v>
      </c>
      <c r="M2002" t="s">
        <v>21</v>
      </c>
      <c r="N2002">
        <f>COUNTIF(order_data[Order_ID],order_data[[#This Row],[Order_ID]])</f>
        <v>1</v>
      </c>
      <c r="O2002">
        <f>order_data[[#This Row],[Order_Value]]-order_data[[#This Row],[Discount]]</f>
        <v>651</v>
      </c>
      <c r="P2002">
        <f>order_data[[#This Row],[Order_Value]]+order_data[[#This Row],[Delivery_Fee]]-order_data[[#This Row],[Discount]]</f>
        <v>671</v>
      </c>
      <c r="Q2002" t="str">
        <f>TEXT(order_data[[#This Row],[Order_Date]],"mmm")</f>
        <v>Mar</v>
      </c>
      <c r="R2002">
        <f>MONTH(order_data[[#This Row],[Order_Date]])</f>
        <v>3</v>
      </c>
    </row>
    <row r="2003" spans="1:18" x14ac:dyDescent="0.35">
      <c r="A2003" t="s">
        <v>2798</v>
      </c>
      <c r="B2003" t="s">
        <v>322</v>
      </c>
      <c r="C2003" t="s">
        <v>463</v>
      </c>
      <c r="D2003" t="s">
        <v>40</v>
      </c>
      <c r="E2003" t="s">
        <v>111</v>
      </c>
      <c r="F2003" t="s">
        <v>18</v>
      </c>
      <c r="G2003" t="s">
        <v>42</v>
      </c>
      <c r="H2003">
        <v>291</v>
      </c>
      <c r="I2003">
        <v>30</v>
      </c>
      <c r="J2003">
        <v>100</v>
      </c>
      <c r="K2003" t="s">
        <v>36</v>
      </c>
      <c r="L2003">
        <v>58</v>
      </c>
      <c r="M2003" t="s">
        <v>21</v>
      </c>
      <c r="N2003">
        <f>COUNTIF(order_data[Order_ID],order_data[[#This Row],[Order_ID]])</f>
        <v>1</v>
      </c>
      <c r="O2003">
        <f>order_data[[#This Row],[Order_Value]]-order_data[[#This Row],[Discount]]</f>
        <v>191</v>
      </c>
      <c r="P2003">
        <f>order_data[[#This Row],[Order_Value]]+order_data[[#This Row],[Delivery_Fee]]-order_data[[#This Row],[Discount]]</f>
        <v>221</v>
      </c>
      <c r="Q2003" t="str">
        <f>TEXT(order_data[[#This Row],[Order_Date]],"mmm")</f>
        <v>Jan</v>
      </c>
      <c r="R2003">
        <f>MONTH(order_data[[#This Row],[Order_Date]])</f>
        <v>1</v>
      </c>
    </row>
  </sheetData>
  <conditionalFormatting sqref="A1:A1048576">
    <cfRule type="duplicateValues" dxfId="8" priority="3"/>
  </conditionalFormatting>
  <conditionalFormatting sqref="A4:A2003">
    <cfRule type="duplicateValues" dxfId="7" priority="1"/>
    <cfRule type="duplicateValues" dxfId="6"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27B8-6A9B-4586-A2BF-638B260BC4FF}">
  <dimension ref="A2:J29"/>
  <sheetViews>
    <sheetView topLeftCell="B1" zoomScale="70" zoomScaleNormal="70" workbookViewId="0">
      <selection activeCell="K8" sqref="K8"/>
    </sheetView>
  </sheetViews>
  <sheetFormatPr defaultRowHeight="14.5" x14ac:dyDescent="0.35"/>
  <cols>
    <col min="1" max="1" width="35.54296875" bestFit="1" customWidth="1"/>
    <col min="2" max="3" width="13.08984375" bestFit="1" customWidth="1"/>
    <col min="4" max="4" width="26.453125" bestFit="1" customWidth="1"/>
    <col min="5" max="5" width="26.453125" customWidth="1"/>
    <col min="6" max="7" width="26.453125" bestFit="1" customWidth="1"/>
    <col min="8" max="9" width="2.90625" bestFit="1" customWidth="1"/>
    <col min="10" max="10" width="13.08984375" bestFit="1" customWidth="1"/>
    <col min="11" max="11" width="26.453125" bestFit="1" customWidth="1"/>
    <col min="12" max="12" width="2.90625" bestFit="1" customWidth="1"/>
    <col min="13" max="673" width="4" bestFit="1" customWidth="1"/>
    <col min="674" max="674" width="10.7265625" bestFit="1" customWidth="1"/>
  </cols>
  <sheetData>
    <row r="2" spans="1:10" x14ac:dyDescent="0.35">
      <c r="C2" s="5" t="s">
        <v>12</v>
      </c>
      <c r="D2" t="s">
        <v>21</v>
      </c>
    </row>
    <row r="4" spans="1:10" x14ac:dyDescent="0.35">
      <c r="A4" s="3" t="s">
        <v>2805</v>
      </c>
      <c r="B4" s="3" t="s">
        <v>2806</v>
      </c>
      <c r="C4" s="5" t="s">
        <v>2814</v>
      </c>
      <c r="D4" t="s">
        <v>2816</v>
      </c>
    </row>
    <row r="5" spans="1:10" ht="14.5" customHeight="1" x14ac:dyDescent="0.35">
      <c r="A5" s="2" t="s">
        <v>2807</v>
      </c>
      <c r="B5" s="8">
        <v>2000</v>
      </c>
      <c r="C5" s="6" t="s">
        <v>40</v>
      </c>
      <c r="D5">
        <v>174938</v>
      </c>
      <c r="J5" s="7"/>
    </row>
    <row r="6" spans="1:10" ht="14" customHeight="1" x14ac:dyDescent="0.35">
      <c r="A6" s="2" t="s">
        <v>2808</v>
      </c>
      <c r="B6" s="8">
        <v>1853</v>
      </c>
      <c r="C6" s="6" t="s">
        <v>46</v>
      </c>
      <c r="D6">
        <v>173243</v>
      </c>
    </row>
    <row r="7" spans="1:10" ht="15" customHeight="1" x14ac:dyDescent="0.35">
      <c r="A7" s="2" t="s">
        <v>2809</v>
      </c>
      <c r="B7" s="8">
        <f>COUNTIF(order_data[Order_Status],"CANCELLED")</f>
        <v>147</v>
      </c>
      <c r="C7" s="6" t="s">
        <v>25</v>
      </c>
      <c r="D7">
        <v>177682</v>
      </c>
    </row>
    <row r="8" spans="1:10" ht="15.5" customHeight="1" x14ac:dyDescent="0.35">
      <c r="A8" s="2" t="s">
        <v>2812</v>
      </c>
      <c r="B8" s="8">
        <f>SUMIFS(order_data[food_revenue], order_data[Order_Status], "Delivered")</f>
        <v>804573</v>
      </c>
      <c r="C8" s="6" t="s">
        <v>53</v>
      </c>
      <c r="D8">
        <v>155107</v>
      </c>
    </row>
    <row r="9" spans="1:10" ht="15.5" customHeight="1" x14ac:dyDescent="0.35">
      <c r="A9" s="2" t="s">
        <v>2813</v>
      </c>
      <c r="B9" s="8">
        <f>SUMIFS(order_data[total/platformrevenue], order_data[Order_Status], "Delivered")</f>
        <v>870793</v>
      </c>
      <c r="C9" s="6" t="s">
        <v>16</v>
      </c>
      <c r="D9">
        <v>189823</v>
      </c>
    </row>
    <row r="10" spans="1:10" ht="13" customHeight="1" x14ac:dyDescent="0.35">
      <c r="A10" s="2" t="s">
        <v>2810</v>
      </c>
      <c r="B10" s="8">
        <f>AVERAGEIFS(order_data[Order_Value],order_data[Order_Status],"delivered")</f>
        <v>473.94117647058823</v>
      </c>
      <c r="C10" s="6" t="s">
        <v>2815</v>
      </c>
      <c r="D10">
        <v>870793</v>
      </c>
    </row>
    <row r="11" spans="1:10" ht="13" customHeight="1" x14ac:dyDescent="0.35">
      <c r="A11" s="2" t="s">
        <v>2811</v>
      </c>
      <c r="B11" s="4">
        <f>AVERAGEIFS(order_data[Delivery_Time_Min],order_data[Order_Status],"delivered")</f>
        <v>39.54614139233675</v>
      </c>
    </row>
    <row r="13" spans="1:10" x14ac:dyDescent="0.35">
      <c r="C13" s="5" t="s">
        <v>12</v>
      </c>
      <c r="D13" t="s">
        <v>2817</v>
      </c>
    </row>
    <row r="15" spans="1:10" x14ac:dyDescent="0.35">
      <c r="C15" s="5" t="s">
        <v>2814</v>
      </c>
      <c r="D15" t="s">
        <v>2816</v>
      </c>
    </row>
    <row r="16" spans="1:10" x14ac:dyDescent="0.35">
      <c r="C16" s="6" t="s">
        <v>2818</v>
      </c>
      <c r="D16">
        <v>338390</v>
      </c>
    </row>
    <row r="17" spans="3:4" x14ac:dyDescent="0.35">
      <c r="C17" s="6" t="s">
        <v>2819</v>
      </c>
      <c r="D17">
        <v>284023</v>
      </c>
    </row>
    <row r="18" spans="3:4" x14ac:dyDescent="0.35">
      <c r="C18" s="6" t="s">
        <v>2820</v>
      </c>
      <c r="D18">
        <v>318802</v>
      </c>
    </row>
    <row r="19" spans="3:4" x14ac:dyDescent="0.35">
      <c r="C19" s="6" t="s">
        <v>2815</v>
      </c>
      <c r="D19">
        <v>941215</v>
      </c>
    </row>
    <row r="21" spans="3:4" x14ac:dyDescent="0.35">
      <c r="C21" s="5" t="s">
        <v>12</v>
      </c>
      <c r="D21" t="s">
        <v>2817</v>
      </c>
    </row>
    <row r="23" spans="3:4" x14ac:dyDescent="0.35">
      <c r="C23" s="5" t="s">
        <v>2814</v>
      </c>
      <c r="D23" t="s">
        <v>2816</v>
      </c>
    </row>
    <row r="24" spans="3:4" x14ac:dyDescent="0.35">
      <c r="C24" s="6" t="s">
        <v>34</v>
      </c>
      <c r="D24">
        <v>66880</v>
      </c>
    </row>
    <row r="25" spans="3:4" x14ac:dyDescent="0.35">
      <c r="C25" s="6" t="s">
        <v>17</v>
      </c>
      <c r="D25">
        <v>67709</v>
      </c>
    </row>
    <row r="26" spans="3:4" x14ac:dyDescent="0.35">
      <c r="C26" s="6" t="s">
        <v>47</v>
      </c>
      <c r="D26">
        <v>70794</v>
      </c>
    </row>
    <row r="27" spans="3:4" x14ac:dyDescent="0.35">
      <c r="C27" s="6" t="s">
        <v>78</v>
      </c>
      <c r="D27">
        <v>71244</v>
      </c>
    </row>
    <row r="28" spans="3:4" x14ac:dyDescent="0.35">
      <c r="C28" s="6" t="s">
        <v>89</v>
      </c>
      <c r="D28">
        <v>74156</v>
      </c>
    </row>
    <row r="29" spans="3:4" x14ac:dyDescent="0.35">
      <c r="C29" s="6" t="s">
        <v>2815</v>
      </c>
      <c r="D29">
        <v>350783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7D33-74DF-43AB-B6A5-90D6CB1E4F90}">
  <dimension ref="E1:O9"/>
  <sheetViews>
    <sheetView tabSelected="1" zoomScale="70" zoomScaleNormal="70" workbookViewId="0">
      <selection activeCell="V5" sqref="V5"/>
    </sheetView>
  </sheetViews>
  <sheetFormatPr defaultRowHeight="14.5" x14ac:dyDescent="0.35"/>
  <cols>
    <col min="13" max="13" width="41.6328125" customWidth="1"/>
    <col min="14" max="14" width="15" customWidth="1"/>
  </cols>
  <sheetData>
    <row r="1" spans="5:15" ht="31" thickBot="1" x14ac:dyDescent="0.9">
      <c r="E1" s="10" t="s">
        <v>2821</v>
      </c>
      <c r="F1" s="11"/>
      <c r="G1" s="11"/>
      <c r="H1" s="11"/>
      <c r="I1" s="11"/>
      <c r="J1" s="11"/>
      <c r="K1" s="11"/>
      <c r="L1" s="11"/>
      <c r="M1" s="11"/>
      <c r="N1" s="11"/>
      <c r="O1" s="12"/>
    </row>
    <row r="2" spans="5:15" ht="16" customHeight="1" x14ac:dyDescent="0.35"/>
    <row r="3" spans="5:15" ht="16" customHeight="1" x14ac:dyDescent="0.35"/>
    <row r="5" spans="5:15" ht="17" customHeight="1" x14ac:dyDescent="0.35"/>
    <row r="6" spans="5:15" ht="16" customHeight="1" x14ac:dyDescent="0.35"/>
    <row r="7" spans="5:15" ht="17" customHeight="1" x14ac:dyDescent="0.35"/>
    <row r="8" spans="5:15" ht="16.5" customHeight="1" x14ac:dyDescent="0.35"/>
    <row r="9" spans="5:15" ht="18" customHeight="1" x14ac:dyDescent="0.35"/>
  </sheetData>
  <mergeCells count="1">
    <mergeCell ref="E1:O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aabhas</cp:lastModifiedBy>
  <dcterms:created xsi:type="dcterms:W3CDTF">2026-03-07T18:30:20Z</dcterms:created>
  <dcterms:modified xsi:type="dcterms:W3CDTF">2026-03-22T18:17:55Z</dcterms:modified>
</cp:coreProperties>
</file>